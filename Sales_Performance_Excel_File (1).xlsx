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HP\Desktop\Excel-Sales_Performance\"/>
    </mc:Choice>
  </mc:AlternateContent>
  <xr:revisionPtr revIDLastSave="0" documentId="13_ncr:1_{E7B708D4-3EF2-436E-A14B-D07DCB8DEA26}" xr6:coauthVersionLast="47" xr6:coauthVersionMax="47" xr10:uidLastSave="{00000000-0000-0000-0000-000000000000}"/>
  <bookViews>
    <workbookView xWindow="-110" yWindow="-110" windowWidth="19420" windowHeight="10300" xr2:uid="{91A3F21A-FB37-4CD6-BC14-CDAB279595DD}"/>
  </bookViews>
  <sheets>
    <sheet name="Pivot_Table" sheetId="3" r:id="rId1"/>
    <sheet name="Furniture_data" sheetId="2" r:id="rId2"/>
    <sheet name="Dashboard" sheetId="1" r:id="rId3"/>
  </sheets>
  <definedNames>
    <definedName name="_xlchart.v5.0" hidden="1">Pivot_Table!$M$4</definedName>
    <definedName name="_xlchart.v5.1" hidden="1">Pivot_Table!$M$5:$M$52</definedName>
    <definedName name="_xlchart.v5.2" hidden="1">Pivot_Table!$N$4</definedName>
    <definedName name="_xlchart.v5.3" hidden="1">Pivot_Table!$N$5:$N$52</definedName>
    <definedName name="ExternalData_1" localSheetId="1" hidden="1">Furniture_data!$A$1:$S$2122</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3" l="1"/>
  <c r="C19" i="3"/>
  <c r="B19" i="3"/>
  <c r="B18" i="3"/>
  <c r="C18" i="3"/>
  <c r="C17" i="3"/>
  <c r="C16" i="3"/>
  <c r="B17" i="3"/>
  <c r="B16" i="3"/>
  <c r="D19" i="3" l="1"/>
  <c r="E19" i="3" s="1"/>
  <c r="D17" i="3"/>
  <c r="E17" i="3" s="1"/>
  <c r="D18" i="3"/>
  <c r="E18" i="3" s="1"/>
  <c r="D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28A32C-4A6F-4F5A-9FF0-465446585D9C}" keepAlive="1" name="Query - Furniture_data" description="Connection to the 'Furniture_data' query in the workbook." type="5" refreshedVersion="8"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<sst xmlns="http://schemas.openxmlformats.org/spreadsheetml/2006/main" count="29893" uniqueCount="4424">
  <si>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</si>
  <si>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</si>
  <si>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</si>
  <si>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</si>
  <si>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</si>
  <si>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</si>
  <si>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</si>
  <si>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</si>
  <si>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</si>
  <si>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</si>
  <si>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</si>
  <si>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</si>
  <si>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</si>
  <si>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</si>
  <si>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</si>
  <si>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</si>
  <si>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</si>
  <si>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</si>
  <si>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</si>
  <si>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</si>
  <si>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</si>
  <si>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</si>
  <si>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</si>
  <si>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</si>
  <si>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</si>
  <si>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</si>
  <si>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</si>
  <si>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</si>
  <si>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</si>
  <si>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</si>
  <si>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</si>
  <si>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</si>
  <si>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</si>
  <si>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</si>
  <si>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</si>
  <si>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</si>
  <si>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</si>
  <si>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</si>
  <si>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</si>
  <si>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</si>
  <si>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</si>
  <si>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</si>
  <si>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</si>
  <si>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</si>
  <si>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</si>
  <si>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Oct</t>
  </si>
  <si>
    <t>CA-2014-115812</t>
  </si>
  <si>
    <t>BH-11710</t>
  </si>
  <si>
    <t>Brosina Hoffman</t>
  </si>
  <si>
    <t>Los Angeles</t>
  </si>
  <si>
    <t>California</t>
  </si>
  <si>
    <t>West</t>
  </si>
  <si>
    <t>FUR-FU-10001487</t>
  </si>
  <si>
    <t>Furnishings</t>
  </si>
  <si>
    <t>Eldon Expressions Wood and Plastic Desk Accessories, Cherry Wood</t>
  </si>
  <si>
    <t>Jun</t>
  </si>
  <si>
    <t>FUR-TA-10001539</t>
  </si>
  <si>
    <t>Chromcraft Rectangular Conference Tables</t>
  </si>
  <si>
    <t>US-2017-156909</t>
  </si>
  <si>
    <t>SF-20065</t>
  </si>
  <si>
    <t>Sandra Flanagan</t>
  </si>
  <si>
    <t>Philadelphia</t>
  </si>
  <si>
    <t>Pennsylvania</t>
  </si>
  <si>
    <t>East</t>
  </si>
  <si>
    <t>FUR-CH-10002774</t>
  </si>
  <si>
    <t>Global Deluxe Stacking Chair, Gray</t>
  </si>
  <si>
    <t>Jul</t>
  </si>
  <si>
    <t>CA-2015-106320</t>
  </si>
  <si>
    <t>EB-13870</t>
  </si>
  <si>
    <t>Emily Burns</t>
  </si>
  <si>
    <t>Orem</t>
  </si>
  <si>
    <t>Utah</t>
  </si>
  <si>
    <t>Sep</t>
  </si>
  <si>
    <t>US-2015-150630</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</si>
  <si>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</si>
  <si>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</si>
  <si>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</si>
  <si>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</si>
  <si>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</si>
  <si>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</si>
  <si>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</si>
  <si>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</si>
  <si>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</si>
  <si>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</si>
  <si>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</si>
  <si>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</si>
  <si>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</si>
  <si>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</si>
  <si>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</si>
  <si>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</si>
  <si>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</si>
  <si>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</si>
  <si>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</si>
  <si>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</si>
  <si>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</si>
  <si>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</si>
  <si>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</si>
  <si>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</si>
  <si>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</si>
  <si>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</si>
  <si>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</si>
  <si>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</si>
  <si>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</si>
  <si>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</si>
  <si>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</si>
  <si>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</si>
  <si>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</si>
  <si>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</si>
  <si>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</si>
  <si>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</si>
  <si>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</si>
  <si>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</si>
  <si>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</si>
  <si>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</si>
  <si>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</si>
  <si>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</si>
  <si>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</si>
  <si>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CA-2015-135545</t>
  </si>
  <si>
    <t>KM-16720</t>
  </si>
  <si>
    <t>Kunst Miller</t>
  </si>
  <si>
    <t>FUR-FU-10000397</t>
  </si>
  <si>
    <t>Luxo Economy Swing Arm Lamp</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</si>
  <si>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</si>
  <si>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</si>
  <si>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</si>
  <si>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</si>
  <si>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</si>
  <si>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</si>
  <si>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</si>
  <si>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</si>
  <si>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</si>
  <si>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</si>
  <si>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</si>
  <si>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</si>
  <si>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</si>
  <si>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</si>
  <si>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</si>
  <si>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</si>
  <si>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</si>
  <si>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</si>
  <si>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</si>
  <si>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</si>
  <si>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</si>
  <si>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</si>
  <si>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</si>
  <si>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</si>
  <si>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</si>
  <si>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</si>
  <si>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</si>
  <si>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</si>
  <si>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</si>
  <si>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</si>
  <si>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</si>
  <si>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</si>
  <si>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</si>
  <si>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</si>
  <si>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</si>
  <si>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</si>
  <si>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</si>
  <si>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</si>
  <si>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</si>
  <si>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</si>
  <si>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</si>
  <si>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</si>
  <si>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</si>
  <si>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</si>
  <si>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</si>
  <si>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</si>
  <si>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</si>
  <si>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</si>
  <si>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</si>
  <si>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</si>
  <si>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</si>
  <si>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</si>
  <si>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</si>
  <si>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</si>
  <si>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</si>
  <si>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</si>
  <si>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</si>
  <si>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</si>
  <si>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</si>
  <si>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</si>
  <si>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</si>
  <si>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</si>
  <si>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</si>
  <si>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</si>
  <si>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</si>
  <si>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</si>
  <si>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</si>
  <si>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</si>
  <si>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</si>
  <si>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</si>
  <si>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</si>
  <si>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</si>
  <si>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</si>
  <si>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</si>
  <si>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</si>
  <si>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</si>
  <si>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</si>
  <si>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</si>
  <si>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</si>
  <si>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</si>
  <si>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</si>
  <si>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</si>
  <si>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</si>
  <si>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</si>
  <si>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</si>
  <si>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</si>
  <si>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</si>
  <si>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</si>
  <si>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</si>
  <si>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</si>
  <si>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</si>
  <si>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</si>
  <si>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</si>
  <si>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</si>
  <si>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</si>
  <si>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</si>
  <si>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</si>
  <si>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</si>
  <si>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</si>
  <si>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</si>
  <si>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</si>
  <si>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</si>
  <si>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</si>
  <si>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</si>
  <si>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</si>
  <si>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</si>
  <si>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</si>
  <si>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</si>
  <si>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</si>
  <si>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</si>
  <si>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</si>
  <si>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</si>
  <si>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</si>
  <si>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</si>
  <si>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</si>
  <si>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</si>
  <si>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</si>
  <si>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</si>
  <si>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</si>
  <si>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</si>
  <si>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</si>
  <si>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</si>
  <si>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</si>
  <si>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</si>
  <si>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</si>
  <si>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</si>
  <si>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</si>
  <si>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</si>
  <si>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</si>
  <si>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</si>
  <si>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</si>
  <si>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</si>
  <si>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</si>
  <si>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</si>
  <si>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</si>
  <si>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</si>
  <si>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</si>
  <si>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</si>
  <si>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</si>
  <si>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</si>
  <si>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</si>
  <si>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</si>
  <si>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</si>
  <si>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</si>
  <si>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</si>
  <si>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</si>
  <si>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</si>
  <si>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</si>
  <si>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</si>
  <si>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</si>
  <si>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</si>
  <si>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</si>
  <si>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</si>
  <si>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</si>
  <si>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</si>
  <si>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</si>
  <si>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</si>
  <si>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</si>
  <si>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</si>
  <si>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</si>
  <si>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</si>
  <si>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</si>
  <si>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</si>
  <si>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</si>
  <si>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</si>
  <si>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</si>
  <si>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</si>
  <si>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</si>
  <si>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</si>
  <si>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</si>
  <si>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</si>
  <si>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</si>
  <si>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</si>
  <si>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</si>
  <si>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</si>
  <si>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</si>
  <si>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</si>
  <si>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</si>
  <si>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</si>
  <si>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</si>
  <si>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</si>
  <si>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</si>
  <si>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</si>
  <si>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</si>
  <si>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</si>
  <si>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</si>
  <si>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</si>
  <si>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</si>
  <si>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</si>
  <si>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</si>
  <si>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</si>
  <si>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</si>
  <si>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</si>
  <si>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</si>
  <si>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</si>
  <si>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</si>
  <si>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</si>
  <si>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</si>
  <si>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</si>
  <si>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</si>
  <si>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</si>
  <si>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</si>
  <si>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</si>
  <si>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</si>
  <si>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</si>
  <si>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</si>
  <si>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</si>
  <si>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</si>
  <si>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</si>
  <si>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</si>
  <si>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</si>
  <si>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</si>
  <si>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</si>
  <si>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</si>
  <si>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</si>
  <si>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</si>
  <si>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</si>
  <si>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</si>
  <si>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</si>
  <si>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</si>
  <si>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</si>
  <si>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</si>
  <si>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</si>
  <si>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</si>
  <si>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</si>
  <si>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</si>
  <si>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</si>
  <si>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</si>
  <si>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</si>
  <si>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</si>
  <si>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</si>
  <si>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</si>
  <si>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</si>
  <si>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</si>
  <si>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</si>
  <si>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</si>
  <si>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</si>
  <si>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</si>
  <si>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</si>
  <si>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</si>
  <si>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</si>
  <si>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</si>
  <si>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</si>
  <si>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</si>
  <si>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</si>
  <si>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</si>
  <si>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</si>
  <si>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</si>
  <si>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</si>
  <si>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</si>
  <si>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</si>
  <si>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</si>
  <si>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</si>
  <si>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</si>
  <si>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</si>
  <si>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</si>
  <si>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</si>
  <si>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</si>
  <si>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</si>
  <si>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</si>
  <si>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</si>
  <si>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</si>
  <si>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</si>
  <si>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</si>
  <si>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</si>
  <si>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</si>
  <si>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</si>
  <si>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</si>
  <si>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</si>
  <si>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</si>
  <si>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</si>
  <si>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</si>
  <si>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</si>
  <si>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</si>
  <si>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</si>
  <si>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</si>
  <si>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</si>
  <si>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</si>
  <si>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</si>
  <si>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</si>
  <si>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</si>
  <si>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</si>
  <si>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</si>
  <si>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</si>
  <si>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</si>
  <si>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</si>
  <si>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</si>
  <si>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</si>
  <si>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</si>
  <si>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</si>
  <si>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</si>
  <si>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</si>
  <si>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</si>
  <si>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</si>
  <si>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</si>
  <si>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</si>
  <si>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</si>
  <si>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</si>
  <si>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</si>
  <si>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</si>
  <si>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</si>
  <si>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</si>
  <si>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</si>
  <si>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</si>
  <si>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</si>
  <si>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</si>
  <si>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</si>
  <si>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</si>
  <si>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</si>
  <si>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</si>
  <si>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</si>
  <si>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</si>
  <si>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</si>
  <si>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</si>
  <si>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</si>
  <si>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</si>
  <si>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</si>
  <si>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</si>
  <si>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</si>
  <si>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</si>
  <si>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</si>
  <si>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</si>
  <si>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</si>
  <si>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</si>
  <si>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</si>
  <si>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</si>
  <si>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</si>
  <si>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</si>
  <si>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</si>
  <si>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</si>
  <si>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</si>
  <si>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</si>
  <si>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</si>
  <si>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</si>
  <si>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</si>
  <si>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</si>
  <si>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</si>
  <si>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</si>
  <si>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</si>
  <si>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</si>
  <si>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</si>
  <si>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</si>
  <si>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</si>
  <si>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</si>
  <si>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</si>
  <si>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</si>
  <si>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</si>
  <si>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</si>
  <si>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</si>
  <si>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</si>
  <si>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</si>
  <si>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</si>
  <si>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</si>
  <si>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</si>
  <si>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</si>
  <si>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</si>
  <si>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</si>
  <si>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</si>
  <si>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</si>
  <si>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</si>
  <si>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</si>
  <si>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</si>
  <si>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</si>
  <si>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</si>
  <si>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</si>
  <si>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</si>
  <si>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</si>
  <si>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</si>
  <si>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</si>
  <si>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</si>
  <si>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</si>
  <si>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</si>
  <si>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</si>
  <si>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</si>
  <si>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</si>
  <si>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</si>
  <si>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</si>
  <si>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</si>
  <si>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</si>
  <si>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</si>
  <si>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</si>
  <si>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</si>
  <si>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</si>
  <si>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</si>
  <si>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</si>
  <si>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</si>
  <si>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</si>
  <si>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</si>
  <si>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</si>
  <si>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</si>
  <si>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</si>
  <si>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</si>
  <si>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</si>
  <si>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</si>
  <si>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</si>
  <si>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</si>
  <si>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</si>
  <si>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</si>
  <si>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</si>
  <si>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</si>
  <si>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</si>
  <si>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</si>
  <si>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</si>
  <si>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</si>
  <si>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</si>
  <si>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</si>
  <si>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</si>
  <si>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</si>
  <si>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</si>
  <si>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</si>
  <si>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</si>
  <si>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</si>
  <si>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</si>
  <si>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</si>
  <si>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</si>
  <si>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</si>
  <si>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</si>
  <si>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</si>
  <si>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</si>
  <si>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</si>
  <si>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</si>
  <si>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</si>
  <si>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</si>
  <si>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</si>
  <si>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</si>
  <si>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</si>
  <si>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</si>
  <si>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</si>
  <si>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</si>
  <si>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</si>
  <si>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</si>
  <si>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</si>
  <si>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</si>
  <si>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</si>
  <si>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</si>
  <si>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</si>
  <si>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</si>
  <si>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</si>
  <si>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</si>
  <si>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</si>
  <si>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</si>
  <si>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</si>
  <si>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</si>
  <si>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</si>
  <si>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</si>
  <si>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</si>
  <si>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</si>
  <si>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</si>
  <si>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</si>
  <si>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</si>
  <si>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</si>
  <si>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</si>
  <si>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</si>
  <si>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</si>
  <si>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</si>
  <si>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</si>
  <si>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</si>
  <si>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</si>
  <si>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</si>
  <si>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</si>
  <si>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</si>
  <si>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</si>
  <si>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</si>
  <si>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</si>
  <si>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</si>
  <si>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</si>
  <si>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</si>
  <si>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</si>
  <si>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</si>
  <si>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</si>
  <si>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</si>
  <si>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</si>
  <si>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</si>
  <si>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</si>
  <si>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</si>
  <si>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</si>
  <si>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</si>
  <si>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</si>
  <si>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</si>
  <si>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</si>
  <si>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</si>
  <si>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</si>
  <si>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</si>
  <si>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</si>
  <si>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</si>
  <si>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</si>
  <si>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</si>
  <si>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</si>
  <si>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</si>
  <si>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</si>
  <si>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</si>
  <si>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</si>
  <si>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</si>
  <si>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</si>
  <si>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</si>
  <si>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</si>
  <si>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</si>
  <si>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</si>
  <si>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</si>
  <si>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</si>
  <si>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</si>
  <si>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</si>
  <si>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</si>
  <si>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</si>
  <si>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</si>
  <si>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</si>
  <si>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</si>
  <si>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</si>
  <si>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</si>
  <si>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</si>
  <si>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</si>
  <si>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</si>
  <si>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</si>
  <si>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</si>
  <si>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</si>
  <si>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</si>
  <si>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</si>
  <si>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</si>
  <si>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</si>
  <si>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</si>
  <si>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</si>
  <si>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</si>
  <si>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</si>
  <si>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</si>
  <si>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</si>
  <si>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</si>
  <si>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</si>
  <si>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</si>
  <si>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</si>
  <si>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</si>
  <si>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</si>
  <si>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</si>
  <si>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</si>
  <si>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</si>
  <si>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</si>
  <si>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</si>
  <si>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</si>
  <si>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</si>
  <si>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</si>
  <si>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</si>
  <si>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</si>
  <si>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</si>
  <si>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</si>
  <si>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</si>
  <si>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</si>
  <si>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</si>
  <si>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</si>
  <si>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</si>
  <si>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</si>
  <si>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</si>
  <si>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</si>
  <si>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</si>
  <si>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</si>
  <si>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</si>
  <si>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</si>
  <si>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</si>
  <si>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</si>
  <si>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</si>
  <si>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</si>
  <si>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</si>
  <si>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</si>
  <si>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</si>
  <si>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</si>
  <si>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</si>
  <si>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</si>
  <si>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</si>
  <si>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</si>
  <si>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</si>
  <si>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</si>
  <si>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</si>
  <si>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</si>
  <si>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</si>
  <si>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</si>
  <si>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</si>
  <si>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</si>
  <si>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</si>
  <si>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</si>
  <si>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</si>
  <si>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</si>
  <si>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</si>
  <si>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</si>
  <si>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</si>
  <si>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</si>
  <si>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</si>
  <si>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</si>
  <si>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</si>
  <si>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</si>
  <si>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</si>
  <si>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</si>
  <si>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</si>
  <si>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</si>
  <si>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</si>
  <si>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</si>
  <si>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</si>
  <si>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</si>
  <si>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</si>
  <si>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</si>
  <si>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</si>
  <si>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</si>
  <si>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</si>
  <si>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</si>
  <si>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</si>
  <si>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</si>
  <si>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</si>
  <si>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</si>
  <si>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</si>
  <si>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</si>
  <si>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</si>
  <si>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</si>
  <si>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</si>
  <si>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</si>
  <si>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</si>
  <si>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</si>
  <si>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</si>
  <si>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</si>
  <si>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</si>
  <si>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</si>
  <si>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</si>
  <si>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</si>
  <si>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</si>
  <si>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</si>
  <si>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</si>
  <si>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</si>
  <si>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</si>
  <si>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</si>
  <si>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</si>
  <si>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</si>
  <si>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</si>
  <si>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</si>
  <si>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</si>
  <si>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</si>
  <si>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</si>
  <si>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</si>
  <si>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</si>
  <si>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</si>
  <si>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</si>
  <si>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</si>
  <si>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</si>
  <si>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</si>
  <si>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</si>
  <si>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</si>
  <si>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</si>
  <si>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</si>
  <si>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</si>
  <si>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</si>
  <si>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</si>
  <si>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</si>
  <si>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</si>
  <si>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</si>
  <si>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</si>
  <si>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</si>
  <si>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</si>
  <si>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</si>
  <si>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</si>
  <si>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</si>
  <si>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</si>
  <si>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</si>
  <si>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</si>
  <si>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</si>
  <si>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</si>
  <si>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</si>
  <si>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</si>
  <si>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</si>
  <si>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</si>
  <si>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</si>
  <si>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</si>
  <si>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</si>
  <si>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</si>
  <si>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</si>
  <si>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</si>
  <si>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</si>
  <si>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</si>
  <si>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</si>
  <si>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</si>
  <si>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</si>
  <si>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</si>
  <si>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</si>
  <si>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</si>
  <si>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</si>
  <si>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</si>
  <si>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</si>
  <si>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</si>
  <si>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</si>
  <si>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</si>
  <si>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</si>
  <si>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</si>
  <si>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</si>
  <si>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</si>
  <si>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</si>
  <si>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</si>
  <si>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</si>
  <si>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</si>
  <si>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</si>
  <si>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</si>
  <si>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</si>
  <si>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</si>
  <si>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</si>
  <si>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</si>
  <si>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</si>
  <si>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</si>
  <si>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</si>
  <si>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</si>
  <si>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</si>
  <si>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</si>
  <si>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</si>
  <si>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</si>
  <si>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</si>
  <si>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</si>
  <si>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</si>
  <si>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</si>
  <si>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</si>
  <si>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</si>
  <si>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</si>
  <si>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</si>
  <si>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</si>
  <si>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</si>
  <si>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</si>
  <si>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</si>
  <si>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</si>
  <si>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</si>
  <si>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</si>
  <si>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</si>
  <si>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</si>
  <si>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</si>
  <si>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</si>
  <si>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</si>
  <si>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</si>
  <si>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</si>
  <si>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</si>
  <si>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</si>
  <si>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</si>
  <si>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</si>
  <si>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</si>
  <si>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</si>
  <si>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</si>
  <si>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</si>
  <si>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</si>
  <si>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</si>
  <si>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</si>
  <si>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</si>
  <si>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</si>
  <si>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</si>
  <si>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</si>
  <si>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</si>
  <si>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</si>
  <si>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</si>
  <si>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</si>
  <si>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</si>
  <si>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</si>
  <si>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</si>
  <si>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</si>
  <si>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</si>
  <si>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</si>
  <si>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</si>
  <si>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</si>
  <si>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</si>
  <si>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</si>
  <si>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</si>
  <si>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</si>
  <si>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</si>
  <si>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</si>
  <si>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</si>
  <si>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</si>
  <si>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</si>
  <si>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</si>
  <si>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</si>
  <si>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</si>
  <si>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</si>
  <si>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</si>
  <si>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</si>
  <si>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</si>
  <si>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</si>
  <si>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</si>
  <si>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</si>
  <si>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</si>
  <si>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</si>
  <si>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</si>
  <si>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</si>
  <si>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</si>
  <si>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</si>
  <si>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</si>
  <si>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</si>
  <si>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</si>
  <si>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</si>
  <si>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</si>
  <si>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</si>
  <si>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</si>
  <si>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</si>
  <si>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</si>
  <si>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</si>
  <si>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</si>
  <si>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</si>
  <si>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</si>
  <si>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</si>
  <si>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</si>
  <si>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</si>
  <si>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</si>
  <si>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</si>
  <si>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</si>
  <si>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</si>
  <si>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</si>
  <si>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</si>
  <si>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</si>
  <si>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</si>
  <si>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</si>
  <si>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</si>
  <si>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</si>
  <si>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</si>
  <si>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</si>
  <si>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</si>
  <si>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</si>
  <si>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</si>
  <si>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</si>
  <si>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</si>
  <si>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</si>
  <si>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</si>
  <si>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</si>
  <si>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</si>
  <si>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</si>
  <si>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</si>
  <si>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</si>
  <si>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</si>
  <si>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</si>
  <si>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</si>
  <si>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</si>
  <si>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</si>
  <si>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</si>
  <si>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</si>
  <si>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</si>
  <si>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</si>
  <si>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</si>
  <si>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</si>
  <si>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</si>
  <si>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</si>
  <si>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</si>
  <si>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</si>
  <si>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</si>
  <si>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</si>
  <si>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</si>
  <si>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</si>
  <si>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</si>
  <si>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</si>
  <si>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</si>
  <si>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</si>
  <si>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</si>
  <si>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</si>
  <si>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</si>
  <si>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</si>
  <si>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</si>
  <si>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</si>
  <si>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</si>
  <si>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</si>
  <si>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</si>
  <si>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</si>
  <si>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</si>
  <si>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</si>
  <si>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</si>
  <si>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</si>
  <si>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</si>
  <si>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</si>
  <si>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</si>
  <si>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</si>
  <si>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</si>
  <si>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</si>
  <si>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</si>
  <si>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</si>
  <si>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</si>
  <si>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</si>
  <si>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</si>
  <si>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</si>
  <si>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</si>
  <si>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</si>
  <si>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</si>
  <si>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</si>
  <si>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</si>
  <si>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</si>
  <si>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</si>
  <si>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</si>
  <si>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</si>
  <si>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</si>
  <si>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</si>
  <si>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</si>
  <si>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</si>
  <si>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</si>
  <si>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</si>
  <si>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</si>
  <si>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</si>
  <si>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</si>
  <si>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</si>
  <si>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</si>
  <si>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</si>
  <si>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</si>
  <si>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</si>
  <si>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</si>
  <si>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</si>
  <si>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</si>
  <si>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</si>
  <si>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</si>
  <si>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</si>
  <si>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</si>
  <si>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</si>
  <si>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</si>
  <si>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</si>
  <si>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</si>
  <si>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</si>
  <si>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</si>
  <si>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</si>
  <si>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</si>
  <si>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</si>
  <si>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</si>
  <si>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</si>
  <si>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</si>
  <si>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</si>
  <si>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</si>
  <si>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</si>
  <si>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</si>
  <si>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</si>
  <si>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</si>
  <si>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</si>
  <si>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</si>
  <si>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</si>
  <si>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</si>
  <si>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</si>
  <si>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</si>
  <si>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</si>
  <si>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</si>
  <si>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</si>
  <si>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</si>
  <si>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</si>
  <si>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</si>
  <si>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</si>
  <si>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</si>
  <si>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</si>
  <si>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</si>
  <si>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</si>
  <si>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</si>
  <si>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</si>
  <si>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</si>
  <si>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</si>
  <si>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</si>
  <si>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</si>
  <si>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</si>
  <si>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</si>
  <si>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</si>
  <si>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</si>
  <si>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</si>
  <si>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</si>
  <si>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</si>
  <si>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</si>
  <si>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</si>
  <si>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</si>
  <si>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</si>
  <si>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</si>
  <si>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</si>
  <si>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</si>
  <si>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</si>
  <si>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</si>
  <si>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</si>
  <si>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</si>
  <si>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</si>
  <si>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</si>
  <si>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</si>
  <si>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</si>
  <si>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</si>
  <si>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</si>
  <si>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</si>
  <si>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</si>
  <si>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</si>
  <si>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</si>
  <si>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</si>
  <si>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</si>
  <si>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</si>
  <si>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</si>
  <si>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</si>
  <si>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</si>
  <si>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</si>
  <si>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</si>
  <si>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</si>
  <si>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</si>
  <si>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</si>
  <si>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</si>
  <si>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</si>
  <si>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</si>
  <si>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</si>
  <si>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</si>
  <si>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</si>
  <si>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</si>
  <si>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</si>
  <si>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</si>
  <si>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</si>
  <si>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</si>
  <si>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</si>
  <si>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</si>
  <si>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</si>
  <si>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</si>
  <si>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</si>
  <si>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</si>
  <si>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</si>
  <si>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</si>
  <si>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</si>
  <si>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</si>
  <si>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</si>
  <si>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</si>
  <si>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</si>
  <si>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</si>
  <si>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</si>
  <si>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</si>
  <si>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</si>
  <si>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</si>
  <si>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</si>
  <si>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</si>
  <si>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</si>
  <si>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</si>
  <si>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</si>
  <si>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</si>
  <si>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</si>
  <si>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</si>
  <si>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</si>
  <si>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</si>
  <si>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</si>
  <si>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</si>
  <si>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</si>
  <si>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</si>
  <si>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</si>
  <si>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</si>
  <si>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</si>
  <si>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</si>
  <si>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</si>
  <si>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</si>
  <si>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</si>
  <si>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</si>
  <si>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</si>
  <si>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</si>
  <si>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</si>
  <si>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</si>
  <si>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</si>
  <si>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</si>
  <si>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</si>
  <si>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</si>
  <si>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</si>
  <si>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</si>
  <si>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</si>
  <si>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</si>
  <si>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</si>
  <si>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</si>
  <si>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</si>
  <si>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</si>
  <si>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</si>
  <si>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</si>
  <si>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</si>
  <si>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</si>
  <si>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</si>
  <si>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</si>
  <si>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</si>
  <si>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</si>
  <si>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</si>
  <si>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</si>
  <si>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</si>
  <si>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</si>
  <si>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</si>
  <si>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</si>
  <si>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</si>
  <si>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</si>
  <si>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</si>
  <si>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</si>
  <si>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</si>
  <si>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</si>
  <si>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</si>
  <si>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</si>
  <si>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</si>
  <si>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</si>
  <si>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</si>
  <si>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</si>
  <si>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</si>
  <si>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</si>
  <si>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</si>
  <si>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</si>
  <si>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</si>
  <si>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</si>
  <si>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</si>
  <si>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</si>
  <si>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</si>
  <si>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</si>
  <si>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</si>
  <si>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</si>
  <si>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</si>
  <si>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</si>
  <si>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</si>
  <si>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</si>
  <si>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</si>
  <si>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</si>
  <si>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</si>
  <si>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</si>
  <si>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</si>
  <si>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</si>
  <si>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</si>
  <si>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</si>
  <si>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</si>
  <si>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</si>
  <si>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</si>
  <si>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</si>
  <si>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</si>
  <si>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</si>
  <si>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</si>
  <si>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</si>
  <si>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</si>
  <si>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</si>
  <si>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</si>
  <si>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</si>
  <si>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</si>
  <si>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</si>
  <si>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</si>
  <si>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</si>
  <si>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</si>
  <si>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</si>
  <si>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</si>
  <si>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</si>
  <si>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</si>
  <si>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</si>
  <si>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</si>
  <si>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</si>
  <si>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</si>
  <si>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</si>
  <si>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</si>
  <si>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</si>
  <si>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</si>
  <si>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</si>
  <si>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</si>
  <si>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</si>
  <si>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</si>
  <si>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</si>
  <si>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</si>
  <si>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</si>
  <si>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</si>
  <si>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</si>
  <si>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</si>
  <si>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</si>
  <si>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</si>
  <si>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</si>
  <si>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</si>
  <si>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</si>
  <si>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</si>
  <si>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</si>
  <si>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</si>
  <si>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</si>
  <si>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</si>
  <si>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</si>
  <si>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</si>
  <si>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</si>
  <si>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</si>
  <si>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</si>
  <si>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</si>
  <si>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</si>
  <si>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</si>
  <si>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</si>
  <si>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</si>
  <si>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</si>
  <si>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</si>
  <si>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</si>
  <si>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</si>
  <si>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</si>
  <si>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</si>
  <si>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</si>
  <si>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</si>
  <si>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</si>
  <si>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</si>
  <si>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</si>
  <si>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</si>
  <si>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</si>
  <si>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</si>
  <si>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</si>
  <si>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</si>
  <si>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</si>
  <si>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</si>
  <si>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</si>
  <si>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</si>
  <si>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</si>
  <si>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</si>
  <si>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</si>
  <si>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</si>
  <si>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</si>
  <si>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</si>
  <si>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</si>
  <si>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</si>
  <si>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</si>
  <si>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</si>
  <si>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</si>
  <si>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</si>
  <si>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</si>
  <si>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</si>
  <si>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</si>
  <si>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</si>
  <si>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</si>
  <si>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</si>
  <si>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</si>
  <si>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</si>
  <si>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</si>
  <si>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</si>
  <si>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</si>
  <si>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</si>
  <si>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</si>
  <si>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</si>
  <si>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</si>
  <si>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</si>
  <si>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</si>
  <si>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</si>
  <si>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</si>
  <si>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</si>
  <si>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</si>
  <si>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</si>
  <si>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</si>
  <si>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</si>
  <si>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</si>
  <si>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</si>
  <si>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</si>
  <si>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</si>
  <si>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</si>
  <si>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</si>
  <si>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</si>
  <si>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</si>
  <si>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</si>
  <si>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</si>
  <si>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</si>
  <si>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</si>
  <si>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</si>
  <si>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</si>
  <si>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</si>
  <si>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</si>
  <si>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</si>
  <si>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</si>
  <si>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</si>
  <si>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</si>
  <si>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</si>
  <si>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</si>
  <si>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</si>
  <si>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</si>
  <si>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</si>
  <si>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</si>
  <si>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</si>
  <si>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</si>
  <si>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</si>
  <si>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</si>
  <si>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</si>
  <si>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</si>
  <si>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</si>
  <si>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</si>
  <si>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</si>
  <si>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</si>
  <si>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</si>
  <si>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</si>
  <si>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</si>
  <si>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</si>
  <si>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</si>
  <si>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</si>
  <si>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</si>
  <si>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</si>
  <si>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</si>
  <si>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</si>
  <si>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</si>
  <si>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</si>
  <si>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</si>
  <si>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</si>
  <si>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</si>
  <si>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</si>
  <si>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</si>
  <si>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</si>
  <si>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</si>
  <si>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</si>
  <si>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</si>
  <si>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</si>
  <si>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</si>
  <si>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</si>
  <si>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</si>
  <si>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</si>
  <si>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</si>
  <si>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</si>
  <si>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</si>
  <si>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</si>
  <si>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</si>
  <si>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</si>
  <si>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</si>
  <si>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</si>
  <si>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</si>
  <si>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</si>
  <si>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</si>
  <si>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</si>
  <si>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</si>
  <si>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</si>
  <si>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</si>
  <si>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</si>
  <si>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</si>
  <si>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</si>
  <si>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</si>
  <si>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</si>
  <si>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</si>
  <si>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</si>
  <si>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</si>
  <si>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</si>
  <si>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</si>
  <si>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</si>
  <si>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</si>
  <si>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</si>
  <si>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</si>
  <si>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</si>
  <si>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</si>
  <si>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</si>
  <si>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</si>
  <si>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</si>
  <si>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</si>
  <si>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</si>
  <si>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</si>
  <si>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</si>
  <si>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</si>
  <si>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</si>
  <si>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</si>
  <si>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</si>
  <si>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</si>
  <si>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</si>
  <si>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</si>
  <si>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</si>
  <si>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</si>
  <si>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</si>
  <si>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</si>
  <si>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</si>
  <si>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</si>
  <si>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</si>
  <si>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</si>
  <si>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</si>
  <si>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</si>
  <si>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</si>
  <si>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</si>
  <si>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</si>
  <si>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</si>
  <si>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</si>
  <si>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</si>
  <si>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</si>
  <si>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</si>
  <si>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</si>
  <si>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</si>
  <si>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</si>
  <si>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</si>
  <si>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</si>
  <si>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</si>
  <si>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</si>
  <si>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</si>
  <si>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</si>
  <si>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</si>
  <si>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</si>
  <si>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</si>
  <si>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</si>
  <si>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</si>
  <si>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</si>
  <si>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</si>
  <si>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</si>
  <si>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</si>
  <si>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</si>
  <si>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</si>
  <si>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</si>
  <si>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</si>
  <si>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</si>
  <si>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</si>
  <si>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</si>
  <si>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</si>
  <si>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</si>
  <si>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</si>
  <si>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</si>
  <si>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</si>
  <si>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</si>
  <si>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</si>
  <si>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</si>
  <si>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</si>
  <si>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</si>
  <si>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</si>
  <si>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</si>
  <si>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</si>
  <si>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</si>
  <si>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</si>
  <si>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</si>
  <si>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</si>
  <si>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</si>
  <si>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</si>
  <si>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</si>
  <si>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</si>
  <si>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</si>
  <si>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</si>
  <si>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</si>
  <si>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</si>
  <si>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</si>
  <si>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</si>
  <si>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</si>
  <si>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</si>
  <si>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</si>
  <si>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</si>
  <si>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</si>
  <si>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</si>
  <si>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</si>
  <si>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</si>
  <si>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</si>
  <si>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</si>
  <si>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</si>
  <si>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</si>
  <si>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</si>
  <si>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</si>
  <si>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</si>
  <si>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</si>
  <si>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</si>
  <si>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</si>
  <si>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</si>
  <si>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</si>
  <si>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</si>
  <si>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</si>
  <si>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</si>
  <si>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</si>
  <si>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</si>
  <si>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</si>
  <si>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</si>
  <si>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</si>
  <si>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</si>
  <si>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</si>
  <si>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</si>
  <si>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</si>
  <si>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</si>
  <si>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</si>
  <si>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</si>
  <si>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</si>
  <si>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</si>
  <si>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</si>
  <si>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</si>
  <si>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</si>
  <si>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</si>
  <si>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</si>
  <si>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</si>
  <si>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</si>
  <si>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</si>
  <si>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</si>
  <si>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</si>
  <si>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</si>
  <si>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</si>
  <si>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</si>
  <si>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</si>
  <si>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</si>
  <si>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</si>
  <si>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</si>
  <si>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</si>
  <si>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</si>
  <si>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</si>
  <si>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</si>
  <si>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</si>
  <si>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</si>
  <si>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</si>
  <si>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</si>
  <si>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</si>
  <si>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</si>
  <si>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</si>
  <si>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</si>
  <si>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</si>
  <si>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</si>
  <si>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</si>
  <si>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</si>
  <si>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</si>
  <si>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</si>
  <si>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</si>
  <si>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</si>
  <si>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</si>
  <si>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</si>
  <si>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</si>
  <si>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</si>
  <si>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</si>
  <si>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</si>
  <si>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</si>
  <si>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</si>
  <si>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</si>
  <si>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</si>
  <si>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</si>
  <si>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</si>
  <si>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</si>
  <si>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</si>
  <si>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</si>
  <si>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</si>
  <si>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</si>
  <si>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</si>
  <si>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</si>
  <si>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</si>
  <si>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</si>
  <si>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</si>
  <si>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</si>
  <si>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</si>
  <si>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</si>
  <si>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</si>
  <si>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</si>
  <si>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</si>
  <si>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</si>
  <si>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</si>
  <si>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</si>
  <si>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</si>
  <si>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</si>
  <si>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</si>
  <si>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</si>
  <si>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</si>
  <si>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</si>
  <si>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</si>
  <si>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</si>
  <si>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</si>
  <si>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</si>
  <si>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</si>
  <si>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</si>
  <si>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</si>
  <si>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</si>
  <si>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</si>
  <si>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</si>
  <si>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</si>
  <si>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</si>
  <si>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</si>
  <si>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</si>
  <si>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</si>
  <si>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</si>
  <si>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</si>
  <si>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</si>
  <si>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</si>
  <si>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</si>
  <si>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</si>
  <si>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</si>
  <si>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</si>
  <si>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</si>
  <si>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</si>
  <si>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</si>
  <si>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</si>
  <si>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</si>
  <si>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</si>
  <si>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</si>
  <si>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</si>
  <si>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</si>
  <si>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</si>
  <si>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</si>
  <si>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</si>
  <si>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</si>
  <si>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</si>
  <si>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</si>
  <si>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</si>
  <si>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</si>
  <si>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</si>
  <si>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</si>
  <si>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</si>
  <si>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</si>
  <si>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</si>
  <si>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</si>
  <si>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</si>
  <si>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</si>
  <si>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</si>
  <si>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</si>
  <si>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</si>
  <si>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</si>
  <si>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</si>
  <si>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</si>
  <si>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</si>
  <si>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</si>
  <si>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</si>
  <si>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</si>
  <si>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</si>
  <si>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</si>
  <si>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</si>
  <si>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</si>
  <si>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</si>
  <si>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</si>
  <si>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</si>
  <si>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</si>
  <si>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</si>
  <si>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</si>
  <si>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</si>
  <si>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</si>
  <si>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</si>
  <si>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</si>
  <si>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</si>
  <si>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</si>
  <si>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</si>
  <si>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</si>
  <si>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</si>
  <si>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</si>
  <si>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</si>
  <si>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</si>
  <si>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</si>
  <si>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</si>
  <si>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</si>
  <si>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</si>
  <si>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</si>
  <si>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</si>
  <si>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</si>
  <si>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</si>
  <si>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</si>
  <si>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</si>
  <si>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</si>
  <si>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</si>
  <si>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</si>
  <si>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</si>
  <si>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</si>
  <si>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</si>
  <si>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</si>
  <si>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</si>
  <si>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</si>
  <si>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</si>
  <si>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</si>
  <si>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</si>
  <si>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</si>
  <si>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</si>
  <si>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</si>
  <si>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</si>
  <si>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</si>
  <si>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</si>
  <si>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</si>
  <si>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</si>
  <si>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</si>
  <si>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</si>
  <si>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</si>
  <si>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</si>
  <si>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</si>
  <si>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</si>
  <si>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</si>
  <si>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</si>
  <si>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</si>
  <si>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</si>
  <si>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</si>
  <si>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</si>
  <si>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</si>
  <si>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</si>
  <si>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</si>
  <si>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</si>
  <si>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</si>
  <si>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</si>
  <si>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</si>
  <si>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</si>
  <si>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</si>
  <si>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</si>
  <si>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</si>
  <si>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</si>
  <si>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</si>
  <si>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</si>
  <si>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</si>
  <si>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</si>
  <si>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</si>
  <si>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</si>
  <si>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</si>
  <si>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</si>
  <si>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</si>
  <si>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</si>
  <si>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</si>
  <si>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</si>
  <si>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</si>
  <si>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</si>
  <si>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</si>
  <si>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</si>
  <si>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</si>
  <si>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</si>
  <si>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</si>
  <si>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</si>
  <si>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</si>
  <si>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</si>
  <si>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</si>
  <si>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</si>
  <si>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</si>
  <si>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</si>
  <si>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</si>
  <si>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</si>
  <si>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</si>
  <si>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</si>
  <si>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</si>
  <si>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</si>
  <si>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</si>
  <si>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</si>
  <si>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</si>
  <si>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</si>
  <si>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</si>
  <si>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</si>
  <si>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</si>
  <si>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</si>
  <si>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</si>
  <si>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</si>
  <si>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</si>
  <si>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</si>
  <si>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</si>
  <si>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</si>
  <si>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</si>
  <si>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</si>
  <si>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</si>
  <si>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</si>
  <si>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</si>
  <si>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</si>
  <si>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</si>
  <si>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</si>
  <si>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</si>
  <si>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</si>
  <si>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</si>
  <si>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</si>
  <si>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</si>
  <si>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</si>
  <si>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</si>
  <si>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</si>
  <si>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</si>
  <si>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</si>
  <si>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</si>
  <si>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</si>
  <si>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</si>
  <si>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</si>
  <si>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</si>
  <si>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</si>
  <si>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</si>
  <si>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</si>
  <si>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</si>
  <si>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</si>
  <si>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</si>
  <si>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</si>
  <si>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</si>
  <si>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</si>
  <si>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</si>
  <si>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</si>
  <si>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</si>
  <si>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</si>
  <si>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</si>
  <si>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</si>
  <si>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</si>
  <si>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</si>
  <si>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</si>
  <si>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</si>
  <si>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</si>
  <si>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</si>
  <si>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</si>
  <si>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</si>
  <si>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</si>
  <si>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</si>
  <si>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</si>
  <si>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</si>
  <si>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</si>
  <si>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</si>
  <si>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</si>
  <si>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</si>
  <si>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</si>
  <si>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</si>
  <si>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</si>
  <si>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</si>
  <si>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</si>
  <si>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</si>
  <si>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</si>
  <si>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</si>
  <si>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</si>
  <si>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</si>
  <si>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</si>
  <si>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</si>
  <si>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</si>
  <si>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</si>
  <si>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</si>
  <si>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</si>
  <si>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</si>
  <si>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</si>
  <si>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</si>
  <si>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</si>
  <si>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</si>
  <si>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</si>
  <si>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</si>
  <si>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</si>
  <si>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</si>
  <si>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</si>
  <si>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</si>
  <si>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</si>
  <si>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</si>
  <si>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</si>
  <si>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</si>
  <si>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</si>
  <si>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</si>
  <si>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</si>
  <si>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</si>
  <si>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</si>
  <si>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</si>
  <si>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</si>
  <si>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</si>
  <si>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</si>
  <si>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</si>
  <si>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</si>
  <si>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</si>
  <si>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</si>
  <si>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</si>
  <si>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</si>
  <si>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</si>
  <si>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</si>
  <si>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</si>
  <si>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</si>
  <si>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</si>
  <si>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</si>
  <si>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</si>
  <si>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</si>
  <si>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</si>
  <si>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</si>
  <si>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</si>
  <si>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</si>
  <si>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</si>
  <si>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</si>
  <si>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</si>
  <si>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</si>
  <si>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</si>
  <si>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</si>
  <si>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</si>
  <si>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</si>
  <si>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</si>
  <si>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</si>
  <si>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</si>
  <si>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</si>
  <si>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</si>
  <si>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</si>
  <si>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</si>
  <si>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</si>
  <si>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</si>
  <si>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</si>
  <si>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</si>
  <si>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</si>
  <si>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</si>
  <si>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</si>
  <si>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</si>
  <si>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</si>
  <si>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</si>
  <si>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</si>
  <si>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</si>
  <si>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</si>
  <si>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</si>
  <si>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</si>
  <si>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</si>
  <si>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</si>
  <si>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</si>
  <si>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</si>
  <si>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</si>
  <si>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</si>
  <si>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</si>
  <si>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</si>
  <si>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</si>
  <si>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</si>
  <si>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</si>
  <si>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</si>
  <si>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</si>
  <si>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</si>
  <si>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</si>
  <si>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</si>
  <si>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</si>
  <si>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</si>
  <si>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</si>
  <si>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</si>
  <si>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</si>
  <si>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</si>
  <si>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</si>
  <si>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</si>
  <si>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</si>
  <si>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</si>
  <si>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</si>
  <si>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</si>
  <si>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</si>
  <si>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</si>
  <si>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</si>
  <si>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</si>
  <si>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</si>
  <si>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</si>
  <si>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</si>
  <si>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</si>
  <si>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</si>
  <si>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</si>
  <si>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</si>
  <si>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</si>
  <si>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</si>
  <si>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</si>
  <si>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</si>
  <si>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</si>
  <si>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</si>
  <si>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</si>
  <si>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</si>
  <si>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</si>
  <si>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</si>
  <si>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</si>
  <si>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</si>
  <si>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</si>
  <si>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</si>
  <si>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</si>
  <si>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</si>
  <si>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</si>
  <si>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</si>
  <si>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</si>
  <si>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</si>
  <si>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</si>
  <si>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</si>
  <si>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</si>
  <si>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</si>
  <si>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</si>
  <si>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</si>
  <si>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</si>
  <si>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</si>
  <si>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</si>
  <si>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</si>
  <si>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</si>
  <si>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</si>
  <si>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</si>
  <si>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</si>
  <si>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</si>
  <si>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</si>
  <si>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</si>
  <si>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</si>
  <si>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</si>
  <si>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</si>
  <si>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</si>
  <si>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</si>
  <si>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</si>
  <si>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</si>
  <si>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</si>
  <si>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</si>
  <si>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</si>
  <si>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</si>
  <si>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</si>
  <si>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</si>
  <si>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</si>
  <si>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</si>
  <si>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</si>
  <si>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</si>
  <si>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</si>
  <si>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</si>
  <si>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</si>
  <si>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</si>
  <si>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</si>
  <si>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</si>
  <si>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</si>
  <si>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</si>
  <si>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</si>
  <si>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</si>
  <si>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</si>
  <si>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</si>
  <si>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</si>
  <si>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</si>
  <si>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</si>
  <si>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</si>
  <si>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</si>
  <si>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</si>
  <si>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</si>
  <si>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</si>
  <si>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</si>
  <si>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</si>
  <si>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</si>
  <si>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</si>
  <si>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</si>
  <si>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</si>
  <si>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</si>
  <si>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</si>
  <si>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</si>
  <si>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</si>
  <si>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</si>
  <si>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</si>
  <si>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</si>
  <si>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</si>
  <si>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</si>
  <si>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</si>
  <si>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</si>
  <si>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</si>
  <si>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</si>
  <si>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</si>
  <si>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</si>
  <si>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</si>
  <si>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</si>
  <si>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</si>
  <si>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</si>
  <si>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</si>
  <si>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</si>
  <si>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</si>
  <si>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</si>
  <si>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</si>
  <si>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</si>
  <si>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</si>
  <si>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</si>
  <si>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</si>
  <si>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</si>
  <si>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</si>
  <si>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</si>
  <si>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</si>
  <si>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</si>
  <si>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</si>
  <si>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</si>
  <si>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</si>
  <si>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</si>
  <si>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</si>
  <si>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</si>
  <si>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</si>
  <si>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</si>
  <si>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</si>
  <si>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</si>
  <si>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</si>
  <si>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</si>
  <si>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</si>
  <si>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</si>
  <si>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</si>
  <si>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</si>
  <si>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</si>
  <si>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</si>
  <si>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</si>
  <si>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</si>
  <si>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</si>
  <si>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</si>
  <si>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</si>
  <si>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</si>
  <si>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</si>
  <si>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</si>
  <si>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</si>
  <si>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</si>
  <si>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</si>
  <si>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</si>
  <si>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</si>
  <si>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</si>
  <si>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</si>
  <si>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</si>
  <si>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</si>
  <si>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</si>
  <si>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</si>
  <si>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</si>
  <si>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</si>
  <si>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</si>
  <si>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</si>
  <si>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</si>
  <si>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</si>
  <si>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</si>
  <si>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</si>
  <si>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</si>
  <si>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</si>
  <si>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</si>
  <si>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</si>
  <si>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</si>
  <si>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</si>
  <si>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</si>
  <si>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</si>
  <si>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</si>
  <si>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</si>
  <si>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</si>
  <si>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</si>
  <si>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</si>
  <si>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</si>
  <si>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</si>
  <si>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</si>
  <si>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</si>
  <si>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</si>
  <si>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</si>
  <si>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</si>
  <si>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</si>
  <si>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</si>
  <si>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</si>
  <si>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</si>
  <si>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</si>
  <si>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</si>
  <si>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</si>
  <si>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</si>
  <si>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</si>
  <si>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</si>
  <si>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</si>
  <si>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</si>
  <si>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</si>
  <si>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</si>
  <si>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</si>
  <si>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</si>
  <si>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</si>
  <si>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</si>
  <si>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</si>
  <si>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</si>
  <si>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</si>
  <si>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</si>
  <si>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</si>
  <si>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</si>
  <si>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</si>
  <si>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</si>
  <si>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</si>
  <si>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</si>
  <si>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</si>
  <si>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</si>
  <si>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</si>
  <si>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</si>
  <si>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</si>
  <si>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</si>
  <si>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</si>
  <si>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</si>
  <si>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</si>
  <si>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</si>
  <si>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</si>
  <si>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</si>
  <si>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</si>
  <si>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</si>
  <si>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</si>
  <si>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</si>
  <si>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</si>
  <si>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</si>
  <si>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</si>
  <si>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</si>
  <si>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</si>
  <si>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</si>
  <si>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</si>
  <si>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</si>
  <si>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</si>
  <si>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</si>
  <si>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</si>
  <si>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</si>
  <si>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</si>
  <si>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</si>
  <si>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</si>
  <si>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</si>
  <si>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</si>
  <si>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</si>
  <si>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</si>
  <si>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</si>
  <si>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</si>
  <si>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</si>
  <si>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</si>
  <si>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</si>
  <si>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</si>
  <si>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</si>
  <si>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</si>
  <si>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</si>
  <si>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</si>
  <si>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</si>
  <si>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</si>
  <si>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</si>
  <si>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</si>
  <si>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</si>
  <si>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</si>
  <si>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</si>
  <si>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</si>
  <si>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</si>
  <si>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</si>
  <si>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</si>
  <si>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</si>
  <si>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</si>
  <si>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</si>
  <si>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</si>
  <si>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</si>
  <si>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</si>
  <si>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</si>
  <si>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</si>
  <si>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</si>
  <si>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</si>
  <si>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</si>
  <si>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</si>
  <si>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</si>
  <si>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</si>
  <si>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</si>
  <si>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</si>
  <si>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</si>
  <si>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</si>
  <si>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</si>
  <si>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</si>
  <si>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</si>
  <si>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</si>
  <si>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</si>
  <si>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</si>
  <si>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</si>
  <si>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</si>
  <si>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</si>
  <si>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</si>
  <si>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</si>
  <si>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</si>
  <si>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</si>
  <si>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</si>
  <si>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</si>
  <si>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</si>
  <si>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</si>
  <si>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</si>
  <si>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</si>
  <si>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</si>
  <si>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</si>
  <si>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</si>
  <si>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</si>
  <si>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</si>
  <si>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</si>
  <si>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</si>
  <si>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</si>
  <si>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</si>
  <si>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</si>
  <si>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</si>
  <si>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</si>
  <si>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</si>
  <si>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</si>
  <si>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</si>
  <si>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</si>
  <si>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</si>
  <si>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</si>
  <si>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</si>
  <si>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</si>
  <si>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</si>
  <si>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</si>
  <si>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</si>
  <si>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</si>
  <si>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</si>
  <si>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</si>
  <si>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</si>
  <si>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</si>
  <si>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</si>
  <si>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</si>
  <si>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</si>
  <si>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</si>
  <si>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</si>
  <si>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</si>
  <si>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</si>
  <si>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</si>
  <si>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</si>
  <si>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</si>
  <si>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</si>
  <si>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</si>
  <si>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</si>
  <si>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</si>
  <si>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</si>
  <si>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</si>
  <si>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</si>
  <si>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</si>
  <si>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</si>
  <si>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</si>
  <si>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</si>
  <si>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</si>
  <si>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</si>
  <si>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</si>
  <si>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</si>
  <si>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</si>
  <si>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</si>
  <si>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</si>
  <si>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</si>
  <si>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</si>
  <si>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</si>
  <si>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</si>
  <si>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</si>
  <si>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</si>
  <si>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</si>
  <si>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</si>
  <si>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</si>
  <si>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</si>
  <si>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</si>
  <si>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</si>
  <si>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</si>
  <si>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</si>
  <si>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</si>
  <si>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</si>
  <si>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</si>
  <si>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</si>
  <si>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</si>
  <si>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</si>
  <si>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</si>
  <si>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</si>
  <si>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</si>
  <si>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</si>
  <si>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</si>
  <si>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</si>
  <si>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</si>
  <si>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</si>
  <si>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</si>
  <si>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</si>
  <si>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</si>
  <si>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</si>
  <si>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</si>
  <si>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</si>
  <si>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</si>
  <si>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</si>
  <si>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</si>
  <si>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</si>
  <si>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</si>
  <si>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</si>
  <si>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</si>
  <si>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</si>
  <si>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</si>
  <si>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</si>
  <si>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</si>
  <si>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</si>
  <si>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</si>
  <si>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</si>
  <si>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</si>
  <si>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</si>
  <si>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</si>
  <si>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</si>
  <si>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</si>
  <si>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</si>
  <si>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</si>
  <si>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</si>
  <si>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</si>
  <si>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</si>
  <si>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</si>
  <si>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</si>
  <si>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</si>
  <si>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</si>
  <si>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</si>
  <si>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</si>
  <si>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</si>
  <si>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</si>
  <si>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</si>
  <si>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</si>
  <si>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</si>
  <si>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</si>
  <si>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</si>
  <si>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</si>
  <si>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</si>
  <si>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</si>
  <si>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</si>
  <si>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</si>
  <si>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</si>
  <si>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</si>
  <si>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</si>
  <si>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</si>
  <si>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</si>
  <si>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</si>
  <si>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</si>
  <si>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</si>
  <si>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</si>
  <si>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</si>
  <si>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</si>
  <si>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</si>
  <si>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</si>
  <si>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</si>
  <si>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</si>
  <si>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</si>
  <si>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</si>
  <si>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</si>
  <si>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</si>
  <si>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</si>
  <si>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</si>
  <si>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</si>
  <si>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</si>
  <si>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</si>
  <si>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</si>
  <si>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</si>
  <si>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</si>
  <si>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</si>
  <si>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</si>
  <si>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</si>
  <si>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</si>
  <si>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</si>
  <si>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</si>
  <si>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</si>
  <si>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</si>
  <si>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</si>
  <si>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</si>
  <si>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</si>
  <si>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</si>
  <si>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</si>
  <si>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</si>
  <si>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</si>
  <si>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</si>
  <si>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</si>
  <si>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</si>
  <si>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</si>
  <si>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</si>
  <si>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</si>
  <si>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</si>
  <si>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</si>
  <si>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</si>
  <si>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</si>
  <si>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</si>
  <si>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</si>
  <si>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</si>
  <si>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</si>
  <si>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</si>
  <si>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</si>
  <si>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</si>
  <si>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</si>
  <si>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</si>
  <si>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</si>
  <si>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</si>
  <si>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</si>
  <si>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</si>
  <si>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</si>
  <si>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</si>
  <si>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</si>
  <si>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</si>
  <si>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</si>
  <si>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</si>
  <si>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</si>
  <si>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</si>
  <si>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</si>
  <si>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</si>
  <si>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</si>
  <si>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</si>
  <si>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</si>
  <si>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</si>
  <si>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</si>
  <si>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</si>
  <si>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</si>
  <si>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</si>
  <si>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</si>
  <si>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</si>
  <si>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</si>
  <si>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</si>
  <si>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</si>
  <si>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</si>
  <si>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</si>
  <si>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</si>
  <si>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</si>
  <si>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</si>
  <si>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</si>
  <si>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</si>
  <si>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</si>
  <si>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</si>
  <si>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</si>
  <si>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</si>
  <si>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</si>
  <si>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</si>
  <si>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</si>
  <si>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</si>
  <si>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</si>
  <si>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</si>
  <si>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</si>
  <si>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</si>
  <si>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</si>
  <si>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</si>
  <si>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</si>
  <si>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</si>
  <si>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</si>
  <si>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</si>
  <si>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</si>
  <si>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</si>
  <si>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</si>
  <si>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</si>
  <si>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</si>
  <si>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</si>
  <si>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</si>
  <si>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</si>
  <si>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</si>
  <si>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</si>
  <si>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</si>
  <si>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</si>
  <si>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</si>
  <si>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</si>
  <si>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</si>
  <si>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</si>
  <si>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</si>
  <si>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</si>
  <si>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</si>
  <si>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</si>
  <si>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</si>
  <si>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</si>
  <si>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</si>
  <si>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</si>
  <si>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</si>
  <si>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</si>
  <si>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</si>
  <si>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</si>
  <si>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</si>
  <si>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</si>
  <si>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</si>
  <si>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</si>
  <si>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</si>
  <si>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</si>
  <si>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</si>
  <si>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</si>
  <si>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</si>
  <si>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</si>
  <si>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</si>
  <si>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</si>
  <si>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</si>
  <si>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</si>
  <si>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</si>
  <si>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</si>
  <si>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</si>
  <si>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</si>
  <si>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</si>
  <si>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</si>
  <si>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</si>
  <si>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</si>
  <si>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</si>
  <si>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</si>
  <si>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</si>
  <si>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</si>
  <si>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</si>
  <si>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</si>
  <si>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</si>
  <si>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</si>
  <si>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</si>
  <si>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</si>
  <si>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</si>
  <si>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</si>
  <si>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</si>
  <si>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</si>
  <si>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</si>
  <si>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</si>
  <si>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</si>
  <si>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</si>
  <si>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</si>
  <si>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</si>
  <si>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</si>
  <si>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</si>
  <si>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</si>
  <si>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</si>
  <si>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</si>
  <si>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</si>
  <si>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</si>
  <si>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</si>
  <si>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</si>
  <si>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</si>
  <si>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</si>
  <si>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</si>
  <si>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</si>
  <si>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</si>
  <si>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</si>
  <si>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</si>
  <si>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</si>
  <si>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</si>
  <si>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</si>
  <si>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</si>
  <si>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</si>
  <si>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</si>
  <si>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</si>
  <si>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</si>
  <si>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</si>
  <si>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</si>
  <si>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</si>
  <si>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</si>
  <si>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</si>
  <si>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</si>
  <si>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</si>
  <si>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</si>
  <si>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</si>
  <si>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</si>
  <si>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</si>
  <si>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</si>
  <si>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</si>
  <si>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</si>
  <si>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</si>
  <si>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</si>
  <si>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</si>
  <si>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</si>
  <si>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</si>
  <si>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</si>
  <si>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</si>
  <si>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</si>
  <si>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</si>
  <si>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</si>
  <si>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</si>
  <si>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</si>
  <si>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</si>
  <si>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</si>
  <si>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</si>
  <si>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</si>
  <si>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</si>
  <si>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</si>
  <si>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</si>
  <si>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</si>
  <si>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</si>
  <si>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</si>
  <si>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</si>
  <si>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</si>
  <si>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</si>
  <si>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</si>
  <si>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</si>
  <si>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</si>
  <si>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</si>
  <si>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</si>
  <si>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</si>
  <si>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</si>
  <si>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</si>
  <si>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</si>
  <si>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</si>
  <si>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</si>
  <si>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</si>
  <si>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</si>
  <si>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</si>
  <si>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</si>
  <si>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</si>
  <si>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</si>
  <si>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</si>
  <si>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</si>
  <si>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</si>
  <si>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</si>
  <si>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</si>
  <si>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</si>
  <si>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</si>
  <si>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</si>
  <si>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</si>
  <si>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</si>
  <si>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</si>
  <si>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</si>
  <si>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</si>
  <si>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</si>
  <si>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</si>
  <si>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</si>
  <si>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</si>
  <si>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</si>
  <si>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</si>
  <si>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</si>
  <si>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</si>
  <si>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</si>
  <si>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</si>
  <si>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</si>
  <si>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</si>
  <si>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</si>
  <si>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</si>
  <si>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</si>
  <si>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</si>
  <si>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</si>
  <si>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</si>
  <si>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</si>
  <si>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</si>
  <si>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</si>
  <si>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</si>
  <si>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</si>
  <si>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</si>
  <si>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</si>
  <si>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</si>
  <si>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</si>
  <si>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</si>
  <si>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</si>
  <si>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</si>
  <si>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</si>
  <si>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</si>
  <si>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</si>
  <si>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</si>
  <si>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</si>
  <si>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</si>
  <si>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</si>
  <si>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</si>
  <si>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</si>
  <si>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</si>
  <si>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</si>
  <si>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</si>
  <si>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</si>
  <si>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</si>
  <si>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</si>
  <si>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</si>
  <si>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</si>
  <si>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</si>
  <si>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</si>
  <si>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</si>
  <si>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</si>
  <si>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</si>
  <si>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</si>
  <si>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</si>
  <si>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</si>
  <si>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</si>
  <si>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</si>
  <si>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</si>
  <si>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</si>
  <si>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</si>
  <si>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</si>
  <si>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</si>
  <si>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</si>
  <si>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</si>
  <si>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</si>
  <si>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</si>
  <si>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</si>
  <si>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</si>
  <si>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</si>
  <si>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</si>
  <si>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</si>
  <si>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</si>
  <si>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</si>
  <si>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</si>
  <si>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</si>
  <si>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</si>
  <si>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</si>
  <si>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</si>
  <si>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</si>
  <si>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</si>
  <si>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</si>
  <si>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</si>
  <si>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</si>
  <si>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</si>
  <si>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</si>
  <si>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</si>
  <si>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</si>
  <si>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</si>
  <si>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</si>
  <si>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</si>
  <si>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</si>
  <si>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</si>
  <si>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</si>
  <si>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</si>
  <si>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</si>
  <si>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</si>
  <si>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</si>
  <si>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</si>
  <si>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</si>
  <si>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</si>
  <si>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</si>
  <si>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</si>
  <si>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</si>
  <si>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</si>
  <si>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</si>
  <si>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</si>
  <si>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</si>
  <si>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</si>
  <si>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</si>
  <si>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</si>
  <si>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</si>
  <si>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</si>
  <si>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</si>
  <si>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</si>
  <si>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</si>
  <si>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</si>
  <si>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</si>
  <si>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</si>
  <si>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</si>
  <si>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</si>
  <si>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</si>
  <si>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</si>
  <si>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</si>
  <si>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</si>
  <si>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</si>
  <si>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</si>
  <si>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</si>
  <si>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</si>
  <si>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</si>
  <si>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</si>
  <si>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</si>
  <si>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</si>
  <si>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</si>
  <si>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</si>
  <si>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</si>
  <si>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</si>
  <si>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</si>
  <si>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</si>
  <si>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</si>
  <si>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</si>
  <si>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</si>
  <si>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</si>
  <si>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</si>
  <si>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</si>
  <si>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</si>
  <si>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</si>
  <si>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</si>
  <si>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</si>
  <si>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</si>
  <si>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</si>
  <si>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</si>
  <si>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</si>
  <si>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</si>
  <si>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</si>
  <si>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</si>
  <si>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</si>
  <si>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</si>
  <si>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</si>
  <si>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</si>
  <si>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</si>
  <si>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</si>
  <si>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</si>
  <si>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</si>
  <si>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</si>
  <si>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</si>
  <si>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</si>
  <si>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</si>
  <si>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</si>
  <si>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</si>
  <si>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</si>
  <si>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</si>
  <si>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</si>
  <si>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</si>
  <si>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</si>
  <si>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</si>
  <si>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</si>
  <si>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</si>
  <si>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</si>
  <si>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</si>
  <si>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</si>
  <si>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</si>
  <si>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</si>
  <si>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</si>
  <si>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</si>
  <si>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</si>
  <si>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</si>
  <si>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</si>
  <si>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</si>
  <si>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</si>
  <si>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</si>
  <si>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</si>
  <si>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</si>
  <si>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</si>
  <si>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</si>
  <si>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</si>
  <si>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</si>
  <si>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</si>
  <si>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</si>
  <si>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</si>
  <si>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</si>
  <si>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</si>
  <si>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</si>
  <si>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</si>
  <si>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</si>
  <si>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</si>
  <si>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</si>
  <si>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</si>
  <si>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</si>
  <si>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</si>
  <si>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</si>
  <si>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</si>
  <si>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</si>
  <si>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</si>
  <si>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</si>
  <si>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</si>
  <si>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</si>
  <si>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</si>
  <si>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</si>
  <si>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</si>
  <si>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</si>
  <si>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</si>
  <si>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</si>
  <si>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</si>
  <si>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</si>
  <si>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</si>
  <si>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</si>
  <si>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</si>
  <si>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</si>
  <si>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</si>
  <si>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</si>
  <si>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</si>
  <si>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</si>
  <si>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</si>
  <si>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</si>
  <si>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</si>
  <si>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</si>
  <si>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</si>
  <si>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</si>
  <si>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</si>
  <si>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</si>
  <si>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</si>
  <si>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</si>
  <si>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</si>
  <si>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</si>
  <si>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</si>
  <si>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</si>
  <si>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</si>
  <si>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</si>
  <si>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</si>
  <si>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</si>
  <si>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</si>
  <si>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</si>
  <si>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</si>
  <si>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</si>
  <si>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</si>
  <si>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</si>
  <si>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</si>
  <si>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</si>
  <si>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</si>
  <si>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</si>
  <si>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</si>
  <si>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</si>
  <si>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</si>
  <si>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</si>
  <si>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</si>
  <si>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</si>
  <si>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</si>
  <si>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</si>
  <si>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</si>
  <si>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</si>
  <si>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</si>
  <si>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</si>
  <si>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</si>
  <si>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</si>
  <si>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</si>
  <si>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</si>
  <si>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</si>
  <si>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</si>
  <si>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</si>
  <si>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</si>
  <si>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</si>
  <si>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</si>
  <si>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</si>
  <si>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</si>
  <si>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</si>
  <si>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</si>
  <si>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</si>
  <si>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</si>
  <si>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</si>
  <si>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</si>
  <si>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</si>
  <si>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</si>
  <si>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</si>
  <si>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</si>
  <si>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</si>
  <si>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</si>
  <si>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</si>
  <si>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</si>
  <si>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</si>
  <si>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</si>
  <si>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</si>
  <si>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</si>
  <si>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</si>
  <si>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</si>
  <si>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</si>
  <si>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</si>
  <si>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</si>
  <si>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</si>
  <si>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</si>
  <si>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</si>
  <si>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</si>
  <si>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</si>
  <si>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</si>
  <si>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</si>
  <si>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</si>
  <si>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</si>
  <si>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</si>
  <si>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</si>
  <si>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</si>
  <si>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</si>
  <si>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</si>
  <si>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</si>
  <si>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</si>
  <si>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</si>
  <si>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</si>
  <si>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</si>
  <si>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</si>
  <si>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</si>
  <si>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</si>
  <si>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</si>
  <si>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</si>
  <si>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</si>
  <si>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</si>
  <si>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</si>
  <si>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</si>
  <si>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</si>
  <si>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</si>
  <si>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</si>
  <si>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</si>
  <si>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</si>
  <si>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</si>
  <si>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</si>
  <si>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</si>
  <si>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</si>
  <si>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</si>
  <si>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</si>
  <si>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</si>
  <si>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</si>
  <si>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</si>
  <si>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</si>
  <si>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</si>
  <si>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</si>
  <si>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</si>
  <si>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</si>
  <si>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</si>
  <si>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</si>
  <si>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</si>
  <si>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</si>
  <si>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</si>
  <si>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</si>
  <si>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</si>
  <si>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</si>
  <si>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</si>
  <si>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</si>
  <si>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</si>
  <si>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</si>
  <si>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</si>
  <si>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</si>
  <si>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</si>
  <si>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</si>
  <si>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</si>
  <si>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</si>
  <si>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</si>
  <si>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</si>
  <si>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</si>
  <si>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</si>
  <si>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</si>
  <si>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</si>
  <si>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</si>
  <si>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</si>
  <si>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</si>
  <si>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</si>
  <si>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</si>
  <si>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</si>
  <si>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</si>
  <si>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</si>
  <si>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</si>
  <si>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</si>
  <si>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</si>
  <si>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</si>
  <si>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</si>
  <si>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</si>
  <si>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</si>
  <si>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</si>
  <si>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</si>
  <si>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</si>
  <si>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</si>
  <si>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</si>
  <si>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</si>
  <si>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</si>
  <si>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</si>
  <si>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</si>
  <si>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</si>
  <si>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</si>
  <si>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</si>
  <si>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</si>
  <si>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</si>
  <si>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</si>
  <si>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</si>
  <si>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</si>
  <si>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</si>
  <si>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</si>
  <si>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</si>
  <si>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</si>
  <si>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</si>
  <si>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</si>
  <si>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</si>
  <si>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</si>
  <si>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</si>
  <si>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</si>
  <si>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</si>
  <si>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</si>
  <si>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</si>
  <si>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</si>
  <si>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</si>
  <si>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</si>
  <si>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</si>
  <si>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</si>
  <si>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</si>
  <si>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</si>
  <si>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</si>
  <si>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</si>
  <si>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</si>
  <si>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</si>
  <si>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</si>
  <si>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</si>
  <si>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</si>
  <si>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</si>
  <si>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</si>
  <si>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</si>
  <si>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</si>
  <si>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</si>
  <si>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</si>
  <si>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</si>
  <si>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</si>
  <si>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</si>
  <si>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</si>
  <si>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</si>
  <si>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</si>
  <si>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</si>
  <si>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</si>
  <si>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</si>
  <si>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</si>
  <si>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</si>
  <si>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</si>
  <si>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</si>
  <si>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</si>
  <si>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</si>
  <si>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</si>
  <si>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</si>
  <si>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</si>
  <si>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</si>
  <si>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</si>
  <si>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</si>
  <si>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</si>
  <si>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</si>
  <si>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</si>
  <si>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</si>
  <si>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</si>
  <si>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</si>
  <si>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</si>
  <si>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</si>
  <si>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</si>
  <si>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</si>
  <si>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</si>
  <si>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</si>
  <si>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</si>
  <si>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</si>
  <si>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</si>
  <si>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</si>
  <si>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</si>
  <si>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</si>
  <si>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</si>
  <si>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</si>
  <si>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</si>
  <si>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</si>
  <si>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</si>
  <si>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</si>
  <si>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</si>
  <si>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</si>
  <si>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</si>
  <si>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</si>
  <si>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</si>
  <si>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</si>
  <si>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</si>
  <si>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</si>
  <si>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</si>
  <si>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</si>
  <si>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</si>
  <si>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</si>
  <si>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</si>
  <si>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</si>
  <si>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</si>
  <si>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</si>
  <si>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</si>
  <si>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</si>
  <si>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</si>
  <si>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</si>
  <si>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</si>
  <si>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</si>
  <si>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</si>
  <si>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</si>
  <si>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</si>
  <si>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</si>
  <si>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</si>
  <si>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</si>
  <si>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</si>
  <si>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</si>
  <si>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</si>
  <si>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</si>
  <si>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</si>
  <si>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</si>
  <si>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</si>
  <si>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</si>
  <si>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</si>
  <si>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</si>
  <si>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</si>
  <si>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</si>
  <si>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</si>
  <si>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</si>
  <si>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</si>
  <si>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</si>
  <si>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</si>
  <si>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</si>
  <si>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</si>
  <si>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</si>
  <si>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</si>
  <si>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</si>
  <si>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</si>
  <si>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</si>
  <si>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</si>
  <si>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</si>
  <si>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</si>
  <si>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</si>
  <si>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</si>
  <si>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</si>
  <si>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</si>
  <si>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</si>
  <si>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</si>
  <si>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</si>
  <si>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</si>
  <si>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</si>
  <si>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</si>
  <si>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</si>
  <si>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</si>
  <si>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</si>
  <si>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</si>
  <si>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</si>
  <si>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</si>
  <si>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</si>
  <si>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</si>
  <si>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</si>
  <si>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</si>
  <si>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</si>
  <si>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</si>
  <si>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</si>
  <si>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</si>
  <si>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</si>
  <si>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</si>
  <si>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</si>
  <si>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</si>
  <si>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</si>
  <si>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</si>
  <si>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</si>
  <si>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</si>
  <si>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</si>
  <si>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</si>
  <si>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</si>
  <si>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</si>
  <si>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</si>
  <si>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</si>
  <si>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</si>
  <si>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</si>
  <si>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</si>
  <si>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</si>
  <si>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</si>
  <si>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</si>
  <si>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</si>
  <si>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</si>
  <si>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</si>
  <si>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</si>
  <si>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</si>
  <si>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</si>
  <si>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</si>
  <si>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</si>
  <si>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</si>
  <si>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</si>
  <si>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</si>
  <si>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</si>
  <si>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</si>
  <si>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</si>
  <si>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</si>
  <si>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</si>
  <si>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</si>
  <si>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</si>
  <si>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</si>
  <si>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</si>
  <si>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</si>
  <si>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</si>
  <si>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</si>
  <si>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</si>
  <si>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</si>
  <si>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</si>
  <si>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</si>
  <si>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</si>
  <si>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</si>
  <si>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</si>
  <si>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</si>
  <si>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</si>
  <si>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</si>
  <si>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</si>
  <si>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</si>
  <si>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</si>
  <si>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</si>
  <si>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</si>
  <si>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</si>
  <si>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</si>
  <si>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</si>
  <si>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</si>
  <si>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</si>
  <si>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</si>
  <si>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</si>
  <si>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</si>
  <si>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</si>
  <si>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</si>
  <si>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</si>
  <si>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</si>
  <si>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</si>
  <si>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</si>
  <si>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</si>
  <si>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</si>
  <si>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</si>
  <si>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</si>
  <si>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</si>
  <si>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</si>
  <si>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</si>
  <si>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</si>
  <si>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</si>
  <si>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</si>
  <si>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</si>
  <si>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</si>
  <si>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</si>
  <si>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</si>
  <si>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</si>
  <si>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</si>
  <si>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</si>
  <si>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</si>
  <si>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</si>
  <si>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</si>
  <si>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</si>
  <si>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</si>
  <si>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</si>
  <si>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</si>
  <si>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</si>
  <si>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</si>
  <si>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</si>
  <si>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</si>
  <si>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</si>
  <si>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</si>
  <si>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</si>
  <si>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</si>
  <si>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</si>
  <si>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</si>
  <si>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</si>
  <si>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</si>
  <si>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</si>
  <si>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</si>
  <si>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</si>
  <si>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</si>
  <si>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</si>
  <si>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</si>
  <si>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</si>
  <si>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</si>
  <si>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</si>
  <si>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</si>
  <si>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</si>
  <si>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</si>
  <si>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</si>
  <si>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</si>
  <si>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</si>
  <si>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</si>
  <si>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</si>
  <si>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</si>
  <si>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</si>
  <si>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</si>
  <si>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</si>
  <si>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</si>
  <si>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</si>
  <si>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</si>
  <si>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</si>
  <si>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</si>
  <si>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</si>
  <si>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</si>
  <si>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</si>
  <si>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</si>
  <si>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</si>
  <si>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</si>
  <si>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</si>
  <si>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</si>
  <si>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</si>
  <si>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</si>
  <si>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</si>
  <si>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</si>
  <si>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</si>
  <si>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</si>
  <si>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</si>
  <si>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</si>
  <si>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</si>
  <si>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</si>
  <si>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</si>
  <si>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</si>
  <si>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</si>
  <si>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</si>
  <si>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</si>
  <si>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</si>
  <si>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</si>
  <si>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</si>
  <si>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</si>
  <si>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</si>
  <si>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</si>
  <si>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</si>
  <si>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</si>
  <si>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</si>
  <si>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</si>
  <si>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</si>
  <si>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</si>
  <si>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</si>
  <si>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</si>
  <si>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</si>
  <si>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</si>
  <si>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</si>
  <si>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</si>
  <si>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</si>
  <si>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</si>
  <si>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</si>
  <si>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</si>
  <si>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</si>
  <si>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</si>
  <si>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</si>
  <si>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</si>
  <si>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</si>
  <si>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</si>
  <si>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</si>
  <si>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</si>
  <si>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</si>
  <si>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</si>
  <si>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</si>
  <si>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</si>
  <si>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</si>
  <si>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</si>
  <si>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</si>
  <si>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</si>
  <si>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</si>
  <si>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</si>
  <si>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</si>
  <si>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</si>
  <si>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</si>
  <si>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</si>
  <si>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</si>
  <si>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</si>
  <si>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</si>
  <si>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</si>
  <si>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</si>
  <si>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</si>
  <si>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</si>
  <si>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</si>
  <si>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</si>
  <si>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</si>
  <si>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</si>
  <si>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</si>
  <si>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</si>
  <si>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</si>
  <si>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</si>
  <si>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</si>
  <si>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</si>
  <si>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</si>
  <si>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</si>
  <si>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</si>
  <si>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</si>
  <si>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</si>
  <si>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</si>
  <si>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</si>
  <si>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</si>
  <si>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</si>
  <si>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</si>
  <si>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</si>
  <si>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</si>
  <si>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</si>
  <si>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</si>
  <si>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</si>
  <si>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</si>
  <si>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</si>
  <si>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</si>
  <si>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</si>
  <si>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</si>
  <si>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</si>
  <si>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</si>
  <si>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</si>
  <si>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</si>
  <si>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</si>
  <si>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</si>
  <si>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</si>
  <si>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</si>
  <si>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</si>
  <si>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</si>
  <si>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</si>
  <si>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</si>
  <si>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</si>
  <si>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</si>
  <si>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</si>
  <si>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</si>
  <si>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</si>
  <si>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</si>
  <si>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</si>
  <si>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</si>
  <si>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</si>
  <si>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</si>
  <si>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</si>
  <si>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</si>
  <si>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</si>
  <si>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</si>
  <si>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</si>
  <si>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</si>
  <si>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</si>
  <si>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</si>
  <si>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</si>
  <si>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</si>
  <si>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</si>
  <si>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</si>
  <si>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</si>
  <si>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</si>
  <si>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</si>
  <si>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</si>
  <si>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</si>
  <si>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</si>
  <si>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</si>
  <si>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</si>
  <si>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</si>
  <si>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</si>
  <si>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</si>
  <si>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</si>
  <si>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</si>
  <si>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</si>
  <si>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</si>
  <si>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</si>
  <si>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</si>
  <si>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</si>
  <si>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</si>
  <si>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</si>
  <si>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</si>
  <si>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</si>
  <si>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</si>
  <si>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</si>
  <si>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</si>
  <si>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</si>
  <si>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</si>
  <si>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</si>
  <si>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</si>
  <si>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</si>
  <si>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</si>
  <si>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</si>
  <si>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</si>
  <si>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</si>
  <si>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</si>
  <si>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</si>
  <si>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</si>
  <si>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</si>
  <si>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</si>
  <si>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</si>
  <si>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</si>
  <si>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</si>
  <si>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</si>
  <si>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</si>
  <si>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</si>
  <si>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</si>
  <si>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</si>
  <si>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</si>
  <si>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</si>
  <si>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</si>
  <si>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</si>
  <si>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</si>
  <si>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</si>
  <si>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</si>
  <si>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</si>
  <si>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</si>
  <si>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</si>
  <si>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</si>
  <si>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</si>
  <si>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</si>
  <si>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</si>
  <si>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</si>
  <si>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</si>
  <si>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</si>
  <si>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</si>
  <si>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</si>
  <si>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</si>
  <si>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</si>
  <si>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</si>
  <si>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</si>
  <si>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</si>
  <si>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</si>
  <si>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</si>
  <si>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</si>
  <si>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</si>
  <si>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</si>
  <si>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</si>
  <si>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</si>
  <si>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</si>
  <si>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</si>
  <si>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</si>
  <si>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</si>
  <si>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</si>
  <si>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</si>
  <si>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</si>
  <si>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</si>
  <si>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</si>
  <si>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</si>
  <si>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</si>
  <si>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</si>
  <si>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</si>
  <si>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</si>
  <si>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</si>
  <si>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</si>
  <si>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</si>
  <si>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</si>
  <si>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</si>
  <si>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</si>
  <si>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</si>
  <si>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</si>
  <si>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</si>
  <si>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</si>
  <si>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</si>
  <si>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</si>
  <si>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</si>
  <si>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</si>
  <si>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</si>
  <si>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</si>
  <si>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</si>
  <si>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</si>
  <si>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</si>
  <si>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</si>
  <si>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</si>
  <si>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</si>
  <si>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</si>
  <si>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</si>
  <si>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</si>
  <si>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</si>
  <si>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</si>
  <si>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</si>
  <si>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</si>
  <si>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</si>
  <si>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</si>
  <si>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</si>
  <si>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</si>
  <si>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</si>
  <si>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</si>
  <si>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</si>
  <si>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</si>
  <si>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</si>
  <si>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</si>
  <si>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</si>
  <si>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</si>
  <si>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</si>
  <si>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</si>
  <si>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</si>
  <si>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</si>
  <si>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</si>
  <si>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</si>
  <si>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</si>
  <si>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</si>
  <si>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</si>
  <si>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</si>
  <si>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</si>
  <si>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</si>
  <si>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</si>
  <si>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</si>
  <si>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</si>
  <si>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</si>
  <si>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</si>
  <si>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</si>
  <si>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</si>
  <si>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</si>
  <si>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</si>
  <si>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</si>
  <si>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</si>
  <si>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</si>
  <si>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</si>
  <si>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</si>
  <si>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</si>
  <si>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</si>
  <si>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</si>
  <si>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</si>
  <si>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</si>
  <si>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</si>
  <si>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</si>
  <si>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</si>
  <si>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</si>
  <si>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</si>
  <si>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</si>
  <si>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</si>
  <si>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</si>
  <si>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</si>
  <si>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</si>
  <si>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</si>
  <si>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</si>
  <si>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</si>
  <si>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</si>
  <si>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</si>
  <si>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</si>
  <si>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</si>
  <si>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</si>
  <si>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</si>
  <si>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</si>
  <si>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</si>
  <si>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</si>
  <si>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</si>
  <si>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</si>
  <si>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</si>
  <si>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</si>
  <si>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</si>
  <si>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</si>
  <si>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</si>
  <si>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</si>
  <si>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</si>
  <si>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</si>
  <si>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</si>
  <si>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</si>
  <si>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</si>
  <si>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</si>
  <si>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</si>
  <si>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</si>
  <si>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</si>
  <si>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</si>
  <si>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</si>
  <si>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</si>
  <si>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</si>
  <si>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</si>
  <si>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</si>
  <si>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</si>
  <si>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</si>
  <si>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</si>
  <si>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</si>
  <si>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</si>
  <si>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</si>
  <si>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</si>
  <si>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</si>
  <si>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</si>
  <si>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</si>
  <si>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</si>
  <si>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</si>
  <si>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</si>
  <si>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</si>
  <si>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</si>
  <si>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</si>
  <si>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</si>
  <si>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</si>
  <si>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</si>
  <si>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</si>
  <si>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</si>
  <si>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</si>
  <si>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</si>
  <si>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</si>
  <si>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</si>
  <si>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</si>
  <si>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</si>
  <si>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</si>
  <si>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</si>
  <si>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</si>
  <si>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</si>
  <si>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</si>
  <si>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</si>
  <si>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</si>
  <si>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</si>
  <si>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</si>
  <si>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</si>
  <si>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</si>
  <si>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</si>
  <si>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</si>
  <si>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</si>
  <si>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</si>
  <si>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</si>
  <si>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</si>
  <si>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</si>
  <si>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</si>
  <si>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</si>
  <si>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</si>
  <si>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</si>
  <si>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</si>
  <si>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</si>
  <si>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</si>
  <si>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</si>
  <si>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</si>
  <si>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</si>
  <si>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</si>
  <si>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</si>
  <si>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</si>
  <si>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</si>
  <si>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</si>
  <si>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</si>
  <si>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</si>
  <si>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</si>
  <si>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</si>
  <si>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</si>
  <si>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</si>
  <si>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</si>
  <si>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</si>
  <si>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</si>
  <si>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</si>
  <si>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</si>
  <si>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</si>
  <si>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</si>
  <si>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</si>
  <si>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</si>
  <si>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</si>
  <si>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</si>
  <si>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</si>
  <si>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</si>
  <si>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</si>
  <si>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</si>
  <si>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</si>
  <si>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</si>
  <si>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</si>
  <si>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</si>
  <si>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</si>
  <si>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</si>
  <si>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</si>
  <si>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</si>
  <si>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</si>
  <si>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</si>
  <si>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</si>
  <si>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</si>
  <si>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</si>
  <si>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</si>
  <si>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</si>
  <si>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</si>
  <si>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</si>
  <si>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</si>
  <si>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</si>
  <si>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</si>
  <si>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</si>
  <si>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</si>
  <si>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</si>
  <si>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</si>
  <si>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</si>
  <si>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</si>
  <si>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</si>
  <si>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</si>
  <si>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</si>
  <si>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</si>
  <si>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</si>
  <si>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</si>
  <si>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</si>
  <si>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</si>
  <si>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</si>
  <si>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</si>
  <si>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</si>
  <si>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</si>
  <si>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</si>
  <si>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</si>
  <si>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</si>
  <si>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</si>
  <si>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</si>
  <si>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</si>
  <si>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</si>
  <si>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</si>
  <si>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</si>
  <si>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</si>
  <si>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</si>
  <si>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</si>
  <si>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</si>
  <si>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</si>
  <si>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</si>
  <si>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</si>
  <si>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</si>
  <si>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</si>
  <si>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</si>
  <si>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</si>
  <si>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</si>
  <si>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</si>
  <si>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</si>
  <si>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</si>
  <si>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</si>
  <si>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</si>
  <si>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</si>
  <si>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</si>
  <si>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</si>
  <si>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</si>
  <si>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</si>
  <si>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</si>
  <si>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</si>
  <si>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</si>
  <si>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</si>
  <si>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</si>
  <si>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</si>
  <si>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</si>
  <si>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</si>
  <si>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</si>
  <si>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</si>
  <si>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</si>
  <si>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</si>
  <si>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</si>
  <si>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</si>
  <si>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</si>
  <si>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</si>
  <si>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</si>
  <si>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</si>
  <si>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</si>
  <si>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</si>
  <si>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</si>
  <si>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</si>
  <si>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</si>
  <si>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</si>
  <si>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</si>
  <si>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</si>
  <si>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</si>
  <si>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</si>
  <si>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</si>
  <si>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</si>
  <si>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</si>
  <si>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</si>
  <si>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</si>
  <si>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</si>
  <si>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</si>
  <si>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</si>
  <si>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</si>
  <si>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</si>
  <si>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</si>
  <si>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</si>
  <si>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</si>
  <si>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</si>
  <si>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</si>
  <si>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</si>
  <si>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</si>
  <si>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</si>
  <si>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</si>
  <si>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</si>
  <si>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</si>
  <si>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</si>
  <si>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</si>
  <si>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</si>
  <si>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</si>
  <si>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</si>
  <si>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</si>
  <si>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</si>
  <si>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</si>
  <si>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</si>
  <si>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</si>
  <si>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</si>
  <si>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</si>
  <si>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</si>
  <si>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</si>
  <si>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</si>
  <si>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</si>
  <si>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</si>
  <si>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</si>
  <si>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</si>
  <si>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</si>
  <si>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</si>
  <si>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</si>
  <si>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</si>
  <si>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</si>
  <si>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</si>
  <si>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</si>
  <si>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</si>
  <si>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</si>
  <si>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</si>
  <si>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</si>
  <si>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</si>
  <si>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</si>
  <si>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</si>
  <si>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</si>
  <si>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</si>
  <si>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</si>
  <si>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</si>
  <si>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</si>
  <si>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</si>
  <si>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</si>
  <si>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</si>
  <si>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</si>
  <si>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</si>
  <si>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</si>
  <si>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</si>
  <si>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</si>
  <si>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</si>
  <si>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</si>
  <si>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</si>
  <si>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</si>
  <si>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</si>
  <si>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</si>
  <si>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</si>
  <si>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</si>
  <si>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</si>
  <si>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</si>
  <si>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</si>
  <si>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</si>
  <si>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</si>
  <si>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</si>
  <si>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</si>
  <si>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</si>
  <si>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</si>
  <si>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</si>
  <si>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</si>
  <si>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</si>
  <si>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</si>
  <si>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</si>
  <si>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</si>
  <si>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</si>
  <si>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</si>
  <si>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</si>
  <si>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</si>
  <si>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</si>
  <si>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</si>
  <si>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</si>
  <si>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</si>
  <si>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</si>
  <si>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</si>
  <si>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</si>
  <si>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</si>
  <si>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</si>
  <si>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</si>
  <si>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</si>
  <si>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</si>
  <si>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</si>
  <si>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</si>
  <si>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</si>
  <si>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</si>
  <si>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</si>
  <si>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</si>
  <si>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</si>
  <si>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</si>
  <si>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</si>
  <si>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</si>
  <si>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</si>
  <si>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</si>
  <si>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</si>
  <si>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</si>
  <si>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</si>
  <si>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</si>
  <si>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</si>
  <si>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</si>
  <si>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</si>
  <si>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</si>
  <si>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</si>
  <si>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</si>
  <si>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</si>
  <si>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</si>
  <si>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</si>
  <si>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</si>
  <si>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</si>
  <si>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</si>
  <si>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</si>
  <si>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</si>
  <si>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</si>
  <si>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</si>
  <si>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</si>
  <si>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</si>
  <si>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</si>
  <si>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</si>
  <si>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</si>
  <si>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</si>
  <si>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</si>
  <si>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</si>
  <si>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</si>
  <si>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</si>
  <si>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</si>
  <si>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</si>
  <si>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</si>
  <si>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</si>
  <si>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</si>
  <si>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</si>
  <si>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</si>
  <si>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</si>
  <si>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</si>
  <si>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</si>
  <si>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</si>
  <si>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</si>
  <si>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</si>
  <si>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</si>
  <si>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</si>
  <si>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</si>
  <si>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</si>
  <si>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</si>
  <si>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</si>
  <si>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</si>
  <si>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</si>
  <si>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</si>
  <si>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</si>
  <si>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</si>
  <si>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</si>
  <si>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</si>
  <si>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</si>
  <si>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</si>
  <si>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</si>
  <si>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</si>
  <si>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</si>
  <si>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</si>
  <si>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</si>
  <si>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</si>
  <si>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</si>
  <si>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</si>
  <si>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</si>
  <si>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</si>
  <si>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</si>
  <si>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</si>
  <si>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</si>
  <si>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</si>
  <si>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</si>
  <si>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</si>
  <si>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</si>
  <si>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</si>
  <si>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</si>
  <si>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</si>
  <si>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</si>
  <si>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</si>
  <si>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</si>
  <si>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</si>
  <si>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</si>
  <si>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</si>
  <si>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</si>
  <si>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</si>
  <si>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</si>
  <si>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</si>
  <si>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</si>
  <si>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</si>
  <si>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</si>
  <si>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</si>
  <si>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</si>
  <si>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</si>
  <si>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</si>
  <si>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</si>
  <si>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</si>
  <si>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</si>
  <si>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</si>
  <si>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</si>
  <si>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</si>
  <si>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</si>
  <si>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</si>
  <si>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</si>
  <si>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</si>
  <si>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</si>
  <si>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</si>
  <si>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</si>
  <si>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</si>
  <si>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</si>
  <si>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</si>
  <si>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</si>
  <si>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</si>
  <si>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</si>
  <si>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</si>
  <si>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</si>
  <si>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</si>
  <si>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</si>
  <si>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</si>
  <si>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</si>
  <si>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</si>
  <si>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</si>
  <si>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</si>
  <si>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</si>
  <si>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</si>
  <si>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</si>
  <si>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</si>
  <si>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</si>
  <si>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</si>
  <si>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</si>
  <si>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</si>
  <si>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</si>
  <si>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</si>
  <si>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</si>
  <si>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</si>
  <si>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</si>
  <si>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</si>
  <si>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</si>
  <si>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</si>
  <si>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</si>
  <si>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</si>
  <si>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</si>
  <si>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</si>
  <si>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</si>
  <si>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</si>
  <si>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</si>
  <si>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</si>
  <si>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</si>
  <si>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</si>
  <si>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</si>
  <si>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</si>
  <si>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</si>
  <si>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</si>
  <si>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</si>
  <si>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</si>
  <si>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</si>
  <si>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</si>
  <si>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</si>
  <si>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</si>
  <si>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</si>
  <si>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</si>
  <si>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</si>
  <si>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</si>
  <si>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</si>
  <si>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</si>
  <si>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</si>
  <si>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</si>
  <si>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</si>
  <si>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</si>
  <si>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</si>
  <si>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</si>
  <si>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</si>
  <si>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</si>
  <si>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</si>
  <si>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</si>
  <si>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</si>
  <si>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</si>
  <si>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</si>
  <si>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</si>
  <si>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</si>
  <si>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</si>
  <si>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</si>
  <si>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</si>
  <si>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</si>
  <si>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</si>
  <si>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</si>
  <si>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</si>
  <si>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</si>
  <si>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</si>
  <si>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</si>
  <si>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</si>
  <si>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</si>
  <si>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</si>
  <si>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</si>
  <si>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</si>
  <si>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</si>
  <si>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</si>
  <si>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</si>
  <si>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</si>
  <si>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</si>
  <si>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</si>
  <si>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</si>
  <si>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</si>
  <si>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</si>
  <si>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</si>
  <si>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</si>
  <si>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</si>
  <si>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</si>
  <si>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</si>
  <si>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</si>
  <si>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</si>
  <si>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</si>
  <si>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</si>
  <si>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</si>
  <si>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</si>
  <si>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</si>
  <si>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</si>
  <si>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</si>
  <si>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</si>
  <si>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</si>
  <si>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</si>
  <si>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</si>
  <si>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</si>
  <si>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</si>
  <si>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</si>
  <si>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</si>
  <si>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</si>
  <si>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</si>
  <si>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</si>
  <si>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</si>
  <si>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</si>
  <si>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</si>
  <si>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</si>
  <si>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</si>
  <si>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</si>
  <si>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</si>
  <si>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</si>
  <si>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</si>
  <si>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</si>
  <si>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</si>
  <si>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</si>
  <si>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</si>
  <si>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</si>
  <si>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</si>
  <si>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</si>
  <si>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</si>
  <si>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</si>
  <si>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</si>
  <si>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</si>
  <si>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</si>
  <si>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</si>
  <si>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</si>
  <si>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</si>
  <si>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</si>
  <si>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</si>
  <si>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</si>
  <si>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</si>
  <si>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</si>
  <si>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</si>
  <si>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</si>
  <si>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</si>
  <si>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</si>
  <si>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</si>
  <si>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</si>
  <si>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</si>
  <si>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</si>
  <si>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</si>
  <si>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</si>
  <si>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</si>
  <si>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</si>
  <si>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</si>
  <si>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</si>
  <si>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</si>
  <si>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</si>
  <si>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</si>
  <si>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</si>
  <si>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</si>
  <si>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</si>
  <si>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</si>
  <si>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</si>
  <si>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</si>
  <si>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</si>
  <si>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</si>
  <si>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</si>
  <si>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</si>
  <si>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</si>
  <si>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</si>
  <si>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</si>
  <si>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</si>
  <si>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</si>
  <si>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</si>
  <si>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</si>
  <si>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</si>
  <si>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</si>
  <si>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</si>
  <si>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</si>
  <si>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</si>
  <si>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</si>
  <si>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</si>
  <si>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</si>
  <si>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</si>
  <si>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</si>
  <si>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</si>
  <si>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</si>
  <si>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</si>
  <si>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</si>
  <si>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</si>
  <si>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</si>
  <si>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</si>
  <si>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</si>
  <si>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</si>
  <si>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</si>
  <si>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</si>
  <si>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</si>
  <si>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</si>
  <si>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</si>
  <si>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</si>
  <si>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</si>
  <si>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</si>
  <si>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</si>
  <si>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</si>
  <si>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</si>
  <si>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</si>
  <si>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</si>
  <si>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</si>
  <si>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</si>
  <si>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</si>
  <si>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</si>
  <si>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</si>
  <si>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</si>
  <si>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</si>
  <si>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</si>
  <si>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</si>
  <si>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</si>
  <si>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</si>
  <si>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</si>
  <si>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</si>
  <si>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</si>
  <si>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</si>
  <si>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</si>
  <si>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</si>
  <si>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</si>
  <si>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</si>
  <si>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</si>
  <si>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</si>
  <si>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</si>
  <si>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</si>
  <si>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</si>
  <si>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</si>
  <si>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</si>
  <si>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</si>
  <si>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</si>
  <si>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</si>
  <si>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</si>
  <si>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</si>
  <si>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</si>
  <si>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</si>
  <si>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</si>
  <si>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</si>
  <si>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</si>
  <si>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</si>
  <si>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</si>
  <si>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</si>
  <si>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</si>
  <si>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</si>
  <si>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</si>
  <si>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</si>
  <si>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</si>
  <si>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</si>
  <si>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</si>
  <si>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</si>
  <si>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</si>
  <si>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</si>
  <si>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</si>
  <si>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SALES</t>
  </si>
  <si>
    <t>PROFIT</t>
  </si>
  <si>
    <t>QUANTITY</t>
  </si>
  <si>
    <t>CY</t>
  </si>
  <si>
    <t>PY</t>
  </si>
  <si>
    <t>YOY%</t>
  </si>
  <si>
    <t>Monthly Sales Trend</t>
  </si>
  <si>
    <t>Monthly Profit Trend</t>
  </si>
  <si>
    <t>Highest Sales by Category</t>
  </si>
  <si>
    <t>Count of Sales</t>
  </si>
  <si>
    <t>Top Selling City</t>
  </si>
  <si>
    <t>Sales by State</t>
  </si>
  <si>
    <t>Shipping mode</t>
  </si>
  <si>
    <t>PRODUCT</t>
  </si>
  <si>
    <t>Count of Product ID</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</si>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</sst>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quot;$&quot;0.0,,\ &quot;M&quot;;[&gt;=1000]&quot;$&quot;0.0,\ &quot;K&quot;;0"/>
  </numFmts>
  <fonts count="1" x14ac:knownFonts="1">
    <font>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C6E0B4"/>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4" fontId="0" fillId="0" borderId="0" xfId="0" applyNumberFormat="1"/>
    <xf numFmtId="0" fontId="0" fillId="2" borderId="0" xfId="0" applyFill="1"/>
    <xf numFmtId="0" fontId="0" fillId="3" borderId="0" xfId="0" applyFill="1"/>
  </cellXfs>
  <cellStyles count="1">
    <cellStyle name="Normal" xfId="0" builtinId="0"/>
  </cellStyles>
  <dxfs count="63">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64" formatCode="[&gt;=1000000]&quot;$&quot;0.0,,\ &quot;M&quot;;[&gt;=1000]&quot;$&quot;0.0,\ &quot;K&quot;;0"/>
    </dxf>
    <dxf>
      <numFmt numFmtId="13" formatCode="0%"/>
    </dxf>
    <dxf>
      <numFmt numFmtId="164" formatCode="[&gt;=1000000]&quot;$&quot;0.0,,\ &quot;M&quot;;[&gt;=1000]&quot;$&quot;0.0,\ &quot;K&quot;;0"/>
    </dxf>
    <dxf>
      <numFmt numFmtId="164" formatCode="[&gt;=1000000]&quot;$&quot;0.0,,\ &quot;M&quot;;[&gt;=1000]&quot;$&quot;0.0,\ &quot;K&quot;;0"/>
    </dxf>
    <dxf>
      <fill>
        <patternFill>
          <fgColor rgb="FFC6E0B4"/>
        </patternFill>
      </fill>
    </dxf>
    <dxf>
      <fill>
        <patternFill>
          <fgColor rgb="FFC6E0B4"/>
          <bgColor rgb="FFC6E0B4"/>
        </patternFill>
      </fill>
    </dxf>
    <dxf>
      <fill>
        <patternFill>
          <bgColor theme="1"/>
        </patternFill>
      </fill>
    </dxf>
  </dxfs>
  <tableStyles count="2" defaultTableStyle="TableStyleMedium2" defaultPivotStyle="PivotStyleLight16">
    <tableStyle name="Formatted Slicer" pivot="0" table="0" count="8" xr9:uid="{9B019C2D-3B30-43F8-B689-F6C94DA819E7}">
      <tableStyleElement type="wholeTable" dxfId="62"/>
    </tableStyle>
    <tableStyle name="Sales Slicer" pivot="0" table="0" count="5" xr9:uid="{115F77C1-5C25-4E80-90A0-6D31B1ED0667}">
      <tableStyleElement type="wholeTable" dxfId="61"/>
      <tableStyleElement type="headerRow" dxfId="60"/>
    </tableStyle>
  </tableStyles>
  <colors>
    <mruColors>
      <color rgb="FFC6E0B4"/>
      <color rgb="FFAAF513"/>
      <color rgb="FF71AE48"/>
      <color rgb="FFCCFF99"/>
      <color rgb="FF212121"/>
      <color rgb="FF262626"/>
    </mruColors>
  </colors>
  <extLst>
    <ext xmlns:x14="http://schemas.microsoft.com/office/spreadsheetml/2009/9/main" uri="{46F421CA-312F-682f-3DD2-61675219B42D}">
      <x14:dxfs count="10">
        <dxf>
          <fill>
            <patternFill>
              <fgColor rgb="FFC6E0B4"/>
              <bgColor theme="9" tint="0.39994506668294322"/>
            </patternFill>
          </fill>
        </dxf>
        <dxf>
          <fill>
            <patternFill>
              <fgColor theme="9" tint="0.79998168889431442"/>
              <bgColor theme="9" tint="0.79998168889431442"/>
            </patternFill>
          </fill>
        </dxf>
        <dxf>
          <font>
            <color theme="0"/>
          </font>
        </dxf>
        <dxf>
          <fill>
            <patternFill>
              <fgColor theme="5" tint="0.59996337778862885"/>
              <bgColor theme="5" tint="0.59996337778862885"/>
            </patternFill>
          </fill>
        </dxf>
        <dxf>
          <fill>
            <patternFill>
              <fgColor theme="7" tint="0.79998168889431442"/>
              <bgColor theme="7" tint="0.79998168889431442"/>
            </patternFill>
          </fill>
        </dxf>
        <dxf>
          <fill>
            <patternFill>
              <fgColor rgb="FFC6E0B4"/>
              <bgColor theme="9" tint="0.59996337778862885"/>
            </patternFill>
          </fill>
        </dxf>
        <dxf>
          <fill>
            <patternFill>
              <fgColor theme="5" tint="0.79998168889431442"/>
              <bgColor theme="5" tint="0.79998168889431442"/>
            </patternFill>
          </fill>
          <border>
            <left style="thin">
              <color auto="1"/>
            </left>
            <right style="thin">
              <color auto="1"/>
            </right>
            <top style="thin">
              <color auto="1"/>
            </top>
            <bottom style="thin">
              <color auto="1"/>
            </bottom>
          </border>
        </dxf>
        <dxf>
          <font>
            <color theme="1" tint="0.14996795556505021"/>
          </font>
          <fill>
            <patternFill>
              <fgColor theme="7" tint="0.79998168889431442"/>
              <bgColor rgb="FFC6E0B4"/>
            </patternFill>
          </fill>
          <border>
            <left style="thin">
              <color auto="1"/>
            </left>
            <right style="thin">
              <color auto="1"/>
            </right>
            <top style="thin">
              <color auto="1"/>
            </top>
            <bottom style="thin">
              <color auto="1"/>
            </bottom>
          </border>
        </dxf>
        <dxf>
          <font>
            <color theme="1" tint="0.24994659260841701"/>
          </font>
          <fill>
            <patternFill>
              <fgColor theme="7" tint="0.79998168889431442"/>
              <bgColor theme="7" tint="0.79998168889431442"/>
            </patternFill>
          </fill>
        </dxf>
        <dxf>
          <fill>
            <patternFill>
              <fgColor theme="9" tint="0.59996337778862885"/>
              <bgColor theme="9" tint="0.39991454817346722"/>
            </patternFill>
          </fill>
        </dxf>
      </x14:dxfs>
    </ext>
    <ext xmlns:x14="http://schemas.microsoft.com/office/spreadsheetml/2009/9/main" uri="{EB79DEF2-80B8-43e5-95BD-54CBDDF9020C}">
      <x14:slicerStyles defaultSlicerStyle="SlicerStyleLight1">
        <x14:slicerStyle name="Formatted Slicer">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SelectedItemWithNoData" dxfId="3"/>
          </x14:slicerStyleElements>
        </x14:slicerStyle>
        <x14:slicerStyle name="Sales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[Furniture_Data.xlsx]Pivot_Table!PivotTable8</c:name>
    <c:fmtId val="12"/>
  </c:pivotSource>
  <c:chart>
    <c:autoTitleDeleted val="1"/>
    <c:pivotFmts>
      <c:pivotFmt>
        <c:idx val="0"/>
        <c:spPr>
          <a:solidFill>
            <a:srgbClr val="C6E0B4"/>
          </a:solidFill>
          <a:ln w="19050">
            <a:solidFill>
              <a:schemeClr val="lt1"/>
            </a:solidFill>
          </a:ln>
          <a:effectLst/>
        </c:spPr>
        <c:marker>
          <c:symbol val="none"/>
        </c:marker>
      </c:pivotFmt>
      <c:pivotFmt>
        <c:idx val="1"/>
        <c:spPr>
          <a:solidFill>
            <a:schemeClr val="accent6">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bg2">
              <a:lumMod val="90000"/>
            </a:schemeClr>
          </a:solidFill>
          <a:ln w="19050">
            <a:solidFill>
              <a:schemeClr val="lt1"/>
            </a:solidFill>
          </a:ln>
          <a:effectLst/>
        </c:spPr>
      </c:pivotFmt>
      <c:pivotFmt>
        <c:idx val="4"/>
        <c:spPr>
          <a:solidFill>
            <a:srgbClr val="C6E0B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pivotFmt>
      <c:pivotFmt>
        <c:idx val="6"/>
        <c:spPr>
          <a:solidFill>
            <a:schemeClr val="accent2">
              <a:lumMod val="60000"/>
              <a:lumOff val="40000"/>
            </a:schemeClr>
          </a:solidFill>
          <a:ln w="19050">
            <a:solidFill>
              <a:schemeClr val="lt1"/>
            </a:solidFill>
          </a:ln>
          <a:effectLst/>
        </c:spPr>
      </c:pivotFmt>
      <c:pivotFmt>
        <c:idx val="7"/>
        <c:spPr>
          <a:solidFill>
            <a:schemeClr val="bg2">
              <a:lumMod val="90000"/>
            </a:schemeClr>
          </a:solidFill>
          <a:ln w="19050">
            <a:solidFill>
              <a:schemeClr val="lt1"/>
            </a:solidFill>
          </a:ln>
          <a:effectLst/>
        </c:spPr>
      </c:pivotFmt>
      <c:pivotFmt>
        <c:idx val="8"/>
        <c:spPr>
          <a:solidFill>
            <a:srgbClr val="C6E0B4"/>
          </a:solidFill>
          <a:ln w="19050">
            <a:solidFill>
              <a:schemeClr val="lt1"/>
            </a:solidFill>
          </a:ln>
          <a:effectLst/>
        </c:spPr>
      </c:pivotFmt>
      <c:pivotFmt>
        <c:idx val="9"/>
        <c:spPr>
          <a:solidFill>
            <a:srgbClr val="C6E0B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6E0B4"/>
          </a:solidFill>
          <a:ln w="19050">
            <a:noFill/>
          </a:ln>
          <a:effectLst/>
        </c:spPr>
        <c:dLbl>
          <c:idx val="0"/>
          <c:layout>
            <c:manualLayout>
              <c:x val="8.3526712653858512E-2"/>
              <c:y val="-6.295083267346487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w="19050">
            <a:noFill/>
          </a:ln>
          <a:effectLst/>
        </c:spPr>
        <c:dLbl>
          <c:idx val="0"/>
          <c:layout>
            <c:manualLayout>
              <c:x val="8.3526712653858401E-2"/>
              <c:y val="-8.262296788392266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1">
              <a:lumMod val="65000"/>
            </a:schemeClr>
          </a:solidFill>
          <a:ln w="19050">
            <a:noFill/>
          </a:ln>
          <a:effectLst/>
        </c:spPr>
        <c:dLbl>
          <c:idx val="0"/>
          <c:layout>
            <c:manualLayout>
              <c:x val="7.5174041388472557E-2"/>
              <c:y val="0.2045902061887608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1AE48"/>
          </a:solidFill>
          <a:ln w="19050">
            <a:noFill/>
          </a:ln>
          <a:effectLst/>
        </c:spPr>
        <c:dLbl>
          <c:idx val="0"/>
          <c:layout>
            <c:manualLayout>
              <c:x val="-5.0116027592315114E-2"/>
              <c:y val="0.12590166534692987"/>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Pivot_Table!$B$23</c:f>
              <c:strCache>
                <c:ptCount val="1"/>
                <c:pt idx="0">
                  <c:v>Total</c:v>
                </c:pt>
              </c:strCache>
            </c:strRef>
          </c:tx>
          <c:spPr>
            <a:solidFill>
              <a:srgbClr val="C6E0B4"/>
            </a:solidFill>
          </c:spPr>
          <c:dPt>
            <c:idx val="0"/>
            <c:bubble3D val="0"/>
            <c:spPr>
              <a:solidFill>
                <a:srgbClr val="C6E0B4"/>
              </a:solidFill>
              <a:ln w="19050">
                <a:noFill/>
              </a:ln>
              <a:effectLst/>
            </c:spPr>
            <c:extLst>
              <c:ext xmlns:c16="http://schemas.microsoft.com/office/drawing/2014/chart" uri="{C3380CC4-5D6E-409C-BE32-E72D297353CC}">
                <c16:uniqueId val="{00000001-0BDF-4106-A2FC-BE99A814E6E5}"/>
              </c:ext>
            </c:extLst>
          </c:dPt>
          <c:dPt>
            <c:idx val="1"/>
            <c:bubble3D val="0"/>
            <c:spPr>
              <a:solidFill>
                <a:schemeClr val="accent2">
                  <a:lumMod val="60000"/>
                  <a:lumOff val="40000"/>
                </a:schemeClr>
              </a:solidFill>
              <a:ln w="19050">
                <a:noFill/>
              </a:ln>
              <a:effectLst/>
            </c:spPr>
            <c:extLst>
              <c:ext xmlns:c16="http://schemas.microsoft.com/office/drawing/2014/chart" uri="{C3380CC4-5D6E-409C-BE32-E72D297353CC}">
                <c16:uniqueId val="{00000003-0BDF-4106-A2FC-BE99A814E6E5}"/>
              </c:ext>
            </c:extLst>
          </c:dPt>
          <c:dPt>
            <c:idx val="2"/>
            <c:bubble3D val="0"/>
            <c:spPr>
              <a:solidFill>
                <a:schemeClr val="bg1">
                  <a:lumMod val="65000"/>
                </a:schemeClr>
              </a:solidFill>
              <a:ln w="19050">
                <a:noFill/>
              </a:ln>
              <a:effectLst/>
            </c:spPr>
            <c:extLst>
              <c:ext xmlns:c16="http://schemas.microsoft.com/office/drawing/2014/chart" uri="{C3380CC4-5D6E-409C-BE32-E72D297353CC}">
                <c16:uniqueId val="{00000005-0BDF-4106-A2FC-BE99A814E6E5}"/>
              </c:ext>
            </c:extLst>
          </c:dPt>
          <c:dPt>
            <c:idx val="3"/>
            <c:bubble3D val="0"/>
            <c:spPr>
              <a:solidFill>
                <a:srgbClr val="71AE48"/>
              </a:solidFill>
              <a:ln w="19050">
                <a:noFill/>
              </a:ln>
              <a:effectLst/>
            </c:spPr>
            <c:extLst>
              <c:ext xmlns:c16="http://schemas.microsoft.com/office/drawing/2014/chart" uri="{C3380CC4-5D6E-409C-BE32-E72D297353CC}">
                <c16:uniqueId val="{00000007-0BDF-4106-A2FC-BE99A814E6E5}"/>
              </c:ext>
            </c:extLst>
          </c:dPt>
          <c:dLbls>
            <c:dLbl>
              <c:idx val="0"/>
              <c:layout>
                <c:manualLayout>
                  <c:x val="8.3526712653858512E-2"/>
                  <c:y val="-6.2950832673464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DF-4106-A2FC-BE99A814E6E5}"/>
                </c:ext>
              </c:extLst>
            </c:dLbl>
            <c:dLbl>
              <c:idx val="1"/>
              <c:layout>
                <c:manualLayout>
                  <c:x val="8.3526712653858401E-2"/>
                  <c:y val="-8.2622967883922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DF-4106-A2FC-BE99A814E6E5}"/>
                </c:ext>
              </c:extLst>
            </c:dLbl>
            <c:dLbl>
              <c:idx val="2"/>
              <c:layout>
                <c:manualLayout>
                  <c:x val="7.5174041388472557E-2"/>
                  <c:y val="0.20459020618876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DF-4106-A2FC-BE99A814E6E5}"/>
                </c:ext>
              </c:extLst>
            </c:dLbl>
            <c:dLbl>
              <c:idx val="3"/>
              <c:layout>
                <c:manualLayout>
                  <c:x val="-5.0116027592315114E-2"/>
                  <c:y val="0.12590166534692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DF-4106-A2FC-BE99A814E6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C6E0B4"/>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Pivot_Table!$A$24:$A$28</c:f>
              <c:strCache>
                <c:ptCount val="4"/>
                <c:pt idx="0">
                  <c:v>First Class</c:v>
                </c:pt>
                <c:pt idx="1">
                  <c:v>Same Day</c:v>
                </c:pt>
                <c:pt idx="2">
                  <c:v>Second Class</c:v>
                </c:pt>
                <c:pt idx="3">
                  <c:v>Standard Class</c:v>
                </c:pt>
              </c:strCache>
            </c:strRef>
          </c:cat>
          <c:val>
            <c:numRef>
              <c:f>Pivot_Table!$B$24:$B$28</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0BDF-4106-A2FC-BE99A814E6E5}"/>
            </c:ext>
          </c:extLst>
        </c:ser>
        <c:dLbls>
          <c:showLegendKey val="0"/>
          <c:showVal val="1"/>
          <c:showCatName val="0"/>
          <c:showSerName val="0"/>
          <c:showPercent val="0"/>
          <c:showBubbleSize val="0"/>
          <c:showLeaderLines val="1"/>
        </c:dLbls>
        <c:firstSliceAng val="0"/>
        <c:holeSize val="87"/>
      </c:doughnutChart>
      <c:spPr>
        <a:noFill/>
        <a:ln>
          <a:noFill/>
        </a:ln>
        <a:effectLst/>
      </c:spPr>
    </c:plotArea>
    <c:legend>
      <c:legendPos val="r"/>
      <c:layout>
        <c:manualLayout>
          <c:xMode val="edge"/>
          <c:yMode val="edge"/>
          <c:x val="0.75432930351656224"/>
          <c:y val="0.27527048411420862"/>
          <c:w val="0.22896535395266601"/>
          <c:h val="0.4931513087701167"/>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C6E0B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[Furniture_Data.xlsx]Pivot_Table!PivotTable6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1AE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6E0B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63910184766558E-2"/>
          <c:y val="0"/>
          <c:w val="0.94479297365119197"/>
          <c:h val="0.85882191321829449"/>
        </c:manualLayout>
      </c:layout>
      <c:barChart>
        <c:barDir val="col"/>
        <c:grouping val="clustered"/>
        <c:varyColors val="0"/>
        <c:ser>
          <c:idx val="0"/>
          <c:order val="0"/>
          <c:tx>
            <c:strRef>
              <c:f>Pivot_Table!$E$24</c:f>
              <c:strCache>
                <c:ptCount val="1"/>
                <c:pt idx="0">
                  <c:v>Total</c:v>
                </c:pt>
              </c:strCache>
            </c:strRef>
          </c:tx>
          <c:spPr>
            <a:solidFill>
              <a:srgbClr val="71AE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6E0B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Pivot_Table!$D$25:$D$31</c:f>
              <c:strCache>
                <c:ptCount val="6"/>
                <c:pt idx="0">
                  <c:v>Houston</c:v>
                </c:pt>
                <c:pt idx="1">
                  <c:v>San Francisco</c:v>
                </c:pt>
                <c:pt idx="2">
                  <c:v>Philadelphia</c:v>
                </c:pt>
                <c:pt idx="3">
                  <c:v>Seattle</c:v>
                </c:pt>
                <c:pt idx="4">
                  <c:v>Los Angeles</c:v>
                </c:pt>
                <c:pt idx="5">
                  <c:v>New York City</c:v>
                </c:pt>
              </c:strCache>
            </c:strRef>
          </c:cat>
          <c:val>
            <c:numRef>
              <c:f>Pivot_Table!$E$25:$E$31</c:f>
              <c:numCache>
                <c:formatCode>[&gt;=1000000]"$"0.0,,\ "M";[&gt;=1000]"$"0.0,\ "K";0</c:formatCode>
                <c:ptCount val="6"/>
                <c:pt idx="0">
                  <c:v>23183.214400000001</c:v>
                </c:pt>
                <c:pt idx="1">
                  <c:v>36357.307999999997</c:v>
                </c:pt>
                <c:pt idx="2">
                  <c:v>36495.541000000012</c:v>
                </c:pt>
                <c:pt idx="3">
                  <c:v>40995.877999999997</c:v>
                </c:pt>
                <c:pt idx="4">
                  <c:v>54000.040999999976</c:v>
                </c:pt>
                <c:pt idx="5">
                  <c:v>75691.049000000014</c:v>
                </c:pt>
              </c:numCache>
            </c:numRef>
          </c:val>
          <c:extLst>
            <c:ext xmlns:c16="http://schemas.microsoft.com/office/drawing/2014/chart" uri="{C3380CC4-5D6E-409C-BE32-E72D297353CC}">
              <c16:uniqueId val="{00000000-1D16-49C7-B9A3-46FCA1E30367}"/>
            </c:ext>
          </c:extLst>
        </c:ser>
        <c:dLbls>
          <c:dLblPos val="outEnd"/>
          <c:showLegendKey val="0"/>
          <c:showVal val="1"/>
          <c:showCatName val="0"/>
          <c:showSerName val="0"/>
          <c:showPercent val="0"/>
          <c:showBubbleSize val="0"/>
        </c:dLbls>
        <c:gapWidth val="465"/>
        <c:overlap val="-27"/>
        <c:axId val="72857935"/>
        <c:axId val="72838255"/>
      </c:barChart>
      <c:catAx>
        <c:axId val="72857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C6E0B4"/>
                </a:solidFill>
                <a:latin typeface="+mn-lt"/>
                <a:ea typeface="+mn-ea"/>
                <a:cs typeface="+mn-cs"/>
              </a:defRPr>
            </a:pPr>
            <a:endParaRPr lang="en-US"/>
          </a:p>
        </c:txPr>
        <c:crossAx val="72838255"/>
        <c:crosses val="autoZero"/>
        <c:auto val="1"/>
        <c:lblAlgn val="ctr"/>
        <c:lblOffset val="100"/>
        <c:noMultiLvlLbl val="0"/>
      </c:catAx>
      <c:valAx>
        <c:axId val="72838255"/>
        <c:scaling>
          <c:orientation val="minMax"/>
        </c:scaling>
        <c:delete val="1"/>
        <c:axPos val="l"/>
        <c:numFmt formatCode="[&gt;=1000000]&quot;$&quot;0.0,,\ &quot;M&quot;;[&gt;=1000]&quot;$&quot;0.0,\ &quot;K&quot;;0" sourceLinked="1"/>
        <c:majorTickMark val="none"/>
        <c:minorTickMark val="none"/>
        <c:tickLblPos val="nextTo"/>
        <c:crossAx val="728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[Furniture_Data.xlsx]Pivot_Table!PivotTable3</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ln>
            <a:solidFill>
              <a:srgbClr val="71AE48"/>
            </a:solidFill>
          </a:ln>
        </c:spPr>
        <c:marker>
          <c:spPr>
            <a:solidFill>
              <a:srgbClr val="CCFF99"/>
            </a:solidFill>
            <a:ln w="12700"/>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Pivot_Table!$H$3</c:f>
              <c:strCache>
                <c:ptCount val="1"/>
                <c:pt idx="0">
                  <c:v>Total</c:v>
                </c:pt>
              </c:strCache>
            </c:strRef>
          </c:tx>
          <c:spPr>
            <a:ln>
              <a:solidFill>
                <a:srgbClr val="71AE48"/>
              </a:solidFill>
            </a:ln>
          </c:spPr>
          <c:marker>
            <c:spPr>
              <a:solidFill>
                <a:srgbClr val="CCFF99"/>
              </a:solidFill>
              <a:ln w="12700"/>
            </c:spPr>
          </c:marker>
          <c:cat>
            <c:strRef>
              <c:f>Pivot_Table!$G$4:$G$16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Pivot_Table!$H$4:$H$16</c:f>
              <c:numCache>
                <c:formatCode>General</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0"/>
          <c:extLst>
            <c:ext xmlns:c16="http://schemas.microsoft.com/office/drawing/2014/chart" uri="{C3380CC4-5D6E-409C-BE32-E72D297353CC}">
              <c16:uniqueId val="{00000009-9A2A-410A-BF96-9AAF1B86F1FA}"/>
            </c:ext>
          </c:extLst>
        </c:ser>
        <c:dLbls>
          <c:showLegendKey val="0"/>
          <c:showVal val="0"/>
          <c:showCatName val="0"/>
          <c:showSerName val="0"/>
          <c:showPercent val="0"/>
          <c:showBubbleSize val="0"/>
        </c:dLbls>
        <c:marker val="1"/>
        <c:smooth val="0"/>
        <c:axId val="72857935"/>
        <c:axId val="72838255"/>
      </c:lineChart>
      <c:catAx>
        <c:axId val="72857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vert="horz"/>
          <a:lstStyle/>
          <a:p>
            <a:pPr>
              <a:defRPr sz="1080" baseline="0"/>
            </a:pPr>
            <a:endParaRPr lang="en-US"/>
          </a:p>
        </c:txPr>
        <c:crossAx val="72838255"/>
        <c:crosses val="autoZero"/>
        <c:auto val="1"/>
        <c:lblAlgn val="ctr"/>
        <c:lblOffset val="100"/>
        <c:noMultiLvlLbl val="0"/>
      </c:catAx>
      <c:valAx>
        <c:axId val="72838255"/>
        <c:scaling>
          <c:orientation val="minMax"/>
        </c:scaling>
        <c:delete val="1"/>
        <c:axPos val="l"/>
        <c:numFmt formatCode="General" sourceLinked="1"/>
        <c:majorTickMark val="none"/>
        <c:minorTickMark val="none"/>
        <c:tickLblPos val="nextTo"/>
        <c:crossAx val="72857935"/>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sz="1140" baseline="0">
          <a:solidFill>
            <a:srgbClr val="C6E0B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[Furniture_Data.xlsx]Pivot_Table!PivotTable4</c:name>
    <c:fmtId val="15"/>
  </c:pivotSource>
  <c:chart>
    <c:autoTitleDeleted val="1"/>
    <c:pivotFmts>
      <c:pivotFmt>
        <c:idx val="0"/>
        <c:spPr>
          <a:solidFill>
            <a:schemeClr val="accent1"/>
          </a:solidFill>
          <a:ln w="28575" cap="rnd">
            <a:solidFill>
              <a:srgbClr val="71AE48"/>
            </a:solidFill>
            <a:round/>
          </a:ln>
          <a:effectLst/>
        </c:spPr>
        <c:marker>
          <c:symbol val="circle"/>
          <c:size val="5"/>
          <c:spPr>
            <a:solidFill>
              <a:srgbClr val="CCFF9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1AE48"/>
            </a:solidFill>
            <a:round/>
          </a:ln>
          <a:effectLst/>
        </c:spPr>
        <c:marker>
          <c:symbol val="circle"/>
          <c:size val="5"/>
          <c:spPr>
            <a:solidFill>
              <a:srgbClr val="CCFF9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1AE48"/>
            </a:solidFill>
            <a:round/>
          </a:ln>
          <a:effectLst/>
        </c:spPr>
        <c:marker>
          <c:symbol val="circle"/>
          <c:size val="5"/>
          <c:spPr>
            <a:solidFill>
              <a:srgbClr val="CCFF9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Pivot_Table!$H$20</c:f>
              <c:strCache>
                <c:ptCount val="1"/>
                <c:pt idx="0">
                  <c:v>Total</c:v>
                </c:pt>
              </c:strCache>
            </c:strRef>
          </c:tx>
          <c:spPr>
            <a:ln w="28575" cap="rnd">
              <a:solidFill>
                <a:srgbClr val="71AE48"/>
              </a:solidFill>
              <a:round/>
            </a:ln>
            <a:effectLst/>
          </c:spPr>
          <c:marker>
            <c:symbol val="circle"/>
            <c:size val="5"/>
            <c:spPr>
              <a:solidFill>
                <a:srgbClr val="CCFF99"/>
              </a:solidFill>
              <a:ln w="9525">
                <a:solidFill>
                  <a:schemeClr val="accent1"/>
                </a:solidFill>
              </a:ln>
              <a:effectLst/>
            </c:spPr>
          </c:marker>
          <c:cat>
            <c:strRef>
              <c:f>Pivot_Table!$G$21:$G$33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Pivot_Table!$H$21:$H$33</c:f>
              <c:numCache>
                <c:formatCode>General</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0"/>
          <c:extLst>
            <c:ext xmlns:c16="http://schemas.microsoft.com/office/drawing/2014/chart" uri="{C3380CC4-5D6E-409C-BE32-E72D297353CC}">
              <c16:uniqueId val="{00000000-D12C-4645-89BF-A14EDB05AE06}"/>
            </c:ext>
          </c:extLst>
        </c:ser>
        <c:dLbls>
          <c:showLegendKey val="0"/>
          <c:showVal val="0"/>
          <c:showCatName val="0"/>
          <c:showSerName val="0"/>
          <c:showPercent val="0"/>
          <c:showBubbleSize val="0"/>
        </c:dLbls>
        <c:marker val="1"/>
        <c:smooth val="0"/>
        <c:axId val="72876655"/>
        <c:axId val="72891055"/>
      </c:lineChart>
      <c:catAx>
        <c:axId val="728766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60" b="0" i="0" u="none" strike="noStrike" kern="1200" baseline="0">
                <a:solidFill>
                  <a:srgbClr val="C6E0B4"/>
                </a:solidFill>
                <a:latin typeface="+mn-lt"/>
                <a:ea typeface="+mn-ea"/>
                <a:cs typeface="+mn-cs"/>
              </a:defRPr>
            </a:pPr>
            <a:endParaRPr lang="en-US"/>
          </a:p>
        </c:txPr>
        <c:crossAx val="72891055"/>
        <c:crosses val="autoZero"/>
        <c:auto val="1"/>
        <c:lblAlgn val="ctr"/>
        <c:lblOffset val="100"/>
        <c:noMultiLvlLbl val="0"/>
      </c:catAx>
      <c:valAx>
        <c:axId val="72891055"/>
        <c:scaling>
          <c:orientation val="minMax"/>
        </c:scaling>
        <c:delete val="1"/>
        <c:axPos val="l"/>
        <c:numFmt formatCode="General" sourceLinked="1"/>
        <c:majorTickMark val="none"/>
        <c:minorTickMark val="none"/>
        <c:tickLblPos val="nextTo"/>
        <c:crossAx val="72876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[Furniture_Data.xlsx]Pivot_Table!PivotTable5</c:name>
    <c:fmtId val="3"/>
  </c:pivotSource>
  <c:chart>
    <c:autoTitleDeleted val="1"/>
    <c:pivotFmts>
      <c:pivotFmt>
        <c:idx val="0"/>
        <c:spPr>
          <a:solidFill>
            <a:srgbClr val="71AE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1AE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6E0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6E0B4"/>
          </a:solidFill>
          <a:ln>
            <a:noFill/>
          </a:ln>
          <a:effectLst/>
        </c:spPr>
      </c:pivotFmt>
    </c:pivotFmts>
    <c:plotArea>
      <c:layout>
        <c:manualLayout>
          <c:layoutTarget val="inner"/>
          <c:xMode val="edge"/>
          <c:yMode val="edge"/>
          <c:x val="0.14108494492361207"/>
          <c:y val="4.7682114232454061E-2"/>
          <c:w val="0.7772285907127261"/>
          <c:h val="0.91258279057383418"/>
        </c:manualLayout>
      </c:layout>
      <c:barChart>
        <c:barDir val="bar"/>
        <c:grouping val="clustered"/>
        <c:varyColors val="0"/>
        <c:ser>
          <c:idx val="0"/>
          <c:order val="0"/>
          <c:tx>
            <c:strRef>
              <c:f>Pivot_Table!$B$34</c:f>
              <c:strCache>
                <c:ptCount val="1"/>
                <c:pt idx="0">
                  <c:v>Total</c:v>
                </c:pt>
              </c:strCache>
            </c:strRef>
          </c:tx>
          <c:spPr>
            <a:solidFill>
              <a:srgbClr val="C6E0B4"/>
            </a:solidFill>
            <a:ln>
              <a:noFill/>
            </a:ln>
            <a:effectLst/>
          </c:spPr>
          <c:invertIfNegative val="0"/>
          <c:cat>
            <c:strRef>
              <c:f>Pivot_Table!$A$35:$A$39</c:f>
              <c:strCache>
                <c:ptCount val="4"/>
                <c:pt idx="0">
                  <c:v>Furnishings</c:v>
                </c:pt>
                <c:pt idx="1">
                  <c:v>Bookcases</c:v>
                </c:pt>
                <c:pt idx="2">
                  <c:v>Tables</c:v>
                </c:pt>
                <c:pt idx="3">
                  <c:v>Chairs</c:v>
                </c:pt>
              </c:strCache>
            </c:strRef>
          </c:cat>
          <c:val>
            <c:numRef>
              <c:f>Pivot_Table!$B$35:$B$39</c:f>
              <c:numCache>
                <c:formatCode>[&gt;=1000000]"$"0.0,,\ "M";[&gt;=1000]"$"0.0,\ "K";0</c:formatCode>
                <c:ptCount val="4"/>
                <c:pt idx="0">
                  <c:v>91705.164000000048</c:v>
                </c:pt>
                <c:pt idx="1">
                  <c:v>114879.99629999997</c:v>
                </c:pt>
                <c:pt idx="2">
                  <c:v>206965.53200000009</c:v>
                </c:pt>
                <c:pt idx="3">
                  <c:v>328449.10300000076</c:v>
                </c:pt>
              </c:numCache>
            </c:numRef>
          </c:val>
          <c:extLst>
            <c:ext xmlns:c16="http://schemas.microsoft.com/office/drawing/2014/chart" uri="{C3380CC4-5D6E-409C-BE32-E72D297353CC}">
              <c16:uniqueId val="{00000000-F786-46D9-ACAF-036DE9BB0197}"/>
            </c:ext>
          </c:extLst>
        </c:ser>
        <c:dLbls>
          <c:showLegendKey val="0"/>
          <c:showVal val="0"/>
          <c:showCatName val="0"/>
          <c:showSerName val="0"/>
          <c:showPercent val="0"/>
          <c:showBubbleSize val="0"/>
        </c:dLbls>
        <c:gapWidth val="500"/>
        <c:axId val="72815215"/>
        <c:axId val="72830095"/>
      </c:barChart>
      <c:catAx>
        <c:axId val="728152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0" i="0" u="none" strike="noStrike" kern="1200" baseline="0">
                <a:solidFill>
                  <a:srgbClr val="C6E0B4"/>
                </a:solidFill>
                <a:latin typeface="+mn-lt"/>
                <a:ea typeface="+mn-ea"/>
                <a:cs typeface="+mn-cs"/>
              </a:defRPr>
            </a:pPr>
            <a:endParaRPr lang="en-US"/>
          </a:p>
        </c:txPr>
        <c:crossAx val="72830095"/>
        <c:crosses val="autoZero"/>
        <c:auto val="1"/>
        <c:lblAlgn val="ctr"/>
        <c:lblOffset val="100"/>
        <c:noMultiLvlLbl val="0"/>
      </c:catAx>
      <c:valAx>
        <c:axId val="72830095"/>
        <c:scaling>
          <c:orientation val="minMax"/>
        </c:scaling>
        <c:delete val="1"/>
        <c:axPos val="b"/>
        <c:numFmt formatCode="[&gt;=1000000]&quot;$&quot;0.0,,\ &quot;M&quot;;[&gt;=1000]&quot;$&quot;0.0,\ &quot;K&quot;;0" sourceLinked="1"/>
        <c:majorTickMark val="none"/>
        <c:minorTickMark val="none"/>
        <c:tickLblPos val="nextTo"/>
        <c:crossAx val="7281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plotSurface>
          <cx:spPr>
            <a:noFill/>
          </cx:spPr>
        </cx:plotSurface>
        <cx:series layoutId="regionMap" uniqueId="{DACC67FE-EF8C-49B4-A5FA-166CE93DEB84}">
          <cx:tx>
            <cx:txData>
              <cx:f>_xlchart.v5.2</cx:f>
              <cx:v>Sales</cx:v>
            </cx:txData>
          </cx:tx>
          <cx:dataId val="0"/>
          <cx:layoutPr>
            <cx:regionLabelLayout val="none"/>
            <cx:geography cultureLanguage="en-US" cultureRegion="US" attribution="Powered by Bing">
              <cx:geoCache provider="{E9337A44-BEBE-4D9F-B70C-5C5E7DAFC167}">
                <cx:binary>7H1rU9vItvZfSeXzK0Z9UV9OndlVI8nGGDAECGHyReUhILVurUvr+uvPMpgEFCewa3PeKlcdZioJ
2I1a/Wit9axnrW7/923/X7fp3br60GdpXv/Xbf/nx8iY4r/++KO+je6ydX2QqdtK1/reHNzq7A99
f69u7/74Vq07lYd/YBvRP26jdWXu+o//+m/4beGdPtG3a6N0/qm5q4aLu7pJTf2b13a+9GH9LVO5
r2pTqVuD/vx4qnOzztcfP9zlRpnhaiju/vz44k0fP/wx/VU/XfZDCjMzzTcYS/mBTYiDJKf2wxf5
+CHVebh92UK2PGDUQZgR+nTV1TqDkW+YysNE1t++VXd1Dbfy8PezgS/mDT+/+vjhVje52SxXCCv3
58fPuTJ33z5cmrW5qz9+ULX2Ht/g6c3kP18+3O0fLxf8X/89+QHc/+QnzzCZLtZrL/0EyeGdrkL1
jpAQDCsusKASPUKCXkIiyAGllABg4jtkj4/DIzBvmNBuYL4PnABz+NdeAvNXuv5nnb0vMJwxijHm
E0TYgaBgRtjG8vHrpam8YSa7Efk+cILIXyf7iUilRv2e3ovQAywJxgLRx3WfAIMQOgDEHMkc9mAr
YErPTeWv1yf0C2CeBk6B+bqXwHy5q82HawV+LH9XTybAk2GHC7S1iwk8wj5giHAi7a2ng+DzHJ43
T2s3SJPhE6i+XO8lVH9VyTqv1xANH1fqP6cAYERCSmET5DwakXjp3SQ+oEQix3G28cZ5uvZjvHnL
jHYD9GPkBJu/LvYSG0/n+d2tUbeNeVqi/xweig4c7iAHWNpOOsDxASdAFxCe4PLG2eyG5sXgCTre
fhI1b52qe129r4fjB9ihjEkkd4KDENBnxDFHFO1iBm+b0y8genY/U4T2k7F5OtXV+pt+P+Mh4gBc
m+PYFO/Gx3YOHMoFYZPQ85ap/AKW7zcxBeVsL52af5euu3V1946gyAPbFpxhsg048mXA4c4BZYJR
giAubb4mju0tM9qNzY+RE2z82X5is1UGPuj7D/DENtk/70zfpA3GgTap/3NRgINogBiWjGwBgtef
87YnweKt0/oFWDtvbgqct5fAfVH1rc5rlT8t3DvwBHrACNgKYfaj1UysSkjgCVg6jiSPrnDi8d40
pd1IPRs6gefL0V7CM4c4pL69o3SAxYEDS4/odu1tSESfW5QAji04oVjsBucNE9oNzfeBE2Dm+6kg
HH1bR+9IDyg9ABdmc/zEziapD0JgVGAwXNiTGPTqRHbDsR02AePI30srOV1XQ7rOv72fD9vQNQdz
4AUvzYOzA26DiEDkVueZ+K63zGQ3ID9GTjA53U9MjtJU5VrV74cJtQ8Q2AcFEv0YVyY2AnEFUcGI
I36wuedk4C0z2o3Nj5ETbI7203l9Nuvo/XAh8oBgwoFGb3UB/NJmHrRPLkCtZuzpqo+CzWvz2I3G
46gJEp+v9tJzHeXf1LuW0QAMkAAkd/CPmsyL+M4OQKERNpNbsOhLSN4wod2ofB84AeZotZfArO7+
qdZ18o7MayOfgfyyMZRH2jsxEykPBAIGsFFAH74mgf4tM9oNzY+RE2xW+5lsHunuPXHBBzanzOF0
d+FZkoONqTBkb1+fOLHXZrMbk8dREzyO/tpTW2nX75mjbAKKwyh1yO5AjxADMuwQwcWjqUAO8zzQ
r+5em89uTJ7GTVBZ7Wd95vi9qzMCMkMK/onzR/8Eq/48skgBKYwNoeVJTIMa23NUXp/PblSexk1Q
Ob7cS1s5hiVpbpPhaW3+c7mF8E1cIRiUypeACAdCPYBFKXvky5NQ/5ap/AKS7zcxBeXvvQTldF3X
69uoqe+Mec+EBR9AxQX6Y/hWS5lYDIeeANuBdg0xMZU3z2c3PJPhE4xO9zPInOhG1e/Mle0DCZTL
ZmxbEpsk+xJBPRpB4iK2cWhiQG+a0m6Ing2dwHOyn/D8L/RsgF9DWEjC+M50n0NPB1BlSsQWvQlf
fsuMdoPzY+QEm+s9xeauyqBd8/1CDqiVNmSY8B/IX885ALQAMIaZZAIKAJuvKSavz+QXkDwNnCJy
tacBR+V374iHc0Cg9g+Eeat8TdqbmDzAiCEKec4jLBNHdrp+ZTq7QdkOm0Byup9J5am6jVS4ft86
mIDYL6Fu+bjqP/MzIAYSvNv29Uli+ZYZ/QKY7/cyxeZoP81FQTtTrc36HU2GgclIKIM9qS3opSeT
9ABJqIFBT+fTRbfd5m+Zy69g+X4bU1z2VSTrPvytq+Rphf7zZIbiA6itYLppYX74mgYY54DBKw44
s0ebmtjM6u71Ge0G58fICTarPc1pVF1v/i8K9X7wwI4AjqFj5nuFZcKYoQQDDc4Ympy28E3gOX3b
pHYj9GLwBKTT/VQDNrekm+o9EQIVhnFokKXbTuapygz1fc4JR3g3a37LjH4Nz+O9TLHZz3azs+ou
1O9JBwi4NgHtZGQrx0xsB2H7ADqbESIQip4LZ69PZDcgT+MmcJxd7CUH2PjnxTor6ki9ZwsgJQdM
QDiRT03N04CzaXqG0qa0t321Ezrw5mntxmgyfALVarGXUH0ZNGwWDJ+e4vdhBVJCYvmLjQFQNgPT
QVAxsLdKzdO1HznbGya0G57vAyfAfPl7L4HZPG3Lu6q+G57W5x2wga4M2DcD7X67Aw6HxiXgC7Az
9ZGwyUnu+bY57Ybn+dgJQqvl3iJ0eter23fsLYNtNRRD3RnRbeF54uKQzQ6QDYqNLSaRZ7O+r8/m
19g8jZ1ic7qf2OjKRB+8daWhs+kdU1ECnf8EWvu+lzsn6g2HviYB1U7GtvhNSPXqzfP6BVKT8VO0
vL1E6yxS72hD0HtGYeMZSAbb4ufEhqBtltvAIcQTrQZy94LDvTKb3cg83sMEj7P9JAVXd/277hVE
sDWDCAp8eXc1GnoIQESAYvV2xyeIb88BeXU6uxHZDptAcnWznyaSpNDE/K4b08GVCQIF521z2bS7
XAJPg0hj23xb05mayRtmtBuYs+8jJ9icHe8lNud3eV4Pabt+112C4MaEhE2C2w4ze4oP7KcRRIhN
i8d3yfq51bx1Vrsxejl6gtP5X3uJ06Vu/ndIAagFNnSZ4yf/Ng04GyTh4A1ort0phL59Xruxmo6f
oHW5n6TgIoLjWj4c1e+7WQA6OxkWsKNpuwlNQqx5URUFDQFBq9rm/IeHL8DyuVW9dVa7kXo5eoLT
xdEeW5W/Tt635gOJEIHKAQg6jzhMiDYwiQNMbCgLsUmS+mgNr89nN0IvR08QuvT3EqEriE9wmNLd
O1axIQ8SFNiave3qtCfStdiU7Ajscv+FFPemKe1G6NnQCTxX+1mZ+7IGnTQPzbsK2BxyIETgFJVf
mM+DgA0nRj3VHiZqwtvmtBug52MnCH3ZD+Jw+9sDxR7DwaMa9+Kd/+YpatA6DQ2F0MtOduepsMkA
WnThkIGn/WsTRzc55+zX09oN02T4izv5/3SI2q8PWPt++py/NuvZw7F1z85Y+/2rD7cLZ+lNhm7D
+E4V9XHtjr79+RFvDut6BuTml7xKAJ4NvFvX5s+PFrSLQo0IGnmggAR8Q9qgA3VwXtLjS8AGwTEi
Dr1XHLqu8o2oA6fqweYGoJCwLU5AULNhi9bHD/WGssJL8OtAMEcb5RZ+/HSH5zodoO71fTm233/I
m+xcq9zUf36E/O3jh+LxfZtpOlTAFwROeKoozItw8NzF7foCPBC8Hf2/sgqbKpNSLyxe5248RPpS
JtioWShkNlPYuemytj1NrUK5cVPcpKFjHdkdX2HdpImXjVHiFzXNPsk2y8/Txr52AjtUbpGW8VzT
TvhjY5GjCvHUo4PF5/HQd66o+apI28TFPTqP+65aS5Kdsi49JVZ3GJgi8E3lSK/pMsdN20a4baXu
G7tRqwzW0St5kbtNrkvXtsTo9g7uXGWPx1ra5wzVxJVVt9Z917tOUs0GOiRuZdR9ncaJn5FwmHEt
Vpz0h53ihVeE+b1M8tMOtRdB70QuVc2c4uS0GcZzGg/HdgjvqmLL7SO1HgqjfV2Ot45JlmmLbjVn
N+VQz3UapF6VReRLUNKFqgRzO7uWM10Ho5tbYoUMuUnadM3tEc3tsLuwq+R0swIma4RPk/Q+LnLL
q0MTz0k6aJ9kXeI2IY/ctmuvQtJdiLxnnsAsPKpSedsFiTxEEV2E4XCcNFgfjbC307O6GhbGtj3q
qCWOGuz1SX/FouGiK+hNRJJl2KfrqozXenRWPCIVcxmtZxRuqKNwAI4ZzmkKWA3EzEtZlK5Fk+VI
m8DtTZS5OQ5jF2tYKBxVgRs4lXEltqOZSqTxGqvVx6ZQwyy0NmsZZesGDZ1rD2Pimk4P3uZaBYU3
WOV43tX2ucHdYRONx0iEmWe19nHBteW1SXRPUnibg9RpkvTHGMBZCC2ZGyu4Q02H6zEwgZsalvpK
EstParhQq0TsR5KOJ5UTL/UwXle0DNzI6a8y2/H7Ie+8PKqMH2joWm47OUtxfyv0eNziUHlxVKlV
UvIb1dv/iJKcyU4hj3VoPmCzGJ2mWpR9ezWWzkKpwsCDShZhBhhZtki9xLTGbZrxmOkhmnUd4CkJ
IkvJ4UnoR2PcEmfELWr7Og/RrSSdcbO+yl0TpkvE26uyaq5on95ndjx4NtPGb7L+igQochNlinmK
tZyNzIo8hJTyHtYd5WwlJb3RZR7PIZdZFXBgzdxsxsF9ulHP4VEk7EbxaliwHh5HC/WrAlvF1ziw
pMfjaPArK2g/EQaPXdqHgTeU1PEGadpFyYd2WWqnPaozJo761rLOkmhIZ+VYZGe5VQxzO0rbZRaV
tYetlMAxpPXXoa3YCRJJEcJTo1VJ/SqJitiXWUl8nozdOuC6stywwCk7jGmZXyd5cJ31Fmv8kdZS
uRlWXh8FK5onXysytF7Sp7M+YoM3EuUXZqhmJe0j5FcgwMeu6qtwKbSJXcbLVWpF57mmetZZ9Fpb
KPTqxnFmbeOs+3yobvMcN2CVcTRLWekKPsRuMUo2z1TW+HjQwTkyjnHDHB7/Mca3GunCrcuscKPW
9liP0ZxwDbgNYALNCI9hGSDb7zEVZ9DO2Rz2GB66IeE33GKrBpfdUdBW91ZXHVOWQA3s+xmsO/w4
xI+JF5eYSzjvBkyfOxxtXn/mxVXMaBN3iV7Q1kpc0pTGC0S/Uk55OgaIub+/GkSen64mIaARIPQU
CbaJKc+uJmnX5Gzg+SIEU/dzlCxxSiKXEXDov78SpN/TK8GZZQJ6Xmw4FxOI0csrdZz3JA4KvcAm
WcsAvOHGHceoGzxSu7U+gn/Z899fE4TMn68pIPJv2tM3f7+8ZkhyGYk6yBeDcaKZU7dXugfDtghd
dJaTepv7TdPxuKrBu/3+0gTkhJ+vDSdNgsqKHMTpZj2erWyRhN0YDyJf1FlF/Fhn4nwIWLRxF8ex
jpOFLfvbru7bedK17TJua7BbmRO3iobbiAXwuI7HTdhC1CXOQsrM8uKmmmHRHXcM3LdguPASCs+q
jk9zVs0zp73os/DadqLMZz1dNSK1vF5reeg4uvg7dBzmUQHu4fd3uuMRItDnhB1obrYd6Dl7eaM4
VTLTmOaLCNdzqu1zW47n2ViVr6zopq39pxWliGyolaDwKE1WVHZI9PAiPKsypUd1358PSNGZnYIT
zpmM/VokpyZE2ae0Hc65sbNPUQgxlI7hfdmCX95QlTgBAoFwfxxadeDKrrmyJFuRqj2MBLh7p1CZ
F4YROyx73N+EDh4OsxAXs14N6rixq/oiT/rrvoKw32BFl0aJbNYxo49pru4D5TA3T1JAsRf6sLfi
+0CP1yJs5qOpIXgXZBENziKKcuWF2Ri4pOiPE26lHm7Gcz6UxMUYfrcU1tfKSQaPI+BYvwdsh4ch
cI6T5FBv5hi61F4CNnJLl9Qi+WLs0AOd6MGzOQVmrtWRxe+vBQz7J8ycjeYmYBMcHOaxef2ZFVR4
UDylQ75wkvaC1mqZ6dcc5oMlveS9kjM4lIJu/pRwUvLLa6ioTExq2/lCy7aY16rHHg3G242nVyMZ
Dk0VLBNMF9LCqy6Q0Yzn6dLqgy91HP8jWJu7OGsrV6QxWbQxBPFIgncqhuwUofB+ZB2Z8UAli5Sw
0Y0d0rmNPdYnqWKzVhSfhYEfs1qER3RQg5c6wFsggzdeKctijiscuUSW+LDpC+PaWN07OTyCpUpO
2z5ZJk44eILFQFBRB+wXFV6eR8prbXOhcxzNKBmhuPK7CEN3WCxgIUEjAD8M/Tr45YLluDC9HrJ8
gVJIFNooUx4cAA4M3krgniNYAQV0y08HscocVnhBXdnuiLIzE8OzHCT5zGJ5M++CsXMNQ9pvIvum
iwviC5uPbtKyVdBw5jWBs4okjn2nAk9U6E77PB6ubdzdjrXtKq4uewLsUJZww5XVHyaRfT0AEXOL
ICoOSdodyqK7CB3WuHEFzyctwPHVrO1cadHYz4JUHmJnvJZF1UK7w+8WaYeRbHcMbBprMJqsUReW
PDVdmy86kftAcXqXdzAdajduUISvIAL1gp/tREAUBreGYLvVTzZZUjLA5tImX1S4zmeI1doXQbwM
IFJJBPiMGh7JcYAEqcXgpuIYGGCYnrIECGCjA+bqXBaeytpyJtmYuSqtjZsP4p86QSdWK85SmdVe
JIHt97kmPinq2yweL/p0OM74JhjDYxaSZB10G5baYS8e7dOyyf2419gDujprTSzmBiB9SC9H2hNf
OfBGWSVLZhkYUXTtvAga46ajiY560Z8/JEFB3mu/M4le5k13pQwkkiIJG28sIdVzxu6qMqHtDlS6
krRXOEHnpaWWhABbQ7zxVZ4M/uYfVgY/CdrNA1k07RzRqp5tzKjunZXm3RULNwmEk1hgT4XlpSWw
JTuIT/syET4v4N2V5dyUsQMmZoLyRDr9bWWM3zWwwHGqThWBnEX2QMVpSm/iqL3oYMePR7SzaPNs
abXxcszK0q1CMGBj0iUkxYdZAJFFhS08mGAdrDOnKXK+RnWXLxPkrNq69QmuBm+TGPVjpQ67stLH
Aph9augNrtRr8ZjtMG/gOnCyG3TowxNlT+JkOpC4xNTJFjUfbvO6vahtiHstpFmBA2a94V8PqbY2
Es2NBKb3YPN5ZOZDV3duGcOwMiN+YvJ4JhPpi7Yi3E9NWHqwTzOfyb4ZFimqLUjQkqx0Q6pmZZ6G
t6WVytOikpE/hhAXzRjJkxx8uTdyssIW+JjYDNctAbplV6TwmK0arw9N4qYCmHUIiSHEw4hoACQE
ms3j5sq04EErbC4qASmpbNLTtmkuqNOoQ52yfqaqhPhlNx5nUXcVB5nwM2SNrqOHW1aPxbwqzAWH
7GCRKLZqIYhAktlcEdafb9i84U/xdatpnT+Gnkdp5lYXQ6XCaPtZDt+//deVzuD/hw8a+PHDzUdB
/PgOdhY9fobEb98Fp/Bv2ifr6Zs2s/n+u2Ay29ltVK0X3/wksT1JTBMR7fEjKX7x4tsUNlCfwK19
d7I/CWw/jtv8oco9jnnS1pwDqPtsnlgKeQ+IP8Dnn7Q15wAUb+YIOFt3q6BtxTUQW0FKhWPFJYGa
EhxbDZ56K67B+WEUxHLgHwxO4oHNLOTfEdigG3nipDcGhRCc7Q8nkW6UvwlxSuI2itEoy8XAhujG
xCYvfFaQrnH7MdNez6vMzItyOE81HjsvjVoPmjCklwd2MY9blcfuSEZ0E6gmi9w8T5inpN3d9YZZ
YGNR7ImAgCmE5jwXluVWTfqVWpXwSaOKeR7K+nAgdjireskGFxZRLYLMcS5j0+UnfW/GVRo7BiQ5
4CcLXtYB9YI4q5bA2xMfokTvWjyNXBMBNyeSVcd9WUGGnZHUtXonPuxgctgFCak44qMKjrRVmYtc
hnRZ1eprzEvrRqWZdRWWOcTiss8PG4nDWREWoIKIujgb+xqsr68/tSL85lgJ3GQAd4oi/IniIZlL
mUT+4BDLjcPcHNphcl9URIGgJEGIy+3RzICAj3NcgjpSjnD1qMWfGOk3ZMGcGg30uMH4k0LiKmib
UxTIHCSR/LIrR3TSd0XspkneupAkbf7IToDlnFBR3AQZxKcRmX6ZDOFXyYIjVurWTQn5BPnA19Jp
Y5drfdnH1vh3kua2X5Ao8hNRNPPGBrlCqdyDR/CqJ8Es4DFzk4BtplC6zIFfLcueHPKR22cksay5
aRN9GdYyvdZDQ69RT/JDkqeFV4YBmTPIY9zcmNKN7OweXNQ5EOhxEVBraehQrjVF1VUBco0bqQAT
jxTprBO4OE87ZxGIUbjCMeXZ0EbVDU3EFauVPtQ9hBZUD+EJCxI+G7lEC1kyMatS8TkdC6uEEN99
DmkQLmmma+7xsM4+YRk0t5ZdVrnHS5t8MpD+rzJVghLT4agXro7KcZZG+SUBnWlGqryKfKzJRZ0a
Oa9FkPuERMwLwHJAymuVH6VW67VZX8rDqiRFchQWCLmhGrQbI0e4RrRMrzDqm+MwtAzQSIjKnznt
1DHNmP2Vwo379WCUl6kYK9+BtdRzJKqgckk/2MfdUDrmSMe240I4M8O9lTujdSgqrYP7QfLuNMUV
aBhhTpNZyhWpXJSGXpHF6PLBff2fo3+llALb/jaHZfza0z8/jWlTm9gO2Lp5Cc3qUP2HeggUyIC8
bF28hPOEKOwuYHA+l+QYtrD9KKBsTn8Cs4CKGnROwThI8Z4KKPZmqxV0fdhMgMfbjHoKYi8iNZSN
tt8/L6JAseSlj4f2UZDCIJ5Ak6kNB7o8yDrPEtYhM6bNuRJLu8z6YyuuC79LcHLREyf5luXteNQF
hoL1pE4YuskQJCtCsupvYOR14Qa8ts5RyO3QjYqhPafEBNfJiAN6XKq+v42MisMjcGNl4AV5Qyyv
7Mdw3oAjmwV9yq8H8N+fmqoASawasjRYRrFIv7Xt4Jy0ZSOuo17HlTumlcjAkhAe/Fz3mWdIdwQy
uTpqnTadxREpG5fl0lFunhH2DcpS6V1u86MQ1K5VLPv2iwEZ9yIJrGb0m7YI7g0ZszMQAU+TtIly
d8hV/PcYkHINDqP90odl5uGhju4t4OWhK0Nnw4N7fl6wVmYgxJP6PHbC/nTkFeSxsqLDPc8s65PO
Y/DFvM3CVWth8Lu0AAYW1gIpt9OEnuAoTmLPjkck3b5rovUINZxFyoJ65rRB9DcaSNh7RGTisIbu
be7KjKWXA4qis8Zpjhzd6HChujQ8DEcpliBBtIe2BqHFH7OMXWZROKrDMY9S7g5DhHtXI5Ba3CjJ
UejnVMtvA7L7whtExW0PxO/mmMnKeDhIymUTJPEsrhFk+FhrBjlFL4+rESizEw8sh7hViBUdtFTz
oOXNRcuzchFC5W2RWHb9T2QFAiirylINKhQrLsu0M1AaEJancQ+LI9PUuFaRp2eIB9x2RTjGZwqE
+8YLHd7eQBFucFlDjThGkYbCRDQOfe8GIZdLYrPA+GHWxTNI46uzPGoqT/WqHFzCitKnXR9p14Zj
tZcmzjaibtSH58IU9zX8lmZhm7FUviWIvu/CJKUu6cYUam90NLd5RZi1CAKRXgdNHx+1JC9noxxi
clTkrF0XILees65qfV3kzlxapOJuTEoyR1qS0O0V6s5A8Qrj69JOgr79NFpC6XSGRsuYQ45addEN
PDrPsBxQ+g3QxR31oqxSsLY9zSOrPrHHatBqZTOeBauwLiUQe41dRE37d+d07EgMCH8OBVwjqEs/
TsdLWvfhrMvhs008gxBk70GOirmlA6h0gYV6LWjvy8HQZF5nSQbmTSpv0BWUDZPO5TmqXOCnelbb
ReaVBgXzOEoGYE0Gz1QvG8j8SOanCTrGkDudahtxKIjQC2C1i7SznZOxoFBusSt71tv5pj5Twro3
fV9kbkuHwM9FBU8gzUt7ZUGCwvy6biDAV4Gcq3g0S5xVUKmNB35EetmdNGRUfldmyWHpNJBX62ws
j1ldNkscN9nFgHIKuadmziGLc3NhyfrTGIFhJjq+HwX5jCxwA6lIvkFwpH7MQH7WKq6vrAanq7Tr
uVfnZQTVFgddVjQBryWyPHVlDbm4zeLeCxLIveIuFF6LqXHbJjknNL+WtEq9cATDtjRZxCa8YCyP
ZplGsReUee7Fym4dt69TsahGloHKyDarrbsrOIgp8u12kEdc03EGBaP2UOAYX7CiqX1wTwnUeCvn
iDs0m8FhzE4P2WXdnDoysWdlH/cnQ+aMX0hK6Q3PIJ2Nkip1+yKKlrwx/IpzpzkuOpb24KRq8Clc
g+9wlRNYt/bYQ+EnSsLxzE7AeqFyHp+PLfjGJCzEQo+ULhpLxicdsmQ/C+uwnwd4bDyT25nX1U7o
hSopV1nTqkMg++I4qfAaTvkcoLKr2nkfZJB3ytLMsrq1oXgDi/KpS6NkFoxA/zwWprDamICO7wlL
ylulBggigrSqBBBM70WBlZ8oJ6rP4lp031rbsWZtnoyHwF/tmS0K0GMob+ZVLbKbUgtxHpmwGLwQ
4L+JhTPHTmOtnKTPz1DbKH9IQ/sKNNP0vh6o+ZujkF5yIO6fyjIKZwMq7Xla0Oa0HY04im1aQ/aR
WMkMtlik4HQj1VwqSvRSRDVZkxoeaULK7gTqYfmpQEW96C0HndW1k3i9KRuwqm64BAWeCTezkFqZ
VpoTWwbtSe2kwcKOnNhr4zrxNRXgMtPwDMk6XqjAUudW0nAB4qHgXgg+3yexwdgNTDQu7bSI5lkS
ZyuF0+BzlI9d5GaFA6VJhRUIY1arTnCb1IsaB2UNWmX/TwaKJhQXi/GKtAR7RRDzyoWSugldSI0+
l2GHT8Yo6E7GTrehmzI7huetjC5AbUSXOGzxfNRx4Q9daaDOPZjoS1EW9TkZQTmIah2EUJsEbw8R
vV9HSZlCgZby2m0Y8OSuI4lnYzp6MTyVS6iqfzLNUMdnYUWQMTd2yaA1wx2gFJ3YN4MVpqBeQ/6o
voBaG+TGM5o1EIkSW8Rno4YsyM1Jk80axEp/IG2fzQq7H78J07JZkAy5V1UKXHAElZrWraoOykfR
0Bx2dnbV9X15qJIunMFDGhwBlKnf5Hn6iRSD8Z2cL5vQKvySVcr7P3787IM2XzRWPTUTP3QMbfjp
r9nxpD/rhxgCJQz4NY99RowdSKCfcCIqqBsPmscTUYbT7DZnckGHJmx1gk8b2tTBtloINCcBe+XQ
Wbb9AKgtSUZwkDr0bEKTOnok1/zfIcmT0ubmilDElfBZbVBRhd30eCoworjKUZc4dwIFppEzXNAC
Klh20arx2nGaIlmDbOHU8xx6aQbqGwydOL0HYdj+J8wrCo0UQH8SvpSRMzR+Iq28XHQyS+vT1MkK
a3B10jvFP05iQH32LcagNOOFnFN0x6Fy0Vyk0AeRroVwiuCWZKRkq5CpEmSIDKkapkILp8rOImSD
MuKHqVMlhas7J8tOENTYYMphlqHhGNo38vjeqlsNY55BuiOTgHyo+FGUgsMe/4eyL1uuU4fSfiJV
CcSkW9iD5zhx7E58o4qTNAIhkARCwNP3h53+/xOfrqT7XBxX7G0DGpbW+oYFRQMVjgaqu9MDw/WO
lMoB2nuZyeKnCEiBESY0MOWLLplHl19s0AU1odoag3dUdVQ0sTj9+fKv/MRv19/7S4AyYLCUAt/h
7/iLrWXFmNGs+dFGiqkGAYWlyEU4jwnUXG4JNVQzDqdHArVLQjbT3weQEOAoI2SqgV1NmexxHAwo
Vlx0hwLM4md/ucnfWQ+0MUVNB5QvoxC07mf5TsL8o9hCgdDbuZ/Nc54OaZtWhsLDDJhaeM5dFYGp
xC2LNa9ze+o6n+Bn3nMyXZpIFPjREiaW2ZMPQIjiw59vLvmdAdpvDs41mnIQMrB9YiZ/vzm1qFEL
OZhn49ANwR7ZqIrkNo4kW6/Z6FfkWTjYuu1Jy2Vd89JLF6wEcReH7FNtN0EunE5aSJaIH7O7osn2
hb8kswZrpXyqh/UwjGzH39c5B3lvXKu2p63LFPgY2nX7ZDS8I2LC69m4xDcZwGgwcBpYH5hjlCD4
Mm60nooDDkM2nrLcL/gttdQNNo59vTwvagJKshgWyEqA50QUd96Qfl/zk0m1+raMWQ+qks8umh9w
3G/TjXMKeEvXaRdDxlULvVzUCRbN177oRfI00zki+pgXNfbPbPsBW+/Pw/87ifE6+vkunYCRDUU9
ey+DYWKFpoqb7hm84+hQUcQ0NyNKxnboLqGKCWNy/PMV96j1jx2Dt7JBuxlDA4Noi7D2/orgOEcZ
NAtf2eb3xRh8ol1/iMdcYflls02zZ9GyDYswxB61ze0riO3+simg+vz9PhiEqqBvAGlDZ5og+v++
7jYGVBGaBP2kk15PrJwGn5Kfg5V2Ta+lGvvo6KC3au5ncM5gYI1MhxoazymeB4if8tDN5RTX9roT
RQaCFQDgWo4hyuZPU0FoU9kUefA1FhFFbk8T0ZgyEQC++ysqKdbhMEs05boUrZqwRNSMjncf8F6B
3KCwVI4t8/nPAx/9jrngEdGyeH8vQfz65jXg+78/scqE7IMd88fZ9xTBOXXQDVzH87av2wRekuRC
RmHBsl0UZ/hST68Rm2RmX9IMeqlYPIgl25d0bJtNu4vGxAwrtLVgmqOT7WYzAgZIV4VdJ4Lez4po
LTR2Zx5ZbKM/P9L72IEqhkHui7aZgL52NOv3J4K2lEBPyciPjDgEhEO9vcWwIpkYLXs3ZdmzSqmY
Lv983XenDugP4FbYPHgJRIw5en9d49cBcktW/KgBHo1ZOVPTjV9kIuK+LkPb+OZDL/Cuc2gc5IAp
+ctjv5tIXB46J+B6MYfgAyvi3dKt07khdJHsB3iG3LIqDTRLvyFFQMgeNihB7hoSDdEtU3b1D2qk
dJMlPBQdBuXPA/F+E0GIBJwwBV+EjYQOme8mYMoaaC4hQvwu+Nan7jxYowVUqkKPfD0D6/n7gfHv
h0dLrgyuW8gqdtPgu1Uscym6FrX/jyQLyF9OK1CjSJ1SFzxiVVOIJHt2HqNuIWHI8+x5ALHg+HFu
BmrCXxZCxN5FERxckIK/piDATLHBfl+BNd/alJuJvODswjl7AbXvftTrZUDtAjF2m2wJ9ALjGpty
4THDXaUNlf5Bmwxq1Z5Ern/gGohMf7Dp4OJPGgTW+PLnaXofc6GDgQCF4o3yeKcpdsu7M9YHUThq
t+VlcdDe0pJ6RTFYdAkshUTbsZk8mFjZfdNAb7x/aUzt/6+DhV72ePkAADMOSDr511Ff2Hic1jEb
XvouJTikW+RliKzzSifEXCZSZLQj1PXqm27THkHGGe0iCJhJS3B8W4k8cs9pV4nf6putm6+TRZlB
/+VseB8pc/hMgXZDGAqCH2Tk3mz8nwnTwkJveL+xl1HE2R7eptF0/t5uU2P6KtgVBHxFcj3jZ8Nq
9xSjUNtKHoIx4nLkrmtrCP03CtWHtFBBlD14TiQYPqWk+5RpXm8Aehnfs4iYtECYruiGHATnQCMC
Qu+f5z9+lwFC5lAUWFzI/nAMwGX77oEs6zWq7D6GigqgtTlNIBMRqCfC/J7ivOY7EJSuiOFCLnsq
hJxyT72csZgOIiOk8dGS7t8arMK7RDre5pDsh24/L+waBoiR7IJPNZLtR8Fa62w8KZI7djKFm9lY
rRhVjNRfHu1dLMajcbwqEcqhCK8LwxuT3j3atCgYJfywPrJ63jO6yVkcwVu3NcP3iRYqBsoORnN7
yuN+X0WaDBEOriXTHVwNm86iqT5BCe/DI2K5w3CEvGWYEDZvyLr6BhjVfE5CZ/Cj0SO9vGhiEzBx
E/YtLthMguJfqLEiDIWuEwzFNOWSTFXa+RZLdRdn4V9v47OnjPurWP5fYfs/VEHvwnCBTYUYtIsM
wemAT3l3IERhS7I1s+TzrPMBWdTbIRDLYpkVMP1Y1v1ftkj87ujdLwkVFY0p0nfwpu8LL9oOCLRm
yT+PPsIKmVZ0m2/O2CEYn6Q1yZAeRSDDMgIZZSsGvJtFj42NMIVRCm7ppvs8A7PZnkD0FEiakLjM
nxy8xsiUNUGCNC09Evpf0waZCuCocumKHjkFso19Omq17BNB2ibCF+DmfP5EB9CuzTlVCjm8yqa9
Tv3zaCfvFAogxrI9WUYyBbcRYsX78x9BcyQ1XdbPUq5ZJ0pgYFDZiAAZ1F0Wb4lbj1aC3y9g8oh5
C12Ns40FvubZkpYGMYFcu1qT5Ba8fc4qG4al/k6bjl4E4ZPsoHLIeX4kwNrdJz1k2n0LW9SFD8kM
EmU7FC1IJ9DciLIjmN2QFvOds1IsA2QGVEc3jLqIH/re8ahql8lDcA9Jtt3aUvazS5aqXtSMzTBv
LqzAdUnaJu2Jx5FPHrJuWpO6okvkgz8bHmQkEOVEPV1OMkf8qnIQGNuGshZL0VwuYOd8aUfTZqeZ
5zU7pJos2+eQDXHz5JOuFgeWTHFUrcjiBhAt9TTyA2/ioEC/dPUF3iswHexAIS6C0oDScxSgZThB
OlxIejRq0Mnjms61Io98oMvyGRgum27JOPUEpIDI/Y8Uhgb3uOVz3Q+lGYZIjh/5snXqLBqgG8AY
k0IPJVcDi2WVu220xUuk26L/IWMzzMsBS2W1P7mfQqCV6sIYtReT6G1aHHBapnBcCE0UXCNRTpQ6
Qx8Xj538KYuegaSologVLrnd2DBjSW+RG42EN4ROGT32fWJMfum5aGR306eLsvWxnespzDchFXUD
jDbRwaefRB8ze5m1iayLE9ZKBp2KmTeKMr0biybwsiZJZqeDFA6y98tQj0RC69ZoZOWV4iFBgJ1N
49MvA/FZOl5icQQiqsBQ3kV33qA65XBgMGi8P3Qx3ALZh+ntm6RpOvwM1G2Cy23DmNiXzVseQzWf
OVPHF9FCSJ5Xa5sCQz4vfRvprkxhoED9AAi9wePULMWh8m0RK16YWrWp5Gn9YQ0mmPwexpk2dKdc
MRKbS+VXXswfspalDS8t5zv6kDs4CNRTXgtBtusk6UaMFFktQvYtoraV6TVhwuXdTdTYJuru2za0
hTgGOOLG+jg0UJm6CiFrv6V1Jh2NjxQQbWMP1KgWGp9+oiTtv8R13ON6uu04f/R1YW3lkC1iZOPC
NzhBqiiT+x/B/aO0K63leyqbyBFPXxkZ9SwDaxX2EWPdpPBlGOVEHnqd7yE/macaCDsPQJjpcetR
BJwn7jQ+Z94eVU7phuGzbY7/cJaMAlfrZIRUrI+afXoik8g4/Y+oW/Zx7hPeAksinjhMBelVIZOf
1gL4sSfXNKhIq1BEa26rppCgJzCDibf+aWp73/QYLyK34Sz9lkTLbdHm+y03mGmzPWRYWbgCw4/s
iyDLvsAyR/aZT1eC70HVug/NPEf4KI7Ywgbcw4xX7eIZfz2Pc+AsXgC4SXwvXcyQPag0EZxVSeAo
k0qTywhj8Wv1iG0EgwOhMtkfTkzr62B4rBpX/cICeLql+78YeI9bRhtHHn4NNXn7+H8P8tvnkE/D
gJjHRuMGop7I+QVSRNO4c9OzFQ9t423BteqY1Q19QJpaD7xM3yZq2OYJSw35qXf1ZR/xVaRlpOS8
Zh+49gNGaY51h4/EBpUoiCXOxMxLRdcdHKh1GuObXV5T+8LfRnCAyRNPaN+eScYNsCyos3uQERer
L/Yclr5N7dvygKAI7Mgxg5USX1IoH/AXF0jgsE7ryO2XkYkEaQ4q1dJcPm6kScB64EnZPrxvC2nz
q8dd4iH3vxI1bsTvwUTNsLrGSe63/jagZAsb/jF0bEjyI6Fpr9rLDQLAxZzrve6jx9D4AXuat/Ve
H4wB89vMeWxfoqzusXzGFJU9Ht7NAAU+jMCy9z8Yz/uXZIYdFiPSQ3IQSr2l+/33PqtlePRd3dUN
lHYF/q60LKrZBXyIeTRds7e1AvaUT/n515DzFs44cL0Ng0K8xAkw4OKtaRTO+TmyW0Yfkbm1xXww
lkywfNCxFrh42soBddXUGSAAHdJqFDaYJulBitb7dvY4X/E9tfoMomuFZHFZrxgfu2W4mOCx0brq
eNLpuRQjRFSXEY88Pi8nO+ILksa0u9PW4/+rDig1UxoiFFQWWH53N6tJADwNrsXVI1kP81PWiwUl
g1ihboQgmiOUt6eF2RgRpnCy88Wx0zhi9XEhveDjZcpxVC1faba0iDd1NwxKXfyCk9upk649edkB
F/y+JiMajV+YVmI4zux1z4C57DBgI1xgYntishjC9GhZkCG7mN4efQF7iyGCPWZTeCK4qcb0mG00
QpSbXLIPX7RAhuBgrOT7En9DGYpRBYxA5OP9eacGruddR7lC4HawDQADAmn8BvSFwxTcc5itmjXT
t8xEDp/I1mjH+ubUj1hXb2D0FqWdEyffWyfiy1rYDX9jeytQBeBL1NY2TRRQBREpQIRaA2Pqq6kD
gJtea5Xt+2mCvA0gfK2KCaGSZWLFmTeuiDTtCQjgPni+YTukGnv4LPv7tutr/DreuIun/BqQngly
FWDEgKGVs3Yv5QeP4+42V4Jl00foBvUqjotoySpPWTBpN0IaROBHL3OA5dlzUkM6C/svzmpM/kaS
DU+V9Xo/NnQq9uXmYhdh8b2NZDsNwGtYQxs2X4Ut1SL/qDYfyINDMo0ifTOWZ8+It1hfJMBwucL6
SfdnELA+I/gDhtvR/K5BvorMGi6xYJ5BlksbvcAWm3V3WWbNKk5JPIwT+U94c9tFHHGisS4txw4o
EaT8XZS7J9TtQU2faW3buobYcGVy+RRy5Db2B5+b2cZfR1EAwj075WfNKxJvo3qCzzlOhhKsKQqO
EoqQATklFALcRx6rXLc8rmZ8k+SQKAUwU8vh15O8zaU1LWCUCi0J1/2xXsNN1817/ONrvUcTZP/7
5m1GvX+if8W4RBvv30sjSvCJtV73DwoGFFcfgXDuCGDTCYOtXCNbFHfbtEbm2GKj7ruS6/0nv5Ys
ckpEIg41HX70hhrt4ZTUlVtWaPLLKHa0uPcyr8MAi3oPjClZN8Hjy2D7fZfXZNtpkxE8Eb4kSMum
S7tRrO+EAqW7Q3W/37lqwDQ+/7pQ6jiONJgwMNlvFRvUYFsO8X5vfPJRvQUsCMX2v2zxciesBtLZ
nawZXeaS5KBrbQf4tG3myYNvUoNnngJYvPmqies9jZPJgmvkc7ffln/dcGRQOEdgUvD7JjfxTjMe
+rDsazIXW6yaEsqIXuujbDvsxtPbgAAt2YOeKtBvA+F9jEh7LWPW5cVfCIJ3BT3wVMQHrOAYwQ0y
xffgi5wyJKfKxA8SUjDcdV7XC3ZDGBBmLUn2HYQ+CPvugp5jv/e/VHe/I3r75bMdXkSX3xRWy/dY
mfPLgG4AOSD9t9AIuce+r1AHYCf9+VLvoEzsJppTimsB2sf/Xx0m/+DlQqFsIZBK/vcaoQo20soa
kSQf8KqVfXXzTO6T6psWMzwkLsGU/QqOf76X3yEEtDDE+imivfMq6HCs83dIrphZDJqrrR84sOfs
uUkhr7SncSxydtwGpM5/G+d/XxDtjwAcZAWPQcLwd5iFko5GnabiE3QyOChqhRP/Mof7e6d/Xnf2
nx8w2qHY/0887U8IjovC6o32ZXi/6XvCZ+naBGr4Lvv0K2IECe2WhDiErWl6WpKxmE+tEZv76ANb
YXvz/R7P4VklD2TcEpxHf7mj31c67gil1P7SNQZhLfyB78HjlVMS8pXZT3Dl7JsqIK/DHl88VO/2
1BRzgymQiV+xM9H2YD8RLZH7jcAEaP1WQauK/ZlqWKdouSC0QEFjjcXHsT9EdNfA7cZsFd5QX/MW
Zv/8EO+nEROXUEbxNiZQV5AOv5/GTNoJGsv5To5qj0zbayJkxrT3H1dS+ARvFf/fQ10p8Ha4XCkm
cv8vQ5fg36HZHCI/TDD1d7+OvaWWti3pgMg6lPBP1P8naA228ghvkAayiMCNrfqvcMCCAGM3N+3d
27GEJHmfjVx12Bf9aPcD488PuGPx/1ime08Z4JnYgdCjJEA03+GZYd2Wxm2puoCZyqm0yrXO2XOG
VhB/3YL/vhSmDt7kDK3IUGS+D3VaxHr1dVZfvKUicwp0BOsohintb0TRLynGPx4MWCEuxSGQeaWv
0KTn95mjFPx13sjx7DZ0PhmPcbrsnJ3HC1b8AH9GD9qnGsYa2CovtdhQLZZTWk+RvsZpDQlOXQ3K
APm5iRNgD/ReC2jDh4sVuUE63ImlUdGyViIGqP51tFajDHItHPP2qDu/xVNFB5qN+lC4FFDbDVui
gWX3/E33oDIUI+yD6HVkl1tVy5lDMuPnrIG4kbaQalyg0Mgb6FJJazAVvxKUnODX0GjkLa1Ahl7g
sMhew9hbqaECRegOUscI3SgN9zQgzDFBQjvEBeoEdNXAB5BiZT6/Y2O3J3PkLQIaUAjY7dQU0daU
apx0hL44I/oXNIfM5F3rITR9gzwsjk24/d4SmdcMCgqEgPHdbLEf4rmdgSyhtlBZfDTFgEtqhapi
vqJgdZu66haNN+ycged3bffIkPZydgc9Hk/MZZtRsoMB4+yAs65vdRgP68gshKFeA3YFApODZShb
ORWDqAjk4lDFlRYdWNP4nqMnTh6OtcXmtp/Tlc/b8Bl8w057IQekcXY3TCNIhM+NAdpcHyBCAul2
ks5GELvqCEnnf64oPcfiKs2WED9H6bJOEIXrIMzHnvNWxce2HwlFJYzAsUwVekaBcTr2w4q5PYQl
hs4ZzY+ATMwVUjOYZKoVYuFwo/g4jVsJ0iY0qKZ54aAfaSQdzwmFOfklo1qt8iASJNx9qfNeuy89
kBeofqH4zxG4f8UiC9aozm4KjbjdnqCFz2KPLPo1zwLwveeJaz/th87b0uhes8E+7xRKNsfBGxt0
baKZjhDJ6iHHbcQK+sWgyMxh33VD8WB6Tjq0XEnrtJR1HR7StYE8d22CODfJzC4ayrZL7Zb5AkjG
8Cl3Gfoh8FTe5Q3s+8CMZ/dZYFFfJHU6jCV2n3xpnem+1LQZDguPBGrRjk1nFLuAlOI+vS4MfR4U
tmMfTHaThcYc8kSirZGlxJ3afEmO7dD4D1vbTfSIs3s6FiuF3U2Nmf4ujX+Io8Rcu4TU13oe4T4b
AUGDrq0v5sFzdB4KxcfcSAv2yzQ/0KlIHDoJ/8Oa9P0hFdxeFVusT6vooZbp0aoHf7qAGjNp+/wU
8CcvC9RjL24Z/BnsoPhhuerOaom6rVx5m55kS4cHkwCbh+2PQrpK2FA/hmUrvnXwNaGU91BwFnFz
pPFEr9B8TDblQAi7SQDTndw0okFkm4uPAA8bsPoT4z8iUD2oZyITfZrjVjYns/bkGI16+jTOCQAH
hAI4rBZ/xUYHJ3OqQ1GJnAtZfGlmCPIvodTy38c4aaPj4M2EMqfRci3h2y1+FlOa6wMRxF1pDtnW
IYmm9uMyQ/CaQtN0nY5TZNGyRg7faDuamyVP6PWYRfsKFemuNanncLUgnb2luZovgX6Tq0YxGaN7
QNP9iEJgfbltBbokTdAVfg3Ghp+WkKWKm2j7No4tTABcGMgHt23EypWdgYExGpw/mC2o5Srzta1L
Gpnmbo1yBGKUVNUcWMeu0BOhM1duse4UGx9fp51eYFxIn9KwfqdeoEPRLpqfRz8dAC3SpqwXPeeH
dB3YMcmn/s7IxH1dDfq2tBQyoBqKXzS0UqrKmzo1JfEs+QYFz1CyuOthywvo6EH19HGJevVxlOuk
0Fhqqh+tXO0XB2dAXNrFQ2ofOdgXW9wflCkFMDdsvEVuVbIU4Z7Ho0S7mm1uv7XaoOdTTfVTj1ZM
pTFz9JGDRLg0sSsq76i4Spo++TYW2XIDV42bQTskHhcVUyk8sahIPVyCBRmasosU/+YIkppDgfys
ha1ltDB2ZOqEQJ9l8K5s+cUUDfIebDY0cEG6x3jozXn2S3RuzZx9c0w8BtTJj5vVW3G2JlnL1ur6
54oBOcsp9/6INHB9mBxPRekSC8ZW1eiFIef5Ejpoc7bIQ+ERRF+tR95P/IXBvvO5dWJ4mbd5++mx
wA9zPsS3CQRYZ2j344Nd7PSA/JKUaejnG+JG9bzRAT7LLhLQLwBOvpMrTXCWLYhItG0K4EGpyi7Q
EkNUZuzbs0IDsEcoIBjuf46vItqzU5ux8StwOXvP0VjsIlo7/qC1Q3OEsbXHJUfIRRmsm7s+odOV
80m470fhPju4074zNSM4xHadYQrS2DzAtD5EbPLXi8vDZRPQ7gK4TdGfRaaTA8pjKCwBe/DLjThx
I4R0H7e4kI8FoJOvdiumzzjw6wtstvx2i8gEpj9rTh0X6Q0Y7ohVk+bdodhW9A2iUGyctpoM9woQ
/H0Nr4OtoKCjJxda+9VMPqlRXG/opcYTfw06XwEd0AOa0W1cI2br5chyVVxE4Pyq2WzJh2KuGZB5
R34QEUOpcbOmydbwatULct1D7gFpFzcqZXM+HSneUQg3U8eNuAnE1PdAWbo7guYvT93kvuF3agC9
TfQ0amQwrc/bu4W3ECmlJmqu+GDiZ0+E333Tgd5CEukfm3ie7VnCk5pUXEb5dSIGV5w41T1Hj7LC
HMDjJuiJAb77UPBNw4S0oaNBqZno7wYCvv96JTbHWGc0TO7G8hlET7TAo3bZJ1Z/YEtCPuY9b9CL
YHFyOEr0EvnUws2h4ZxF37dr3agBNinXp9ANCRGRcz6P4/YJrZ2cl+c99aAH+H+HblAYtQFeKjR1
KTI4ZKIcmUuVai9ebXXtWDEf1Z9DvqFz3kC77AaiFgGnbYQU8XpCIT49pQ2qP4c4grYFKfw6tO4h
v7yYpyyHtw2uovYzetqIeC7XxVIOJxCCHb0sEjACZ9utvTvIeUz9Aye1aqFUrDvuSjSEq9HikSR8
eWgY1IVlLJPu47CiU8I5oNCEAy+3Mb0JvF36KnbA8W/zDuH0ABnJdhiAbF216CVZZVGuriayLjAz
dCvJ+MYw/D1d9AE4jVa7mtXEKXrFTElbTIc1a7MO7gU/DtgPBejNykdrrI9J5Dt5s/eRy0rdA+at
tmmxfcn0CuIn9+iQ1TdJOhxrEIW3qgFMemiXZrlgNRqZHbKCyhyQWOuiS1U7AzrSp/laxgHsdzbF
EwxWfMkr3YpkLPNE7U4vYHZPkSHux8yRmjBn1vgM13DEjvUsYzRXRAonyVCBm4dkF44wmX1aSTLk
SMx8sTZdhUg64QMDJXDafUcQskV2lKYzZVrbaOFHpfMol0cTL0Oa3kZkzvwjyFwtLlpbJN/qeX7e
Nlk/1tI819ykbYkyQT8EaDuOohDuTHF4UASJzIH+yrfrboVXCyZ5f4Lfm1fGms2UOcRMptQ61Q+u
77KDc2gI4IsmQXydJ/19qsV2yocONF69iFswjAWtomUM9rDhsEnu+SjZQw6hpTs0M7AerAcsmBK6
4fAD3fHUR2P7sTiOeV7fjEM/PHg7TnCQLGh0cgnUuM5Lohd+qYfWHuLedidlRfrQKxod+SSHayVS
churJUFHD5CWQz2CvOYoiw5xLPDCBY+2etsSx12Jl1x3+kD5bNFKMoI3HDrrAIn3bmLhY6BLZVXd
Vkk2zqZEMxwBpRWE4/5yzPBwxxUg98MmXPNDgPe25xb82sFhU4ZyW5W7wymPw7/JFPpKtsgvcAvi
E06d5uT39qO+N/KpberoGcjbcoJoh58HyvUpN3l7T1rqYGbP5Bfa68euhWK2RuF2ymPRfh1CPA1l
yobhK6PCXfmYocWCcEtbVA3A0SthYjx0TYFwN8tcodhlH2Ao9FdziJrvSrL8WYk6+qIiFm5mMLeH
1NjhkgEyfgL4Hqs9pi2mZC21t5kQDHkrguO+CJPvidqL4bXX+6m9xOPLMBekQQfEBkQowOQhu+zT
vhmq0cFaBq5pQ4tVm4c2qliHOFJmpGnT286M8YuUEi1YYnRARd/YLpdFpfB3K8BfWBNyNemlznyc
HyYJwbtDrqXqK22G6T8MqjZZKcMYfcbBGxwaM6H3wgWZVHaYTEsuGpvGj7tu4BTBNuvLZiXmQ5ou
7YtH8ywcD6g8T4OHQLUcRMrgEyvctVkhKoHZEinNzTJ684I2tktTjYAZ57KZu+X7NK3YK9iUqNO8
AYr5A80/8UMwcvOxb2d2BZAa7SpDA3/1xS6v/wkv+CxO6O45XScr6reSIB2ZDp2wJD0Sq6GMo9uc
Pk1j133NzbxUamSwJFICt6YPefQAdq3gUAUhhyuzKcjuHJBUXSH69eG4WClbpHIcqSdUHGS4YzJE
BE2wdsXyinal5ujMDB0uFClYRBW6qco2UfOpnjNQKVpVrUKShh63KGPnSqy2iZFTs15sX/rR9+pD
PERhPKCqEAohjWfDhla2ka+79Uxo3PbJh8wzAQ9dZBv2rYO8nvTVTIqlFScQZmqht0oO2cArVNtL
YtDrUurRVzkO3HQ9SPBXRVd6aB4T+MrnVWh1vRZoQUGr0aMAQweKGegQg7Gz9hwuRG9s86WuVTLU
h4CtAhoFbhzWu3Je7JBNp3r3WV566QkaXVg0O0yPEvon3R9TC67tQdAY3MvZQCg19Qe3JoS29603
CvOQEMilfAvHBziAGWJQPP5PTXhOMY5j268HbuSSfknBMsmHN7CWmJ1wmDq+Q6NxJBZzjZcQ7NQ9
9AI7W4F9uOU/0AWDLtkZutgN+81G6FD61ZsgCRqWFAC6CCpb0YYMRwTC8fTkYX+0xc2EhHK5oy2n
a1L5evRWnTewW5gtHHlo6vjCCt/P+pCiw9DaXzOPx9tg0IXKYqwgemFaPLAJLU6yYwZBf8OuqPcW
DUoPrJmQ46B2qO3JmAI9eSHTGw4KKqTbGGIupO6GI2Ku6KU6TkVybqZcr6sBCjsDSW3QNA7dYkJy
rPslabqjCVDccGAH/VDcbEj9iqMgMNWDBZsFNx4uasuTY75uLDmD99NPpvDdI4G6ZoLVHeazMvHY
O0eoTfQP2itkWdCISqeOQzaiv9PsoFNZyg2tWj7CMOTXVy3qFUcnrHuApfMFcODmZqCCVSrO/G0b
rStMi0xDrDVzEMGGdA/oRBDyS4sULi9Zb9YEzcmC6s9uolAxLoUJaE9HZ/XDbFQohNZEizLDOeoP
6FewfhobEuDTDaQ7IgNFhShak6ZnlyWTPqAT1PJCNrGspozqYKNPhWpUegh4t/h3h9Z4Dh274FKm
PeyjqEZcG8kj0gk3Xvj/Yu/MmiM30iv6i6DAktgeDaA2Fos72WS/IMhesK8JIAH8eh+opXFL45mx
7BdH2K8zYhdZVcj8lnvPTcEVfk20eZu4UFGbdbgWabLHpzXF2r4aDQ9xjtn5dRjroml2YtHl0ZCN
+1ZOpTBk6MZm0oQMFDHzBou7yJsK+Co0Wt0eh1ekD8gmgr5FZRei6egmCiTDRFfEcAuruymqQHTU
4ZeZhdsM8Beki1s4YAsT2WD5GW0kyGjr2grphrngnPZqjMeBqw3pAXUvH4w7J1pgoa07dhvAOxwZ
mH2sCBb4bsT+/ajpDX8nfCzHaCFp8mFHwo89f5ejrfimIV5ieJi3ybXGMSw/01yq9N7NK1ymEh1T
dqSCca564drZB0ektRysSeQPjbLiCzLJ5GvSG7zznlpn5GrxyGRkXbM5aDNdPXuzPd6pHkLSTYuN
je2wWzWcpi60oLmw/QeD8aEb+TjGTwZDC1zwaGM+KUvgI7QLKY61yHPkib392MVJsx/MWn91emkE
vosOMe03GIAl1yXAJbDc4KkEJWOOcsL6UNYYifxs8qdT4vSo02QNuChIYiB/nvIhJKmebjhsa3cx
cVSTGhjAncpklExwcZnR4AvLgqF1kRdagAk21swiL9bYjteJaYBs1e2khY+OwAP7rTugOh5q/krU
AO5n0adeAhA5FbedtlW80hMe8GFtWbIAoJ+PHKXosjTiQs9RXjEuuVsrJgABBInW2RUTArvI0qts
t3YzPwPYVZ6QjVRtNFntdyXTemfGcg7VYC9vLqfFdJ6Hum+jspu8B4kbeeTlbLujIciYAlVmc7HK
2Dx7aVm4yITipQp6mCRnTUvNj6XMiqtZ27zPlcxDNGDmO9rxsWbP4PpLmNky70MX3PgSjWrJZQCe
ZIh3Y5p5Jedvb5Vwfs3F3g+Osl+0OG3nGyZXBZRU0VRLULaV8Zb5KB4wdRv9TYPCRN+5yl5oCnwT
91cX63a1q4w8fSrsuVch9yZVHfV5lFp9523vm3OrLMUY2jKb+MYDCvvaobJIgmks3yxZNa/90DQB
gR3MHlFUIpRKJr7yZf+WaAr0QSFnLdSoPC79iAheMnf5XCejdupzHuqozwr3dhiH5mqwgaHQkRfX
zAXcoxbr3gsT48zla5A4H625WrtZ6PJh6hfzVMhmYyNOntqqNb1COlMz4nGl9I7SSmsnWn1I0kGV
+fOhts2pfMAtm0U9wy0421KIsLPscUf5YpzrpcEInyvjNY2X+dWPByNo5ahjMLKLXeWV8XdkxXok
bDE8e5T7B0PExkeDAv1V50dsQF+8cVijXvEmepeZJf+hnQaeOm98R6A83LWjvkAXHoBb8Bysd36i
FVQ0hqgO3AewDkdPAvp0Eafw09eqM/tPOcOOyJtpVDrSC4D4p0bzonmleARFI6pQMNU/tW1tsApD
aVlY1pdlZPrf74qWeVD/wQVVVFPEDhy35ysdbVO1D72QjbCBjqYdp7wkMQ1tUt/hf0YkMC951bFr
YOHY3IoFKc1yUCaeNjOyGn2GP6mPKYTLE0LuZXiOs1nZX2x4L8Uxb7xqAI0men3YuGu2UD2HV4Ga
hZ0W+ojcNzJHjxDeGStlo6cv4EkLp9fn07jMTDEDx5ztvRC18j47NSgvUPBtUc4l55idAqanzkOn
EGmLkyQIWgQaK+TIlPGoqha80Dw0yNiFjRQ0bZtveqctroxYaCLU28lWLUXKxjJLCtRCUNc3ETnf
wY41SJInq97dT5Y30MJk1uz0/UvjqXjKIxaxHn0fxtZszm/yvJFjE0lFGrqx01trlN3HWKyTsQT8
K1D92esKSrJgbVNOBgBkdMU+ZIpl+0uEk+h+eUiTeXK7T6OWrKYdZLEHuD1AC+860JEGScN8zhcZ
l04461Cjpv0/Xzr+CYzK8g8DNaRaaky20g7Chz8u52qdniOfW/+LnuMi+W3rbTqFzfqpt0AzHyfl
QecM9Ur0phu4fYlhEwKpzi08WPXsPue/Lrr++e/1xw05vxYKEJ3fbfO7sYDdjPs/G3EY4XmDjnvh
W9W026Jl+qFxsey6Z1Eu3VTA+BgmfdYwYGSQUeW/eGP+uN7efgGEAljcCA5he8my6o+/QGYveEiT
zP1a/PgFqh/Kk6rwS54EsCyy/LH//Uu0s39Eo/wZRvk/Yl/+L8RaooDZTCZ/0wL8HdfyeXhPf8Y/
/PYDv4EcDJ20H1snmwWCmW3yVP8OctAMQ/yiOzg1EXaAVEM88DeSwxYZYxjs+DdAGivkLSvGcn/h
Idg0DbjlXO8v5sV4f1qyA9n0acsthC64lHzybP74DWo4qtNm8ZYLhjJtLUJPtcuyrxzlv1SVsE7F
PBcoOZKkPUtbyK8U8NlhzqCfLF3dH3u8Icx2GiC/I57dKjPmh3RZ7DuucKlbQVPO22kBVUofp/UI
i0vE6kFzl7lmBOhPROk8YwxB7nYcWUFjvlATlZRexhrCZlzyV02f99IP8bo03nerdZdsPKptSkPd
5o4GLJPYhbBOHofXTY/sQXTxiK3dZY2MPp1WKOf+OvNeCuvWA0IV6rwstVqrAyCrcEhDFlqX4YGb
sMIRWWY3cVWlLCO4wENVO/FTTZX2tIJOOPJHEaZB/s0HC/PsyctFj2aaBv6eOd/NMPfdabWzZJ82
8fjuG+yNeugBBFkUUFVAy1ih30xLifB+XjEOXbEIz2w3CdaC/S+4GH3qzqa7VjW2mJq4hzQpJu00
q0YtUVFoyfKoLca46hHMzDzBldHapnswszkdD1OsN0N3NHQuiqykyJy6Yn5wSoTpl3ZmesengAwc
yPkP3+RfOhH+L4JuWQpvvI1/fCJcaCG/Udch6fmJ7vLjp347Fjz/l834DqaZx9DgZufx+x2E6BKA
uPFl6Qgt27AdXuv3JCkClbfsAxcMkOWjeefY/+10ENYvAhHLZjpEmExP8pfSpIBc8Co/6322GCsP
n9SmjbEY3f8qW/tJBGilhU+ZVOvnWteggI6AQcDUssaMj9mAKnlXQDdsAmhEbb+fNYsputMO1rcZ
jqFEWJ/VjORpi+aFwqJBcJGvnzA+CXioPtreCCPTR+KZyXM1j26YJY79aRJiuHTwLO5WRReyzxqY
giArNPfC6UAlPDmz3x5IekFsjn/k7OYzR8ts35f9YH1oSsQkPMkObimH+nA95b6on60CGv21XNFW
hGPpqJHmurLGr/m6sLQ3aZRip0HRmLf7dZEqWguiOJj8WCEWuPFN5bZK5wBZsXYprMxeg66v3HZf
8Nk+JnFZQQg366bYtWWcPRusdWEv4QkM+yyfnBP6SvnV7ZvukWAX8yRdOnRzzr+Wnb/sQOAz1tS7
LA+myTQPAE+fFngtdw4rz/zIf2JdFheodYS8KDvSRA4sc1Bt7gZDe58LZgOezrD31EtEGWvtWzt8
UT6tkccUfMWhYe9WockHQy/tC1uPeWcMo2tg+fI7op1WP35ZsaU8tq4dI+RYTO/UxwPxS6zu7fJc
SsHCxu3j/HVSfbrTQAKFNLEu70E7Bd0411eO35RnmmHeS8DxWWA6Mt6sC4s60y6BjmOAQOZC5qwP
XQ0pXD/ECbZLZBubJxb3hzmo45KrtY5cj3qY8IZNFc+u7Uh3aL627LuqgInq+uSXLpzCIVGQjxkV
euUL0VxjDQOQeknfjbVA8bdTzP+kPJgjijh5ShMb9Q9+Kjsz3hO59gmfXGnAji25taQITTbWN6sd
M8LV43rn+LVxyqb1wUtjZ+ezJguLolE5bS6NqGjo/fC6DJgKBulRZ2oWEznbVLtyjSdk2V5LFJH7
BMAo4tA94Rq/2AsDvVWtgZs1N6Jbuf/s4iDoJK7cot7XTiGf6bTvZwueYM/L7JN1JktqWt6QSrHI
cbMYvuTyqJe5PHV9mu5WDBrXXaXpJ0QnBVj+zrwCozTQxRpyh/cuDyoxZ1diLJu98prsrJXLetI7
Hk2Thdyzv5ifkfzQXKKn3cRRWiiGfNpT2Q/DlW1Z+Ulm6qNv+vKqz0Ry7tjJRetabdPX5dAQNSUF
dGTBDJoLqosydjLI4TVfC1r69DBJ02/22r0i0s+RawDeczp9DUAHFl6oC09F/gitGNMhE5BsQQSQ
r49Dpslgm/0Ek2nHoWAmd8dvn59z5rc9Xd/QngzLGr+xccPanlq8OTxsjLgmrKn4b+tkHY5N151q
xWTIKh8KL7tejfjg96Me5ub6lDkDCx7pXyGZf2Dwe6rXapOekHGW8+4n7DO8STyj0zt4y3zJTQ2S
oD3OcORLQhCwhzEpEi8OaMZA1ZWMsIl9K4XeB2bNxDgvYShA17l4CMRCf3Bk0A02h2DmXQTUAFYz
ADxhexkAqk1xT5da77bUsNBlN813q5XbEiZ1DqYksUFL/fHo9eWXlfKHvDHdv3I4Lq9GVBfBHFs5
ARtDfhzRbkU8FcY9qtN7CHs7DY2Ptzb1zeyJ/L3cTrNijF0GcrnUzm1riocMhcdV0w5pyAfW71u6
rDe3Y9UFECsgR+17iqzviCpjDGXWlQEwpyW0tdi/GllR7MCL+/eAZ9sgWR3/VOTuQ+z092oa9D3H
hHduclTEocS/+olzhdnn5DJ/bq2B3tQcWakOBQxwPqi93nTjDcKx9MGaZ/8CnONh7bUhEnn1JhOT
8Yk/3tJ5AxSjRJzz1g3WWj6ALeJ0oVOORz3f51YBcURrxHsqSH2zUm4HMLu/bvSyfHgq4a3vTTJ3
HlWhLq3WYWJDuvTsavmznTBXB1z9Llf/1UnMkznaDt/jsd1XJSjJ1FR7qfpT4+QHPPPMR/JOALFO
uoPyCCCzFxtqzSqBqppPbewWfIGLBhY6PNmz3Sn9JjWsh9Fvr0uZvjgFci+zXJFMbFoZ2e4czQd8
rRAIkNRWbGdpq3l3DFoOErzgw8xHVwXtRP4Cx6j3Y2tYIjKI8IDwqGnsfU13upDutqP4uwIfMezt
qTPPPf6xoMN4iyTLb1jVLaWHlHJcT2kzHNnQXU0ZUiMEeLiTfK1lu6btuczKEBOJyzhUIA35sW/U
+LyCoSH8cFl1cZ9WAh+U23eXcsw0GApTs2vx1X60syOQ543Xc9ZxJ6jy2RDTsY6bC+JKLtbchxjX
D48TQ/Euc6sv01wffW95xfq5zfFTlBgFWgphu9l5WqyT0VfGXqSxZ+LKttcb9OQgjuy4ayMWWMbZ
RnO4XzQLytGYWG8xkrUHSzeKGhEFiP6dV2xrMBAdd/CNN6RZD7B84F5rM0U0GOSxyDDAxNbb/NZM
6jjMTLM9+iNVfGxpz6mmtutZJVHj+IHm2TdKd80XrS7rWz1hURiJpRQEZS5rPj7UueadfFmsV2ji
nsWstx8aSn1EPFU9goNxFWznH7tSIZplOnLPmoSr+F8qbbozUhdWm1BI9WyIbLUGIbrQ7qslHW+L
Ofske6vfj3iqr1ACffKkKJ/QjlyZmjHsDP48dvFl95njlYQzY4nfNwHYDit3f7IYRaCGnNKDw444
8LyWyM8CKVQmpzcW83JX6552YdpcvACfx2A8Se+7M9pJNNqtifXGKt8bwvUeXaXBvx+9N6vA6195
lfvikheAJtDRQ9NN86c6qZFrK4SqvltWgWUBI5vpydSeDyxnK2EV+87LOJB9fr2EVmlX5V/bvvhY
MCU9+H49fbLktEPfkt6UOkubZeLKdvPWqEIv60UargwOg1bvy7Nc1+ZIDyqoEerkYpjlcShixC62
2+5oTZsHrzJZyqKrGu9ZVHjH1XW6T9rqH5thmZ8mmYi94Wc+CYxrkaHJGb6SGPOF07ncY3HzI7wM
aJFy4+zUln9o/X6J8K5n+NwcLojMZ9VtWhOgDVOvoRzm5k1tWRmGU7u7zg0UvOUgl+tKKP+oGmOO
3LT7UiaVEY5zmRl3m4TvkQNSor8arZJh9q+7ZUGu615UouDyklr9hkjOOicOY/SSWvBFV72Fisgr
PWIdxGJBuraMDWDjfKD/SwNMeokfxCl7bqOkYBh5z01/GyuCZKEAnuDlsujMGB7Xlnkb06iwgcQE
NwIdR1RWUXmEqZdNSRpWsVGp9NyPyt0zp00QF1GIGhcKrRAm+kvvryfHVF8JIiI4rXXXqMK7vxvj
xDnFNXLNdbb9gEvywKd2BdKBkNFsYh/RNOQRifHzNAjILit7ybqNkUGUmMd6SK6hRhBiKuo2WOIt
FsozyqM1mCLAYDpd1braYVy8ydPces6E0x/K1vEAvSBDzUk3DQvXf1zWdF9OXf/Qp5M46MYHsiMK
pjxusNzFz0bSV0HZmVGsCSvC1NRGLEgCb8rjK0Q19c7tyuNa872repZEeIaMsNFqspbEFHmI0jlO
MpstkzMFkj2ex6Lws4J661Dg73WPt7jy2+cZDc3OBRcOZQnbgMOqJDe8ChkjpWE5aAiHCablTiyb
UwNR2leVODiJ9aWsx2dCaOxbzVnvh4o+xWSrs59VLVgBMh1GyxBY4C4vGtLqfb9q5kupehkMZVU9
z4ME52OynkHeL4LcIKXTakqCUUnnCMy8aa6Lan2uuhYRhqSmy5o4+1r0BuZad71fM77lODUDhJRV
4Mxe/Owa5XWXjuKmJ6ghHLv6O8WvDAp8E0a+NmGqoQufxXQ7pzLdr+VYPeMNy6JSjMm+E7W/E4Ji
x+w8ht9aXuJo4HBZVFEh67O7G8eLP3SAf5FfsKFPkfPed4ur7X0kxCEDFKoeo/Vv9Ta/qedlvDH1
JqyaDpim7At86PpyY+b+lQaUJ1ydxgrdaUIM7bvqGrvT12ZjGRjam+mt70mLBMCQ4zVtLsKxvNir
cj0xs5p2q6YdSmD3Hhx9w5H6tSHz9tgV/R3KinM9pxyPaYfcdsp09vW0t5PZWwdrmA6E6RoodvKz
Z7A39HL9Si+8Z5to3sDK1vfZHb/EY/KBYZrvT2Pdj8PFbeLnZloJm53r5LOGoyEcRXkasnUNE8u9
hmv/6rVN1BPufEBr3ARmgnYmjhmbabVuXAvR3ueK6kyTuY4TepWYMrxEvyniBhv8qt2NDqs/zCDz
ypWQx/y53AQdrgPAyovnyVO/meuWPv1mFYrvSKwWYMKm7AMlyoEkErt6K5u8anZZZlQ3XFkIAuYG
l2Uom96NoN3V9wrZ3XFipwnO3ykOeaYloNVxqKYYZIb2zUT2FM6KjUOP0OlZEVB5mqZ0OlFVFyff
TeuD8GuxR/6TnBkbOvu+Hp+WfmUB2Pi3vjfmd2CPjO92JsfzmmbOVQvc5GiWS3FFvs2yt5XonwRb
Mrw05js9fH4paiT9caLfrmtCMIlsEgw2oG3Yt6PPw9NB9u08HywwNFE+0S1NriDBhaEiKz8Es1Zd
H6baEhFmT5qqjgQ1kPpJxGxDA8qs3yZi9EIWUdbOTMv41jEGNMbl8uFVI3Yh0313k5J3jKL2Uo9w
nvt8Odn9xPpfTTdGhXQGQAdCxcL/7Ot6FnU4G6O8SoGrtzZWAupKIij456Wv0HfTZBH7y9e1Uhin
cygC5B0285wze9TLE3Xjya3qPITdOe05rlDc+OXCR2/Xu7LIDnmK/goD3MOYa+JAK8zExZrzN/YH
PpW00IsLVzW3kKJbuGGvdq5l7QVICEVkxq6N3H0Ldqb9IEihOyNt0JndltlRFsII+03EXgxknA5F
N1zJxvrereNlYc0Kdjt9NdfsxuB0Jz85qe7yno+xKQiBhoa9M8pSEXitGYHTZENUYGQ5K5HfZSYa
eVg7l8RxWXWRgkR93ZGlydefFNB9beiHRDHvKGG0hK2dLvuxAK+Lyc8Msmz4tjbtvdMMl6UlGbgH
w78miPkB1Qe5adVhpVV1oAZybeKScQ1AMD2dOZXhMx7Tpux3a9HaFC3LleJJRdAFWEkfB85I2+gj
CsCPyc0/MtdGhdvdzUMznzJU5REt5Jkj+qWNp3ovxnlHq8U3GRQKmyFy1nga9JvVGM2DNyvGKCuX
LnzIU49xY8m1k5ePu3VyirDrjBpLe7rWnzqhMTZRSnl7szSeODsfTOSC/EXTsCscReflqTAh/yYa
NEIb0YqOTAQiI87UVcpOIbBF/VEPjX+fI/7mPbIP2NRSAmOt9dkzxJ27+kM042WMLKnv2fC5geh7
shMolLXIKd2FdEY3f0ID8c0zuhu5mme81+/QBfZt+T4Y1WEcvO/9hPhD94j8ro01D9F8R11eh0ZO
bvTaTd9xlRRhqRWfU5yjuw6rXSgJ7SuI2WCoQs6hu+Y+AR01s4DUABPJqfUZidUd6gn0VnLsnTls
WancQuM3rzRqekCGCVJjNdGUT+z++Y+4ydupqAJfbzvUCvOmjh7cQHXOGc3BudftkJgDpv8zbvY9
U5zkiivLRqpiuCRKQJobr7Vm7Q9CmiVZAo7oT1nZxXcepxp5DNLo7YrSuEu9YKYiH56gIFVyX3lS
W/a9Vqg+tIyUUZtDj4C8oTPHbJ8L3+jQRPMe2XHLzGHUFv16dD1BXOPsFsN1bPiSicV/Y4P3X5jX
/6Ml3//C3ZzBOuyfDeL/rXz/eK/+MIb/8SO/T+HFL0S5CSbXWIT/OIX3CI/Dkm2xgzMRteO1/dsU
3rJZxLGCY2XHrg8jHXu733d0+i+miRQDh5TDKgpNxl8hrf9pRbfxwzdvuGHq5uZO/fOSNzcY00hL
aETXkncaEAyyHkdfyKef3pN/SeljAcHL0DygGGWVDbf1T7vk1ZD9gtFGO2ImN544aenSR927rRQc
yR/fQRbA/3nC0rZV/Mlsu70WRG0wtewveFx+DXn+aavAZwFBh9vjuBhc6brTTxe2/hizVn2+a50q
+1e2ZbJd/u4l3Y2BbuswGKm5dIP//6eXnAtpdwYz7GNGvjs3etcM15jFEqw42F9shECsPHWc7uZe
J3B7az8AuR4c9N31obNJKrWnSZD6O9eIZfKsP/rNrNHu+73+UWOKvu54Wg/o0PyDWolhq5zFJPSP
2TgCJNKoC4DfJbOIZ0qD+grMNpE0MRaimJSzG5GAFI2spE4PS4c8KEskkD7q9nsTRss3zJfrS1qI
/sVtk4vO5G2n3LIOR4w9x9W0iosgVMsLaYHGe1OO1XciBpvb1VL5s6mzV6j1uNzbXcrZm1UUlk2t
jnoTQwdfCSX2Jh13OpjMnZGiNC8HS55dY2hukBeCrUGq866XiXZkbYJ1oNcYtVKEMwef/dhBKmI2
X4giqa6dtZqxoa3pGOidQt/We2KvS7N/ywqNOOVoTntXIlBcFCSfN9827UVep3Wb793aRUepiLrV
uHhh4Qa6VdUfY++2bzkEtE9bcfDgo0ZJQ0YK/tecqME8AP3jYik0l6bAlZwxn508VFw6k9CPgvrF
DnHBlbd6icw8xLnbXLujGs8LauIXb1mZ6sdZjxlhMwXmKzY+gRz+NrOMh3RmMhHP+fKQ0v7vpKH3
b+ArmY3P+rAnvk4j2gb24dd+Wxendfpl6QkKScCHnBOKVOSmKxnsO8mbk9ZxeenKav0ErFe7t4DD
kmsEqobKxShwUky6FhVZzsZEa2CyOJl9ogYTqFpqubOWrLjW82T8mkhn+CiMJS93K+NWEpiHzL/i
LZAQ95wv3VCGylD9TV3qSKXd8qtuzQpVnDjH2jAHRZE8M0SAgxm35UFrPe5T/BuI3FTNnELoIQhA
J3Db4ZxrvUDhPRBL7ehe/g4dIuY/dj9b8WhFyMcXXHBO9xCr0rx2Unlnz0oZzJNcwVebp2dGwwbh
WTBtMqZvc0XzZjPMvQA8XT+24OmQT9ZmTFgUt4j+QEKsw/BApp9GLK/3AP4n2432+qox474x19Tc
mcsqSR1e153yHfVY1z7xWIY/7ZdK3Neq+uRacWMeM3wj07YemlICbJ2MRpSERiRQzoihvAwWb6sY
V0S/UZFUhb3DBb0UNJWds157qlzmU+nrkLPDFEuVHsQaoqeXQiqQYcGMeFSxr9eaLhqXSeZPLCe8
ZCgDoEXepJ7cZUh3viHdJLKxFzB/ikE/BHaH2sAfPLoINeHTf501AUIRnoiJq8JTUo+yUlu8vcwZ
sguECQM8rUKtycNENjiwxZYRzI3TYTYj/6mv1V2CK8MjcdPpZHr2Y23CyAlKy34zW7x6MCfqmJJK
9bNvvuSj0uw9rgTb/erStlJMDex6rooFjHL/WFRwBRAJMq980+y2ePSnKjv0es0x3FQuucf6UL64
McsXCEYmfaMaHevKnicGEWqd1BjYrCgO9mDhuCB759qYZ/tosphyEfKShx5Vq288mWlD3yS77X92
Yyd+XJZRfXHMGrdCbdTtHn+WddokI8Rl0b8BOCjFqZV6fYVwz98N1bhSqHcxKnAMJs25E2JbTE6u
sac/R5rRZ3gKmFuGtdS3idjC+EeLY/8zrr4ty0urH1cJBjWwa21EKMuuhX2baL8JRFbX/CKINwpg
UXhP/IpMPFqadMd2sjnhyPVv2R4672WFLJfZ7QSMWLrVvaYKFzcvrDnGfgD9Ut6MofqOU7J8sfRh
viuL3AGKSjjsY1KlWRtIygiDw6NwRp7bMvr1Hv9/Pca/yqMEN/9TxfN3Aq1/IxWjqf9YBf76Iz9L
tAQoFfR8loHskpryNy3GJtGi63F+4HnQZPyHFuNXORY/RYSxu6k1tiCH36tAcnhAZOAhsEAX+Yb3
V4pAwLt/LGDQTdr8Xj6kbDRh4u8AQRVLW0mCmoKV2TJxdFjLDFVZEwOLbuHctJNHSEfeucM6Hgpg
kJX+CZgDos+ibiv5ZNJVroSgUvyZuxJRVcs2252I/PAeMwcxvMMgL6fRGsNWkb23F2DGq5Bjdjmy
wlMaHoUf8qF+LEk2Q4iO+HtoL3W5MH+YpozrzCeb7NpGqnlFUTXpp5wUw8si4viJWMAWeoXzqslm
OqhmcjeGL5xdO2+v8wpNa5XPPBW2XZhPqZPxMGUpxxZBjwrlMYhuf6esrlM85CtFG+uL+WHFIfSu
t4Q0AoaX0wV0Pc4pMx04kXqSz1g0W4leHup5Kg/zRAZGZPtNdnKqpHNvfDJm6UkXnQtR0+g4HaKw
DnSk0xhoG+yc5VZxbONe7fO1d2lGtZp/GM8BKrJqiqdbttP126AW40GRkzMdGtKgo1RKbooEVyk3
a7KsgSyqPsrtbnoFWbi8xGvjOmGfMG09zQ0sMRwtLBJI39BH85X0gA7qrlEepOn0+GOZQzpJ2xkB
Xea1Ah280S2AlSDoS1nUFco+kZLpvvj5Ml8jomAwkuWiG/ap7KGNTHzVIzjqi37fOcXO5AismFCW
ceg09oxpOqcTzmSea9S3MA4Cwg36JtJHZMlYNqsjBLc0wvA5Mmtg4oCuImfWmpgT2zZgFFsaYtva
oSFL9d2NM/19tQ0OUZuncb8VVztwdMt7RSqVuff7yj6MxHI+GiQIn9kJl68NU8Ig1idDha2WDIC4
00SPzJ6Wvlr6aDTTeIclG3As+mSDL40xG9MuIURvv0w4P1O3929nu0M6EPcjs2iRsLmIZzdorKoA
F23BY7DTkWIo15oTEDHzNFTAKwjdij/zNIBGABXsf8TVRBrpIoltPiRDZz7FZTaeFCofhiwsJAO/
juUjNoovumIGMi3eGhFcgCqFJyA7NW5rVVAV5slnNucZ15VTiqsitb23rak4TDJ14sCWq2FE9mTi
gud+tCIZd09sMvubztPXj3Ko4ghA6vIyZm11jFcu5lDTdD9nFYyhYGo1ebs0c33T2bCFWcTmOVob
trehjWE2MtK4eXaSbgiU5tcnHO3Jp4HCE4HQECODEK0ZSgZZB+zBh6GBaNS7seD6JvbxngHGGC5I
jHz0H8JUnCyxEaMSYDkx2kN721ckVEpHJ0XWKJYT/Q5x5xvfapoXn5Dv4UuuZyKC5apCGxvyccMX
41M132e1fAKgaYd1kfhz5E+m2xcRjgY+R7JrurQdnTsl8afzsvAzRzRZ/38r/pRC9/61yuqIkXOf
fRl+1hu6zCf+2a1IaFT97cuQfRn/kx/77WYkUG672wzHNS2+qswH/3YzutYvLgJEBjDMpQxmB9xa
v6sUES/baPY5MBgqcG39pFLUf/EhP9se0XUb8O4vzkd+1dn/PE5gFo4OUjfp7F24deafqGu2uRAv
1mTTsSEuii0E1kfGpH5oE7K4OMWHp5Ps3pJotatxsIbUYzKYZ9YFnlG0oT54T97kFVcapOzLPJbX
k7fRAjTnxux6K8D7W7N15rkmxp0naaxXLsdKj7oErREUJ3/f+hp7Y2f00e+Y94x6keimMZNl4RU7
o8MimVCgbsCWKcypdENd7/QoL+TrVPpPo52hjGz/nb0za44bybL0X2mbd6TB3bGadY/ZxB5BMrgo
SJH5AqPEJODY9+3XzweqskZSVSm7+23M+qHVlZkiAwE4gOv3nvOdQuIOjb84Rmlu0BMyTsMsveZN
WR/Lvn4WXlSuZ7tX0C0IBIXE+oRj6YEwiC99zcc7dvmcFvq9CFt2brDM1q4j70XEa1nmfB/iEMBz
1NWzI2IY68u+eTD4egyYQTBhX970hnusa+8Ih7DdBg2npveDbdhmJBrEybtMEEE5Dqey8OpmY1b8
UhKV1MpiX8lX4DSY3jHTTbMJav5Wb3IMfWkZ2whT/qqLJBN6i7ZHAWB541QO/zWx7geva7fLT8YW
+wDtY/adJbms4cQpKEE9be1WzPdhkd77U9pv04aPTLE6XdlWxeEPSm67igNSpZNszDl8hNU4EsLd
eRu/yN+nvCoOlarhOgQTgtNk4uHrp+HXIGXIAI7mwsCl3RLNWq4bEz/hYhjaWS3z8cLs5bqO/eYC
lCGhwePAjDHSeYcTdT6g+WGa1/Chg+0ePWFcPhaJriZvM1lVsyld1gHJ1fdZ7+EdMn0YTqJfy4Q/
cILf95qDCuPEOiqj9ncixsFZAGA5uX6LGKRcVlHL36XCPOtG8MAsGrl1+yheO4EzcppYWBRjyC9s
+8x6fh997HS09pAkDvoLTUWu/cw/xQEJur0w8s3QevhS+4KfyThLjSi9jXTL+QbslL+um/r543pn
IWbEPmVZAWydd2HEksHhwqVftFed46UnU4Tv3OSsaoe/60WsTs9lqRTLvcAraHpMScRZOR6GaMGB
cOd5q75M9LnjdFHDXKaZKz9U3CeuOwSngS3UTeRyd/hu8+wCBVk7UEa54VhMHnfjx8nIS26KweCv
lkn2BZqw3AZQS06pBA1tBSzaNGmC05T74gGjYrmWFLp42KZ+rdoScW8m5bZOCnOTEXa8qUxGJkMY
NVc068d96EhxTS47+WjtLLcJuCFETQrOTpyjbC1YZWwSGV/myY0nuVFxYEJN6qN0m0xhujW5T2g2
6fs+QiC03F4InueDyXwHNyD1Z0fFB9cjJpM743JbkZ+cwsjM96Opki3oBW7DxCvWH9fWyPj6RpBf
OyDMeYSwBHIgAWsATOgtl1UOj3feFWXt79GvEJpMquCOwjDd4IYu0ZFx3pcVzi1+T6Q3XKSJx5jf
c39bs49oernMbQedqq1ZRiOEhW0fi+C11LZxsCO+6mzwWfiSCQL3kbfEGH3hdnIJRPIeJhyfzyZ3
axrczRlRE2uZi+Bk1l1+7Wp88vZo770h/mKEeonQHvJr0qSTLVxevcbJYBxCm/u0oGi8Jgnc37kO
i4y4+vzaQJaJmJnHF37jV/BKHh014ppHa+9HKWg4Y+SXiaFf0x131m5rqk1N3uiKHKf6ODgNaKIc
F+6oM5NeJ2ppA6z72g0RSQUDl85wE38fdPI+Ur63n0U+7VGuL76Rvl/TKyUypecQhk5wF7llccg8
nmCZi2/z49mEwppx5XLTAhbpETgbF353dEfoqLmpbeteTksDOTC8lc2ojdfOwGKqxpIaCtJQUmDR
jCozv0YqN547N3lnu8qpmbgDPs6149vJJsn4lZ3gulpIhLcWYg7i2m0egZZNJ5VgyDspZsrZokr3
XlC9Vy7/OutIrA+ofGG2jSfLSPVO1PVXz4RyQaoXrMrKfcoKUs4TI7ozhu7ssnnBpuOFp0mPtGmM
tEkFTbMJZF4y0OjJR4N+BclFZNYtzHmHigBptCcaFIBzHX9BSDJuRBn7NF1NebGJk980+Inimyls
upMmf8ZbwUgByAHvxOq2ixNyFTHlvSOVzFmilEUaursaQkS8nhJgfdSVdYN2PSoF6NjKOJUYa0Ai
FG+MD76iIi+6VajG5N2rlDGzJTbwy665MQZU8nWxg6eBVQDwUaXWZQyiKYut3tiEvIo2UnjBjT8U
s7FLVT40Z1LOPZea2WqyQzvNrfE8gdBbR0wD0usg8hVy7zoVzrqacGaf7d6RyIVpGhkPObz2U+Q6
fzGSWUYuP9U1TJrZpDsuPhDYpD/OLFIfgDmQ++7g6mkCTBq964SXi8q9S1cXimXFXWdpVvp3JeDd
t0/4N3T4d/hw2+Y//tfP4xnqKRpeiGMkACUX0+WPn+tPlpz8tuwOYvh42HEPKp285QNyobFM3n/9
aT9PZj4+bWFpS4t4KMZpP37aPKBcZb/fHdKJBbJUAn4SGFvydcxv3+t/WmN/0RqjbF8stf/aqnQu
wI3+2/q1LlL9Y4vsbz/6507A/g3PkYPfld2xlLDI/r4T8Cy6XcvwlAEbzVJLsZj/thNQzm/0xwST
D0alZIQ6/NSfPTL1G38VUAaDQEZz+Fj/K00y1/x5LfmCkSIzRexSnmBTQg/v+ymfm4xVhvc3Powt
5TLjoSRyNwQt0zeSPSjFbduXzLpY9RGiREQT1jGXuY90Zwaus5YDQoCdIogFwgmBqtXBSMHtLPqB
PCOYMFINGzHbu56CiM500Yoz3Hfr2FoIiVaThLCH+FAde71wSoeYLtIKR/iSMOJ71z678xeAWuVL
yfSn5k3b0A0ecuFdi0har0gBxDnzFwsFGxnHWZET6ZV7CYup3sKvXn5E4U7kTaKnO1m1/lOn8HSt
eJsxicSJMj6EaCyfPmyYwIWJb00yYCmqHN36lkdVUpwKuy48dCZu89Z4pkAQn9FfExHRhSJHwbNG
S4i5E3UptEgyoQDW4tYAFSfDmjpGiQscavvVxWV/V5DidFB9pB7nwRvvclXUh0aZcFuRP4hzKAki
JFgnDJ7Av/Grq0qXC7MoxphT+nPzFhMNhFPGKuRFN2n5ogLqsdWoav6aBQD5isms/TqF/NyqCzkA
m8RxMkyRu96ZKpSXmGxmhBuKfI2V44/jAzUdn+kRePYCqIvv7qf23K+6wVRnsmuyq5yIzrNKjPja
6wNItrChbuJA90dV+MkxR4oesPVbzicCqxhEBxgTZ8O65t98u6Ap7ksUPzrwn2S3XOF+6pham3PT
PDtTQRtuKINJbKimYpBmDXqreyOTfIUCQY9mLUX86QGYmpcIPs7LEBscI8mGaIoG8EdgtQ03pC3Z
ZjB0qHMj83PtkKCyY4ZoIDMc5vco6DgTZp/7T1M6PLRzY++mPEJ1jwENP5ds4nu3Jyd2RbPYwNyR
yUsOOfFlmf+wamm37sA/dcGOIRC/aQ4kfxJfyrEBVPKfqKfGu8hB4rxy257VIOuGK8trELa4P9kK
oZPorJvUdVuac2HD4jNkCom4l9x67lC2b3jnh3BrtqU4R6C4ho1LTlW/KkpePahomWcudJl8OuWM
dzVoOPRq254l6pBpkfvXRQlv/YD1TR0N4JxqqcU5bj0vvd0MNy8Sf6T6bAIzVkwguuZtHC0+EjMz
165f1snkj+ULsUPjnafQVWV2V75QtPDLWsiue4bQ/ta1GOpPPT3m0hLlC/K14OljCWvD5fxC77gq
lps9XhZp4PTEjiDS7jA4hNPdGHIrZLMsrqwoztFXEwf/RKo4J64lEpvKI/VYMJ1rFldpDnDt2y3R
paXeIwHm5KHr52LT0T1qgsNe8FPUh8rGWEz95YiLNRTBExC6HlNVQ2gQYNWQ6B9ad9hxisnfQgsF
jR3ZQw/qLOPr0IZDfTZyQSs4HtwPZOyiJFzySZsEDwOCaTQePSjH/WTOPEEshCdHNyp8Wsypfz1X
aKAJzpn4DQW+IMTrhreAZV2IgXdx1YcuMEzowds2nP2NmZbuwbFrc4c3zb+2q9HYsEfBq8WQi++r
xjocdnMzdQxHuSkQLtYZBzQTpfEAd2aIHqZmLG/CGA+5BnnGPoV7GVKgdfRypANAX9iLYufMrGOS
UNSTSyMvphmICyCtjjOIz+2hZKHTDY2S6iUxg+rAHDbcB20kL65izQP/G4KdF8X1/KlBu2Mdxo5H
pJr5woyhWVFkinGhUnwUl8BENXeCco1ZEnB4Gp0wcqObNGe970gNwhM/cJVSHQDZhQhVbwHOsqYC
z2KBT87MZa2hpb+asITYMOZCXKpuEhc8bIubu2aLs8pA1SY70bT+tshZpQNuCziYTkU2QsHANMsE
xwPrNwy2vb+sHITXxYRUoebXyzBo3kK4pHsd2axuFDcXtaw9pOgivrLKrj50wjXJkVvWvCUtfshs
+c4Ir5f131GUnTsQSE82sAG+p7k89vpBQPPqK5v0YlMDklnVsMYgXqtlPfpT44Gf9PwnQ81cyG+P
tLhBVkK/Y2Ap2TTFuyPyjIo8CBQzoKaEIe4sh7srTRMfCNXA6QU/SAOff0dzxHoa8nYkpbCy62j3
8WQtiKh39gPdtSehUd8+DWE4JZ9tIFh6nVrLU0r0g95bUWu/+inT4birMtpd8DvJo3/LI7iUdUm3
ZuVV5vJyJsgQcmQ6izOEFB5kKfVDt/YKr2QWG0W5iG6Bc08wv22VDRsRImCEE4Bkn71HMftXWU5C
GTvBAIQtUQ5+eg9R/A9a3mxm16j3wydepfUhb+2MS7Qki+GPGXnWck+iOOQRU6yMAUTcWlW181bk
2VMRivrEsKKDUzl5w0gdouoLfc5j4S8vIrxt6UVPwBd4x3h3InfNgHu3V7u6wnGKubA9oz8rrhpC
y7D7htGjdisblUMe/E7yxRZpTnXdECazrlsXumvMPbDqMpGh4YGeeGyirsQhx2AmuDMjq1gzFPuc
Vx1y9qbaGaje7tgOY1fE1idJvvhMoChjmpVbZE5whMmQ8VRlBMF+AoSRYoK1Kc0y20hY5pgZmxbn
tlNZMclyMjsIUYURsX4lhj1m/bsklz19JSZFZof4lUA0CNo0CaaelmWJgndy0BkdfJYl9HGEnCOn
P/KvoOTNt97Yuqcm9nnN6bE6aNhUuGUH8WiJvrgxTCe/1XPinaB0snrF0gElYmwbenEJYKIc5SpO
3A5+UW/euIwJ1aox7PE1tYr4cXKzRyvG9HENbse6rxLsmXBuIKRbM506r1f9ezPV/pfIQ/vRDD7m
FhbZtsKthuh8qnGixf7B7Kt+M40txiavHPE0W3Gy6lQT33h1FE83nC/nLUYWspsJweY9rs0t7NVH
8gJwlmu33rvB8Du9n7WtY/dLCOjrIbInQs/wquzAwUEIbO36viFEkvInd7b2mI1f405eDKzjK0CR
zY0HS/g+myd7XbhdtiPnytoHfu9el74Gj1E1l8rvELXXDpXRtiGy6aadgwU4kVGf0GmCJmgFp46s
6xOdFdpCftEcE5/slELNJg6rMd/2SWV/wpBWIICtvK2Bhwo5t2Ng482SO6uKNy5VJ4ARcctLYKLk
Qw0d0tQ7prWaaO6qtcpVfpBGU++95Q2hJty8Y4jx1U64YJiDDdK9RvS4dLtuCOS67zSW3TbPzYcE
Ec41qV7toxylcQ3pPcXw5MHsx7hQO19auuzUJVLOJ1J7ocPqtniOKd8p7zoSzVnfMrnIOvAOGPOM
s4lJec2b190kCNg6F6tNXCTZEcef+2okGfKdKkHzg61t3dd1syNDi4SxyR2gezEW38MpjBiBJaC3
Ux1uZgCO+N2j9tjn9ltJt4NBLANPUZrp8rQSxymu1WtQI1DeBEUzPlMRb6mumZjRRcs3U2Im27ay
nMuS0nzmyV9nW10wrzS0dA9mM6o9LtNp08gJdy5Q8OEa3KYLF0x12GZ5kBB2X21a23zA2peKLcm2
9UQtju0hftCBGLG4xJmVHtyZ8fUbD38wJrFE7ucxcUZeRFMqjAIUBEWogn1L/CgPplo7By/phicj
aaTHa49AcsxkItrUJUgVmF1bGnrFjW64L7RqhyesWelxJjZyhYEu2c1zO4OIg6hLYLfeOTI1H4dw
9FjiivYUmQD2UvjxIIWM9hXyRXgdVtk56tvm8+KKvspq78ZJcjyzVAOfsk6azzhonXqF5w8qa1JV
E35Jp+zMI9w9vz0Z4LwkbmocqDtFsEI1oFAzqJwwAqngNmj9gWq2L9iGMNPwXoIq5aEeMG0taWAO
k+kzxRX1rPYubK3ZXsvUQmNPpJo5hFhTzU69eFHGW3dBD6COhFkd7uhv29lVZdb8e3rPswAOmLUe
q4esja3dUYNGdUS1RSOKQsTpLd5NGmbjdDLFPD5MuGYu1KIp8qeBstynK/ttQvovNbk/N5vYOtts
7CUbaOmyjV7++3cC2Q4lki5bHR+CAp/GJisKNX6erblrnq1pnitciD7VSJHbBIKARuXl+13L4Z90
nZYx4g/tLo7AQ47A/3PJoVPS+vEIhsgRxSzb8GAzKkCimzeh3nREfsizMJoopNgMyr1WOgpBTQRz
vi2hTJwZV4kLmUviDNeNqvLXR/VPTotPC86mF0Zfw3V/6sHlqguKiGyuQ25Q+lUjb3+iPiEfUJEF
6brVksqny2aKI6MPy5dff/oH2ez7FiAng493lv+jBBfWT82xfHITYLLQi+0pZSsUi2oi56KpvCzm
gkQTADRUvp66JG5gHMVSfiN4teKr3qpKeWs5U5/MKzNpw+jQLjvosgrJjW8YCD0MOSjavzhd/+Qi
kkMokCoxkDWhnP90vno/1IaC+ofXuwd04JMw0sDKSIhEqG0f2iRqJPgaY1O9Iq+ZHqoWZFQVsZfX
xVg/ZHCh/uIULj2fH0/hosG3GF0DBRS8hn9cVoZdGXNH3YDnyqBsdAyUQy0tqaeGFg9mThD5tBSk
bN6YcCtmrewv8gHkxV6QvAmZpSmXPRhn9tcHpv7ZgSF+9wkRJFr4H6h2TAfLOiM1+lA6IRVqWLD3
6lb+MNTM9VytmvwTmhfPOk4FZeuG2IgmOfWW7B86q/ebVdQvknVzYrdsfdTFgnTZvaHZRMG0onzX
YUPNHRRLDb/0enLf5M5ewKWUpm49YsmiMfj2bVOqs2F86AhY5CFEsskDwx/GAH08j3dLHfeq84S1
NTdeQliMW7ID+vXpkD/S9DAgLAIDFxPGhxUD3N+P1ykSRqWn3jX2KrJ5BspizqOT1y1bnXzk6Hnw
+9cwJKA655I5BEPriMMCCDZ/GhlE5p9CJdid2DParTi1+J+cLP5ECT2FIF3YUipZLhcb9914jRA8
1IcipAO21thuiSXGIXyYgXjOK1smNG+cBJEvOhiVvX182f/pRP9FJ5oO7y8b0f+nThjlvTbfS1i+
/cyfXh3/N24Zx3R8H3jTorj8ewfat35jiMDdJMEN257t8/74rgPNj7C6fEw06FG+U2mqhbHH32a+
8jeZyv/+9x9ems1P//z95MT2lqfJd08bwQOGjeOiFBWY5e2fU+sqXUlUVp11tFOPholN9mCd4wie
g2g8pWFlH+jgxXj2h2F64/njXtuJBZjAE2J4KIrOxKpXGq8wjuC0c9OcZxJcLw46L3ZSpZNvwsZy
zxBFGuyBvb5kjU2WFBbkYxY64veiDEhpjt34hKFp207QPpGp0w+nf6PxDg0jwOuunL8SOG+sNd58
icshkZ/Y0SYnoLT5VeCqdM8uhbZNm98UtkTakgKfMrCjnkTfEJqiM7rQ9EXVRhqheyJkmpdSkI63
dPbSPf0ubtQmZGzvOqO8H43OJ98rMW/EpM2biRzdftUXihKJfsZeFDJ8XtALvOWTOzE63U0gxQWA
dbERDnTlvCIfAEdJqd7VROU4ZEtdJfoccUZWt2TkCYvqlbYk4JSxISpNd3s7Ncu3AcnoTtUqWVWa
5zkD/OSR3ahTrUbekfsyG+OD37SEXVsDrVp3EutWyO5z4ekAzG803LeFnr/6tGyeYSKo+5BgrwNB
KfXZoRF5zxiCOG+o0jtyL7orc3SqL0DFxg2Ef3dX9mmPtzzha9AiRCaTp6TSD0Q9JVb3ZvhqpWt7
Wiu/vJJ5eKSpAS1Bp2Cz6AsBIAhusqTMjoZnHCEyJxuAuDhI+rraV1Vvv4eAsYGXt/qqdaxhTzZ9
cJRZlN2J2Z0RWxoxM0morMZWgSS5oq8fP4WTXvA+TrZFmluSTYGTouyH6uIHlr6Z4VTeYEYYaZgT
NvI5aK3mOu7M9JNVWOUeVrD0sU0WJhVayuYzSZW6nydX34S8cHaT65I1gq/Efch1KdBVtpWHaE31
SyqbeefXrBXkSaho4tlKv3akZZ6BRaQHigR15bRlus9KBwq/5+rnqozEOQ9L+x6i8XwYownqPpbj
KznYSzRyEd4Sgt5c4ln5vAqa9JgZ3bHMg4Gmf257iLdK+YIMxLmp0EbQWk3LQ8x7AQ4YCRq7wYrs
27QcrmQ0WCxHHv0GSoYuCiF9dqCgyNZJxFbic30lwekPuprZMWRXusqmzD4WVWDtXA/5zOTm8klZ
yVea02WIDsCSL66XX4pezU8UDxMs9ty8LyIHVdNIg/1kM9pkxwNTmJ0M/mH0LE71SoBUfOeiqQC7
q5T/FXBmtM/7RQo16/QRUgq7TZRCWxMz61UcchEHCCNHB5zdxiMH/pOrmpb0AbxlqzahNVrkRwSV
4J1AQOfExcJCwBVO7nSc3DM4Sh/sID0409CeHKrpI/RlSMFlR4+Ch+ULmgV9dIn83gF6qjYUAaiq
craLODKsP2ayHdYqgfE1R8THxaWdPJPfOD4i4DHuS5kVay6oS554lBDUBV/+DjYFcAWnuqpwacW0
mnZ2G2f7oBnMG7jO6b5K7/sg6J+NYCD1wFHiPjZDdWBAZjbrFDzmOTf7+qtqJ47EMjfEwrh75nPj
FjBMh84MJf5z605VyRh5ThnYuFPBLGAKb+emSPbG2MLrAk/qrut+dBbKMYHZYTABjWN6s5qLbhGN
+f1jOE9YLelWgidBqs1jrgGqSSqUeYUYu7yhv2ZuhTCeYzrG3ioMEefqFFYSTwBsVHXuYGvWn/Ei
mcfUhGOOzLla6BLFl5RZ1RV7Cv/eJg3g2DT0bFYkdrX3ujWSjevmaxs5/ivwv5F+s+3dmeQUtnBG
lXnuvcJce0E2pyvppc6W7DP/yeetcUYkEX3Gb6ev6az/7s/wB3gjzmtI7P0ZcZBmKQ3xdRM7xNJP
hn+ddVZ9BwGluonNoXoyAp0SupOV24K2OSgckAQzg5yt3VTqczJk8uC0fEuaJMUOZ7z8Y3bD7maw
/fLVoqHJy4W0tecoS/VjK0XPaEInbLHxb+/h/TBPnULc+CKI7oTAJENQi72CZTV+MjtOfR7Z82aa
2nLbjNK7AlsLkGlMi+hWufHAQqNd4huL5KU0u3k/harb50Ta0Iiay8e0I14S6QkirGC+S3plbSnj
MRFOrYnvvDNyi2imcedURX8WfShPvgiT38GWI95DBLHqBa9bzS1+1QRQnzACj8UqqWr/JXEcvcny
wXxOA9yjPJmiY9DKzcR0/G4Gn/C1JA74VLYekRBg0m6FztOjbQGuxG/Y3KfT4D2GgxfsBJrPTxGs
ED6Ozdp6Ijhrp9Cvn+up+pI3M9mDc8fjn5IXvlw6WuF+ZHBBXxWjlwTYZuemJKQir2l4Mhwe7IwG
W74QqrJEm/eLmJ13fxyHSEopRFa0xFNS8JTf3lchBJuCAY9GweFSws9NTa6GG3jVu09w1rFPI8ZA
42BcQ1rYkmuW3fV9nhxau3uxa9q4PGuR/nlUzV+S1nkhouzVDLp3N51fvGJ8wOCPVH0eEIupKjvW
xCZs60pfgC6VpzJy3QvaP/mECCr/ilF3/FwH/GDPPIylzhSsTk7MIbXZncoKhE67x+CBl54eqc0s
HK1jYtpbLYvWIjVFR9cjsuRNN4ydd1e11eQ8N07w3iFN87AQDFw4zF8Siy2W5nVQmHsmgOVMk6yk
G1VWRvFS8gCl9vL7jRgDSFTo97KTZ9DiaIZYbijykisRTjmUPe2+wHaDqOUGYXwXjFF65UY0gS5E
Z0TBPp2TlG732AwEp6zC1o7fvGhsjEe7CkYbT22PxLEwiJA7VmzrNrlhouZBm7rrneYzXsFhVQMt
2JhYUTAuWp+BdA0HNGIuc622O/M3x52/TBmgFp10bV13vqRBApEVSAHBfU/E5xgHapHHfEaJGDnS
PfEGMT4xaA7J3kzFmibjdMZaUZ1BS9qnGbRXG+nh1Ur86VQvndrGMrq9AKeDznEptxRtMpiHqr7S
+pgE8DKdadMXQXsgf9VaA+bQ+4ad9xqyK/3lqNnElREeZytsj0RoAk5i5n1qTVImYXowexDlNS5V
wuBCt/q9Uw6tz9Ge9rrqgSG07FSRR+P10GmxHQKrRCYZJbzIgpL0PC7zocPpgxlZZnuYHOY7o2vK
6DIpyWDDeKTEGzpUx/vcmF3uNl87y60S+zGoiCVqaaWlOvvvsND/EySFG/21Lprivf33ZXv4FU4T
yJio/dhV/L9/+v+It2DbPjL/f60mWr+myMzrXP9gtvv2U3+a7XDUIQhiYuRI+bFZ+/s2TkjrNwx1
JtAd7Pb0v9gwfmcpEORseyZKMRhbCwrhTyGR/A0cqUfnEMg6ZoT/mqVA8Bnf7+JMmjICNZPnoH6D
UrA4C79vhvKiIzez68Yz8nI6fQNpJfiJYBNCExv6e8zf0ykeeT5uTXprlEpW/5hYDY/lxs+rz9+d
vbt/lOOJnzojy9FYJrtXcP9A+6SzHO13rVmssGXiR11PSZsjq0nYEq46twBSOvZUaat+sLoXF3MQ
wPHMo19SxTVtDiilrrX2fDd/89vWvOV3RAA401Q84iDwxH5y7OAPMRli3P36iD9atd/tgj+O2HHR
LIK1d6FJ/NS2tDTxccyK27Ma8fjAlZnTR8QontpRnvHU6ieAsBvN6wcJswPUlAkHI4y+RjdT90X7
xvOzEWsN/GjTtJpufIsIBoRXbSf0aYo4ukOcdMoIoWo22FNo5kXVFcNNxvXMrJ0bDegt+4sG9T9e
BuIWTBwcGCcERpif+tPuZIREmqbNOW/R/hQhRhk2dYvYpcRXcsfW2v9UBiJ9/vXJ/EnTtjRRqTeW
hiprkT+Ww/ru6oO6D62yCfNz7jG8FknUnQlZX2uymZ5+/Uk/9bo/PokGCZEWniNgW/20zkqcejNg
4eJMpLb1CtqfPXPQehPzF+DNZtXRdFPmhDw9VvaQ/dWiWRbF94uGb4mJx5YgBh2Hp8NPH++6S2c/
B4mxPLlfs7izX5N0OQZ7zpotcyRGbCaXfj+k1ccuunD/AD7YHAcUq6ioVW0ijWdSt45dghpRkUlY
Bd40/VEacAZNY87cNdNLCx2Zcua/gXV+6AV93/v5GTHC6fNQTEih6DQxKbAWB+93F8oEk5nbdmDc
CECtr7puG4R1RtJSfNK3yMPTEOkE2jkA2HGuop1TWOQZUiu77y1cgwIdUOgSkxP3f+gaTF1vUzed
fn2JLfsfLjL9LxYRDbRltkCj/sejdGo2knXUqhtcomXge5vWj+b92C6+vxZSAvTqyrzvs8nuVkRC
slUS+b6RdblPF/tgklbZQ5naGS3qdAg/D+Dgjrgm4TJiwnwky9jbANWCkPXhTdStwqcYxE1+Hhbz
Ir14clbhNqAw/3A3yj7KDjZO0AcZh3fUW2pcpZ1bnaFZX9oPj6Sz2CWFniTPBqubGWcMXnyN3onp
nEnCZrTYLecP5+WAiCFbs+g0bZPFmzksNk2xGDbnePyKqKH91EEXXZpIrYuBv+rou0h5qSKUhfvA
NZipslsJvmBrwBmq88r4vVvsoggi5DEh9PooKj99A1wJagrLZ/JJf7hN+8V4Wi8WVCrFcs+Azb+t
BtKUUcBUO/HhWk3pGiLTGEKvWiOSCyCPK4RhpX9LVwDXK3qK9sCrRg5r5CPI2Vs3fR4zM7qStV9+
slWLfdaPDbljRzi/ek6BLtQcsSvhGQl3BsFHr8SfDu/NhyeXWRr+3PzDqzsutl21GHinDy9vvdh6
Ab1khxz77ooXEK5f/L44gOMPNzDKAygNHx5ha7ELqw/ncI0FAdQdbuKBYRW9ncVjHLOS2h3TXbzH
o3LHa4eQtzS47wYEjNmKxNwpr9+iIGIA/9IMxugS8Obj1UiKr3LK4lYxrm27rjTPwKCR7BMgWM37
3u/a4Jh9SERjmRafTNdQx3iC/L3uuAYBobnm4oGJyJ/e5EHA+xBWzVBtnWQIzXWdtiK4xWHhkP6e
MJyP0GKkC5SzwebBFCBgpwtMj3fhzoGVHtyyb1ROuK7o6rDgVNLAmk51DbQUIRNWuBGjBzwJn441
eiKMzeuiWfS4DKJRlg30bOG9wHkD8JuHqCc8Bv/zOpe0+9ZZVDOG6ZspbO4abWTZtgi19250PRP+
jVnIdq8tr/POsLXD4JQrt3WRCuUMyubp0CAOhLxfhpGbYc3rGcfijMj1jqlgNiEAaLDv4INkXOVS
VKf7WlfwmLms8rNRZkyPiOxMloFGZhq3KGMhrHdoJz7H2MCyo6r9FgdT1DoPeLIUAejEHYqraIga
bIJuhKV+j+yozD/xMlbklrAd23UlR7AtWrx4W0+MM+2UeCqHm8ybWNoGt0q9CYToTjU20HQTBirs
FksOMiztNsuYaY7V/Ad0Idi5HgeQbWD8R9WR4BTrEGqiDvHKYTHa6EKD6+uChOSyoS79uzgYYmut
dIXGKivj2biCbwS/twxIeUchBPNXTNFcHCMtUDsmvgWrc/l7KMKhzbB8QgU7cNAEc7ajNn6voUVC
ctTcRwybZwA9KHR7y1AXxLWyOzulTzc6J3vsxu5yXkkh+VL8gE/QqdoFOhL5C2m1DKwqPFjjrhns
WV+JNmwvFpFVr/YYMGr1MAOqXUccFRxHZ2bMRIgkY6ZUVUlD9E6w/dB/psOio4vDuP/U2M7wpawj
dejdARWglzCoJp404PfAx0UL+yEan8dSWfdM6cRFtKTArga21R697AlZXy+zWB/qUUo6927YyNsP
VWtuVsvijOMKlCJA8uZunHA9rs1qkVhHQ86BFRAMxRVvMAStEFDQMfGUrDee8Ees9I0fyIXemCQP
0sM3cxyteOhu2rFdik/6tXd2wrB1W9A8GgDazgznR5m1895MEH2tshq9+8DzieMCxHe2bAib911F
y3EVAf+e137Sc+uUKY2B+7x2ueXrjqog5L/xTJVtHt1WwprIo1NlZHK54d10NxniiGZFK6Eiytl0
TbWdoKAvDw1upjXfiAfI6IulTm4R4QV4E05er7WHi9FGszNOofP6bTg+/l/2zmw7buTatr9yfgA1
0EQAgdfsM9kkG4mU9IJBSiL6vsfX3wlWlS+ZpMlTPq9+sF22q4QEEIhm77XmolN4YzWDXp/5bHMj
OBtZHN0qVottnenGZen65XeBeKAEOxuE5iFXaJbOkKWTKzhWTtmzwR2tbWHyWDkEl+PPOInlFV1x
ojdR53bxfQ+Pot4RaZ0+jZM7zyEcVwFR0imlqogosd7ARHPvNd1LN2lf+Bi8BNPcWCGcDfOmPsPn
FMmVNCvTZ9qTwlmQZI4QNEKSsE7MjM9k0jzL3QvUjOXvlAl5xPzMkFr384y9jiQhuBticbs1i0xf
nhlVa9rY0MC+stJanc7Wu4x+VG7nftFGtukHCJGV8aupCb1cpKRYdfuwx5C6HlIjmJaIsG1/X/Ba
KPoRqreZ8q5rSEBwktuoq8uFcuqdSAme2029zcuJiWqbaB3FeX6R2YM41xode1pQZml35o99QSKD
rNMAmVZR/9JdOgyU0cCWz9ThHl1636mSVWAsb+myGeE3tCSWQmPMDmz8WpBmgsSmpMZOlZgsw4Pm
Ff0jqAmtW5JUY9MfwAF/TdXGm7ZVW9bh+k+VeWg2kXUFGXKSl6ldzGHqGHPtC2EEIGVHdjf1GpEc
b61XGT26anLSWd1fJ2tjQPi86hJQQNtJlYx+olpQTo/eSD2bugYAcuIt0QQH6C/5HEL3jrGe1lcZ
8SNMsGbhkoGSIsJfDO13k9qbMqB4dc5XaWao6XvpN+JCeInqbkoPViSLOyN6XYQWb5ODA13u0Gpi
qGdVgXDbHPQE28swZwKHw6D5F3GlFf0qJasFTFaWts1FQquPY6Qb+5sayCaBEoOu78dS8N2PGNVQ
YXuBc/G8K/1vO/yTdrjzHLj2QSUl53zz8Ct/2Q7/85/5u46iQ1nAa4VcHY/XzGb4/3WU58g5REsS
WdVfKVF/11GMP5DBkBLFKQ9JkW2+aIfbf3AuMF0qH1JaDrl1/8SQ9SxPenmkU45SDicNsiYsmtWn
mg6deqvuaazP8EdKFHeUddTYfqs6V2TVAYOOQ5k6hh4RRFsaTIDvzi1mwH7tp/QHnGYh81EU/mEO
JY6ti0zjjGyjw4Ohq0fEmED8qrdtHDWDtyXkRYbhufT7OUJu4n/12p3HZ+eKr7qkyQlB2m/TdgjO
jS4lVhaErnI0CA4ac1RH9TA9WFQAmIsscuBG8mYBOXw3M7KQlrndkHhzG5UTXMu1EqQPXVPkbQP3
CFwYKo7LZ7jAIaylS3YIiPuTtpq0EdYhCDh0gTm7yj+1Vv/9aj75aky4Ipxa//1nc/FQ1w8/g7b+
3TSvpCR//ZN/fTy2+wd1cqyRfw91Cjp/Eb/gmlCaZF9qgs+aWWB8V39/POYfjGnrT9aIeM01MZ4z
21wd/eJcuUSccqId+VBL8rocwh+NOQN4mDTAqPAhnujWXGu0tbjQip0Kkyf2E+5WUyQihErv/xxI
/7ZycVJher4Sar25uEVZi2nkdUkgyUQmpsHgSuaEV1EvfhRZPnBACtrli/fwTinzvStxDQ7PwjEF
qduvr+Q3LK90m4pd08ftksSeY92lxD6W0yelrHcupCzErAhxbG7rtFbX0fNw82oqdmMdP7HjesIx
8hTxn//4friMRLHm8MbfvCNk0FON+abYeRoWFFeVFIADOhuktPwHj26uygnmU0lp7jQD1y/0VORE
te86L63OB502PbxLdV4h5/z4puy3Aw+1qUmp0Z1DCdVpnbNLlYYMutgFfR8vQADcgLW6M7Tx7lkb
+fHFTspR89iDfwUnmSWCmtTsKH5ZNNNIg2YZyknaKWdiQ00oXKRKjEVa+KArfG6hqKwFKTbNPx+K
M5pI4hZGdEjJ7vWFKSe2uBWzAkVsmN+2GGoW0tVijHb81cf3OD+wF6vgn/eIYZpZgVo0X/XrS9El
hthLmPVOA1SzS9tiXEcmcvWPr/LekLdfXOWkfIqCArYBrsKd5g6SitFw16V9dnhevv5vVzp5dMR0
BHkHL2cXJO1IcT96mNCYorn89PN6Y+jmVxN8T6/AdVxhUnl//ehyL5WKdOV0V3QwGwo8kPFiLJrh
ahLpuHYJPV3BADY2pSvlTq+IGIoSOjYWISMHPGy2Tbw1hxI1AHCuoB7/dIIwXT47Sl1HNzB3xE8j
FvW9PxndReHUHDGLCRee6eYl3kf+FqoZ6VqPgXdAPZU7B4v5Nd4f8z52zHwP7dD7Qd1sXFHskzvP
YVuRjxkQ6IjxHDsDBSWMjyC044xwiQ4t0r5p8BO1cZKtG9PJbhstEgfdnfqfz/RoY+ZDd7bBVSJQ
pL2qwWEEjgry9SgS/TGKA5R7Nb9HM13xkLKfX8VdA1fJ9Qtc3lO+amZlImIhD9Sp0SYUyUqrcWGR
QF8qdY/zXonQRatg7accKtdTysSVRk4DRgVVHewkUlR8YKq2zRKQkd63aeicN8vOnSndWGa2uCjz
M0NvCNkAiLpV2NaXaBbNez/o5NngG9EPX+XJnd0TN1HW+LFRnZlIyviDMAcbmOBTirn8po6NU+DM
1FbLGvnWwaHQyNIE/NS6h6asNDDYKLebHx6P5iyIyuJot9ETACLO9JFt3qcqfKL77t02NjWffp4a
AyCrZ2Ni5vGmIjvK59t2k+AK1dtwEw3YY5nRGwAvgG47H6IL2wBEKYnZwpr1Z70FSTXhpW9Rm41s
P3sim43eSx7xENsEVLep9XCVnod9grrmMAE3OYdbma3RMHCbLZAmJDkjfo3C/6Km2T7uo4FEmTPj
AOitrDwZzLWfpsunZT5VdrINM1Mv6B50hUsIEUKowCs4ttIhoJhDHhs1E1vPKsIIwuleaZn8MmQx
qFmMu+TL+KQsNMycuq7KnQBpeJdTQvhiZTnjB3OuhEElZBcTWhN0OflhyKkrCkcLWq28ggYZKEhr
s4CuiSQeDHdk01YrqQsXQp80xNQscdMIK6exChiZMuFQftdkmt9tiUKPHtzeJKIn4zui4mr4sLw6
MJbY127QY3TfpmqKt7JoG7R3WoVmMiosOa2nCJ8UhkoftiaZb8bj5HLAN/FT7xHR0A+kqVd/7Zym
+O5HQpI1kjCHYiwmQKbVrIOtCwDDglre0oh5E5LU5B8lsIPD4PnZmrwmmhZV9ETylwsvCHAxPwRg
sA/gXkMf26+C1A7oqkKHaH0g7ZHGG2otlr7WmimgGJ9XEqQkdQtqXasAJ9/vrHDljijB2eobAI7G
Cf+tqMdui2tpdj20DISJgsChFyFmCw45JfWMZY3cFRXk7wauOaDQ4TYrzV2Td4944sJDmtmgzNBk
nrEUOtdBy0dJ5sew1o2ku+gAOa19EnQ2gsPUwkTFc483azqjBr5JJydZ+pQBmyW8VOLtoInjymwS
BjWzIo6hOSozwwt2tNhUbkrQ82vwyig6ugKzXR2N64k67S7t0Sob87pbCO6b0uED/VR1hOEkH5Kh
VtdWN1MvfPxIANusw9AyonAiej9mWMRST6iTdtnMYa4nPqMUPN6xyeA811pF/IuPuHkZiFhdG3ZV
LoSePEjJRFlVzB+YyhzipkCimhXxap5DH2khrVZde3lcnRt9y0z2vNNqXVSwCQitVQRTYZmaM+C7
59I0CasdRByCxBBU/wxkhiQUSq7v1jojGPYtApOjVTSI2HpL8RLS4lgDOV2EOQ7+xCgYTD3ZVmiq
DFQuDk8H0gM1Ers1aC0z69LF+97EyvitE762QJGZLCWOLmKWAPlHEuNcN5Jv5/TsJBaa1sjLyJeb
Gr78sstnDB2hoaAdcvJ5Jzv/ipbLPU6Ol62oVVZLoc09Cd4w8kMdhzly2exLhwN8qewsO3hTm17X
LXOP5jN70PlcZ3GHbrNDBYjaDoGcT4n90vJM/dE12uas0yT70bwl/bxOduA7O9J/cnebur520VTh
0QotJJdRVBOuGTQXHgnNoW719yqGNaRG/OViMijTueG0zoIyPRZa5UG1Rkdcpbj6ApCDnr8UTfiV
7/mu6nR/Z6ocOaaflkswEsVRjCSnsCwiaLPFoybBNpkOi96zw18Lg+SuzJh5kU1iaEmV8SXUjQII
Gq+0+HOStUUNu413gObWghFqD4ijlCDSEVRJu0tNKaptFrgL0wgKtE21C7BtTBIms4hDXskQidx0
afg6kI+evtFCFdSysrjCm015eKoWSWGFxBT6ZaNjYu9LsjZT82udmumhLy2S6EGMFWTtteXBSup2
1RrpaCY0O4Et2mdjbw7pxOKTVMx/KYa/m9Lsw36lo5HVtiLsUM9jIrI6TMyp16mD6IhhWHh2axFE
xV68apG5AfN/qscooBaNyvd3Ie259ek7+0E5QLD6ZyCWVUp9XdbPmCxFHwJKX9U0V5lNJkMViRYy
fq38aN0UQSWQD7bUO5h76h8KHym1jCG57SNrgM1i2Hh82FyLGUoxEqaHNHgVFvojrahdgZQQhrpF
UrbUArgWfF9MHN21lBFNbmgS0apxaARrwhy3fKcm9L+oHmESqmZnltD9htJ7gIEbr50e6pupk4YK
ytf4ljYmyDPWaLz3PlwueLMt7arEmi75XP2ffuIYLQBM2GKJA7ITko62DwepA82nQBovQEEw6fvs
TjgtiR6fL6AXmrQBmdJtT09OjbL7RP/xxtuG3QR10SwnkbTQn5VJL88qNeFhgrp9sitZQFe22XcX
jd9Cs1c0pY4NW8vL0ZqjaM2JfUXsVmBDKlPiV08JBqXn/clB7USQQlmP3zPTykmCnw+7pwc1H/wI
vIlkV6XGXauPZ1XMnEoC8EOWtDfeyDL38cZ/3m2/OshQA58VW0IgD3FdfT7MvVA41KKTqd8X2BhK
NmGZ1+Ixz1iOsyzIz8ifzPcfX+9UUjHfoaE7mHPAqNNJUycnp6xigyMAdzChlDCymSVyms4Zao6o
Sh8aLXfXcU2WGazZ/up52QHoBjgiMHtjEwANWXoxEI58KrvtQM7FJwc7682Zi98n51Kq7YBoe3Mo
L2YnqBJtvAvSVBzark6f8LXwTfUNPop04Qs22wlJMoDuImANHTzqBRKe4lgYbLRDboKtTIZZB6fE
aHLyBAmFHy0ZW3kmzBDHHaj289hGHtl0MwapaT258z1mZWvg4LoWcCJuLXRjD7A/aDG4/NtWaYZz
PXr0jxYePe87PQyjH8+rInZ5aFf9hGzpk2dhnMh3nt+VZEeJcs/GyXmaU+TTA49YvZAM27B38Djk
9FYjf9lb4hsRv9pOY9tIFmJgbmQFkcKvms/ELW+GJ61iZUpeimkxTE+GZzPaPQEMRkhq7xhupeYT
5CD6z6aBNxUL16KizZ1SDEaTd1qIacO28+wsD3e2YPNsk9uFpxV6fmnSNCFtBTDfGHF4CNAWf/v4
ezDfPmO2KNZc/4Hmgp/15Dg8GjH+n6QPdoIcEm8HdcA9fw64QM0vz2ok4ePR1aA3IeW6Q9pbPqGg
6/GBddJf4gcJkH/7VdUsyqSlueg3EFEFrZ0d+2/3PMqz+lcJ9LvZa17NwfX51/+3Xv1JvZozMe/x
35ermbHYZ/1s/id/+h+0SW36+Fo5++c//1fR2qFBo8PZpipCrRaJIVPS30Vr5w9q2SwIOmKOP8vP
fxetLUVbR9BcoaKnUMm+RPCpP+bJ1eT/nKtHM53vHxSt36yRLEmSSrKBjI+WlDXf+cslYjSy2KD1
r+/iYc4JeCI36jiMHkCg2VWd7dJQP9TovF2v/WbE2iKy6tWLh/dOjXkGnL9apeafQEWRfDHu2ZyD
N179hJyqT6GUr+/yatQvPfFtRHFXd/E6SwnVMYmWasp25RZ+thCJd1EUPs0nU2Tr3vwuID5PAZhd
mqMcejkVKGJAY3ZH9Ppngj8n6AVOk9nsP2NkfgrcO2EOE5m0ZYIMIwjN81+OQpAlNX6tp3wbpgQ9
aetRujuRN/Sm/Ng+L0G3jVBjGvbCoLQsi40i2jEruxtVTP/VsHYDxpTUwnlhWmfMruQ0RNO1aOq5
7wUpm5xuNmIgVYnrAg94jn7/moJmuyY/dmFqmD5s97thaevadx6wN8EMjwyUXtZS2CSNli48w2Dd
5smqG9IlR9ubQSOoo4TYhPKJMPKCI52pb8OkvULuchYZ2eNEyaWJCKO0+2RrT3NAaAMBB0DTz3Qg
2TmOFL45vf+ZCX/l2219niGF4SRTLAu75mLTJoyto5+yLvx3cvnfAP5ntzH1138/u2xoIYe/Hl62
kP/6Z/6aUZT+B38E/AHk9gLXzIsesnL+YJJhNaclTAfq2Tf9t6WaHjLATugU/ADdpCH2Ly0+An7J
+jtv2tCAU9WX/2RGefM1U1RFEYybmsXdeoNv8NEfTOQetzvTbHFy4Mljdy9MijmitaAgOLLK2CBR
cVm5AeiGF8/qncnkZIOHmgrBvaIlpqsZKnq6pShL+HbdNDTbvjW7tTOm9toIOfVhek13/8GlSPnR
0V8LHt3JtFVZUWcYqWy2wiA+MDGNnroMBjyE0uV/cFc8Spd+BN0XRI2vZ8jJGOKCGQqT1TCEaDan
csUBMl42BFN/soWfRc8vjgzPDxB6ii50i0HxZleIQYFCt+QBupRR0P2bCLla+2no7BXkRiKIcot9
PZFeSzTn+Sc9HsbgOxef90mMYlSZJ/fZ4Lb1qPU0Wy0XICWjISCIVpSfgDzejhFJJpOJ1EHYpoUG
/PXTrH1l1V3ptXi6iJ9nbAKKW8ihdLp1BOwk/eSmTk59PFE5W1/YBxKdgUtmvukXhzCChEwrMKBM
+aPdIJSrfjuW+aT8PF0YSXpmewgjPh6Zbx8jyU70A+c+tOAAeLKmewGuPWXl7WxHJcMFVRgvy83X
H19lfkyvRwpXYb12OWEj7ng+a724L/xc7B3KuN1aYTcuLE07BwF9HA2TeAo9lZ/c03tP8eXVTl6a
LXS/BILVbhXAQzqplOe7FBF7FOP0gYK3qOL48eMbNOcO3OkdKvxLHNbpN2IVeP3mxiC2Vd/z2RmB
LY546pM7X2+9PXhB7G25H5P9c+OQLLQswZf8shtdHQpp7Vq/yrdd63brdiAgp+qd4ucwWNp+BPe4
ML2mvJ2qkUpJ4FMDL6dPJibjnfc/N+xJgJHKgYN0MuJU7dsYL/mMwr4V1F7myLsFEX/dWtMsnfgo
grgLlfcri6e3NnGu/tAnZ7hqDVVcEkhmLf3Cd48cR/9a9f+9cuHdn8b8PH/hkn+d/LTITRCby6TB
wBCsTS+QK5w/AxJuu1nXpV9/HUIrWuq97SYrKDo0BTLO06i2u3iVDmTad3qGLK+OFuWY6QsLCfHK
yxS4e2or7LrM6tK0J20/wcBfYUsFFeHIAuFo5d619Bzumk55SxcpMs0VzdlYlglC06oUe53h0MRV
vSCKgU2TJ12gE/KM2vdXdHz1ZSxGDorWRIPKakMCG5oj0Mdpx1F5YvtInWAgY/xcD0b9XquoX8CW
pZwhx6d4tG4a1dDIgRbAaTtojvzJ2ebj0fr2A1ESbhL2PCFcyhsng3WoSWaQ7O62YR1canEb4DjS
90Y4fGknr1i3UCT/8SfJFRGnYhqdDyKnHXkXFKMCHNhsKw+2ZC3W5H39dDNxXllI7RGRfvv4Dt/O
20TqMdtwlnZnJfzJtMaJt8t4N802GpOCFC3R72Ewoe4yaT58fKm3wxSRCNBLLPfufDo7GaZ+K7uo
x9e2dRXd0RwI3T7vW+eTB/juVQQVEJQGFlWCk1dGK1dLEdaw3NmVXi1Kx9V2SN3V1cc3c+qOZAXi
bpCgUGqZCV/y5DoxsnkDRTxuDxjdK1wU0cYeUmx+dZYjD60dthQMfKIFsMSoe1TJ21zE4WfTkvVm
OgXbg+xREq8IruKUjVaWuZjCzqm3AhoJQTJussEX0GxE34RqCSNU7PEzu+tKz38nee/cxE3Ub0H0
dRfpNBFgGtP2+fjRmO/+JpxqyBaI/ZanOw5faJrmBVa9zfw22+uVXLt6iwaczuylB1uDRj4s3gRh
/DIptfHY0m9a2rSMV67KcuwRye/EGLrLWA2raep/ABgwl2XYFLdjRk8KQJ/cST/oD9mYXMIr+Wxz
8f4NzMUlug7Yc2fh28vdhWdUbgqKlocajDc+Ib2bthf+14BZbFmUTrTyiEJepo7dsGJV6QGbxYMK
nS91Zbv7tvC85UBY4xo1vnudT07+RZFfPRGUeLBowG5Qr9NfiyMA0RGNYGwqxSfbo9M65PPo5MDy
rzs4GZ19k/CD87HewmD1aZi52aGRQ7aKNH3VhBWTfIuENIp0kO+kAtUFRJiPR8Ep2e2vn6CoQ/Ax
Gs7p565G5hL8czW95KABXU8Q9SPbqitH1AhDXf1XnnTDvUOv6idOzqbt/GWUm8EqtgJil/x6Y+rE
2VbwCAF6G326cMy2oBOt69uB4L+liHzj9whTmqnSuXVIDpJ6REdCc+9J66t2Rif1c00ayW7K8wdA
c7f2yIV82tSke7q1/OSZv926KZvTIG0BIiH0NwJCGmxO7JGTtS2j5D7ztk4XJSttAnIDIdP6ZJ/4
zrRtswfm5ImGkL3iyTkJnr5NtotBhAC6DBcbLKs2qCmBA+mTK81/0uv9GrcFZAwZDSURxJGvvwXU
OG3heJKRVPlfYsPy76NkmmW+I6cJOcaYAXRbUwfPNj6rpr+z+iJcIGrDwn6O3vXkJhsfjpgX6Yib
nfE7HtyrwSlvdOE9JU7zyJHX/mSBOq3bzUMWBiHCb4PCtrRP53S30+ohDBmyHMOzm9Zi3zN61opI
AYKzuuk3MqEveZgMK38s2NwI8pu62q+AZk2ffD3vDiZUt6wsVNjfpPmFbdPJoOP77VXerPTCAW+I
eRDUbe4v0cw8ffyxvrNogpOjlEqhUNJrOnnJthuRA94OvOSxIgCsMLzl1KrgkzPiu8/XoJLBSOLx
vhFVQkj3c0MU9ZYzcrVU3RAgk4hcktzAe/X4QJc+XicUKWUC/gL9BdWABMehdjZN9mdz5NtDOVJS
ToUcyiEm0Mx8PbB7uksAO2J+TEfKEq5jzB7VdDF2Iwjb1CAuok6zbeA05iKPW/2Tz+q0q/c81tgN
8bDZtwOBOLk82ex4rjK92o6GCB4Lp9Lkoq/85liHhsSza+fo9vKWP4D285yj0Nkl3V0U/6S5E4Qc
xMteG/sLkkcIkzKbpjWW0pf1r49HxjsTDQF20Dn59NnnnDZ6Ak2Fo8zscksSSLVpaaytRV3SiPNk
+MkjeedSNK2Eg3ScMpw6rf2EkVEXJW6xLejt9ElYIzqYLEBJpNn6f3Bb7EEl6vS5pPZmVitI0GsK
JcotZL/qGmCjDRTc8c4IFaCK+K9C49WfM+VLR/w7kxhXoizCFhGR7em50ZzA5eQtVwqJ6Vh5TVbc
krxsogOoMXEPKSXyHBj4xxd991FyvgYkahsCj8vrse37eoajXZZbjH7kLEqaviF871Wlm/Unl6Lt
/3aFYKehz+pUdCfMWK8vpmKRtyhHGSJiRjvbEKwgMwSin1a4GLNkaVe1iTIpbpJlaXW9tuHk2A7r
CQtoCthO8nGFFjXGvVePyZ0JMhB2dhardoXVzAYH5JXBA2097SJGh16TxJjQXa6zGaGVcUvW0rFz
WituJ+l49xAkxjPEGu4WOLczrWEdIEXy48D4YrcmNuBEDNLcREY62GvAg4EJLpvsht92RLHEXxSc
YIKzIagsb1WFcRV8rQlAGvdJRnVti5s2FWtNL4xDOuEf29Zt3NWXMiX/7EI07ehd20jcsg3/Xeux
KlZ1TEKlcONshUpJ+BfKyWZsk7TyaNPKMrntNEI1Ef5o+c6oYuReo1+ZCOiC8C6tbUtgfAOIsIeR
5JMv2eboOceYRIR1WmAqP486jpNkn7oF/YgaEH+8wlI4Dqu8w6B9lmo426g7pAW5BKmcN1chjo4H
ZL7USxyvGZaTImHttpB4YsnvRgd31XtOd5shO2/Wo1a6zo2ep8pft8RNt3s2scOmVIMbksfngwAQ
hT9Ny5oggm1WsUTB253LfzraXKiTtVRfoaAnyyFJYdzXAt4frLwCoZ1qr6nzbtpOFvdeYSbfiFjR
b5rMBpdAOM9OG6MEHbN7RKW3ycp6M5CNeeM5FFEFLGwgMOHWFHG/it2YvlbbHaxu7Jcm6LgotuGd
tSZZ0tFgbfAo/xKW1q/pOJGOJypna8PcW7sitLfCnXLSQsW0iDLXP6sBLz0S6NOvRDuSxOh0D1Np
y11nzWHhwKFkiJxAt9c2yMIr6aYEn+hZeIVlalpCIjPOFGEpF5AGwPk5aBBrwoiGyZK0443rMET8
S3fQ23uuiJdDFLdsKmpnCeUY0EvtTNfEZe3LRjSLkMgC/i0+xlSXhl5Uh3gYzNWkx+V6aCqwAyhk
EejBQuytYBXyZq9IX7nB/TusjV4FwOUr+Hda04L+H83txNb1xvOT4gehkvo5QVBILprSRnfXVAh8
y2ypNShLFAXrrZPncl8lGCWdzBv2lh6a+3p0FHrS7mACzAllYRBzPn5L8Rl/y0Jv50hxG7bjN7ze
tBJ1l0Jd631Lbc1H9hinat+1DsgvrcTLLrUvuN68Q+1Z4cr2c0VyqEDrhEltISJ3WgWcG27CSuuu
Sr9SNzVq3UVv1efN6Dmg4WaMoZb9Rr2KacdqQiSPKSiHVHVPom5amAv9RIUr7sJmGkFxlBlEIxqJ
eoWJPA/d5kucKyjQJoPnPjWJelo5JecIFlMmiYhu4/eCZ39Z9oyyaIRfpmJjr7dojLUc7aRtTOqM
v8jXAx/E2pOmHOtzNfZ+X38fg8qpy8VoeqKPVxPskO+aYW30yAeroGGELrYOwSQ/B7Tyxc6KUV2v
UlU5iGlz+tvnmmaTRRk7qvIXCcoF7UB5ViffKS/xsVc8KfCWWUI0Qdp9CajqX5lJRF57msXhvo9s
gPoAJC6N3lQbUqH7aQGrcjgEYa0/2rrHfpL6brF2Jj05K1hkf5Kc5tsEb/qAbXoZWufDUNu3oou9
J5fifguQ0cYU+5zrPI1q+EqfKX2qigo250jS2Q8c/dWKI5o8uplZfAcx0K9w1I/bhh3LFwVL8ntX
8+eMWoIdvjHLw7NyPBwysQeHU99ThaMNEtXBNDNYGAmB5ZbfAkAhP8tCxCR1aeU3pzTDXYQbMdmD
5o03ITbie4yFYE4ccMIrm4yBZtVONR9HYpIiFusk3Pq2LZcRG649znr4kpSQ15xK3WoTc25Kd2kB
YoesJ7+7K71+ZjnI0FAL15+zH3NdkDeb0hpERhsk8xjU+gPk2eAWbyeSTqdqoZHwOLU7CADcImRw
NzjDhcBPtePurjOHtr/wPc8/hgqRU64TNpw3Sp2LANsFDnH0pXpo33aNKSc0ok55sIsgOGKsLn5Q
ujPXFM7kEbVQaa+zPJ0ISxniTZ8PIt2CzPKPSVJ0zrKQ8Fz5iEo+Kt4uRfjyEOMiPTpEEz9WnV9d
E95ifKlDnncYxWBZccFvVcBD1SoxnmkMzetCVsWjnE+Yy8yeiCCJS2KfeLLhDk4nf6wG6cmoRHkg
FougrK4uHpuxqL51Ac91cpzyJ9J3VHhTG/BYca97B59qxLZ1m/oX0RTyKKZS6wHOuv5xwLFKAqCd
puMvYBiCbODCRC9FR70nT+rcYFkuEPnSLdeIQpq1vUSMMUO1Hjm3OVD0whjlMZS597WwA//Slm3+
w/bJpIZePCFEBLJjLDrFJlK2ZNv6jSoPY6V7Kx/yyNmM6NsJ1xm+Ki1iXvS9cGfNMdqFrvnH1i3t
CXusZAee6YqOhVUm+yqeURb4w2IAXjG5zUHa8DeQlTtzUPukWUVTgahh4junjJXV9wBXxyfldPUv
xxdy6XljsjeqZh7lbVC09FxMeRumQXeHPKJ1cOzwIxOpxzeqqYoHKwrsWxJl4OIWWR8cRzvNDHCF
WfUtIb7kStl1e6cXQ3xD9pk4zjEu55IQ45tSdFwo1sYNFrAZm6GBExU1Tw0R2nil+9r4pE8o6bQB
9MSCor13g+Bd7Es9IHMZBwB0hSm+Ycs+fHV1OjJTDxME/wAl8bVG+sKTU1Dmw8dIsuOCektdLQBa
9tnS1nLAKUi+UbWHmu3diIAj16Jo63Lcp11nB9w7I2nSyoqpFyVZt2LOCo5JHJE3lRpTfqVZEUVc
9M28a71WQbe3rVxlS7dunnKlcWbq9DRalmmPyiuPjDvh4+Xv+tr4TUg7ICc+vfKa2WJ6ys2oqJa2
mY0xeeay/Q1LYJK8M4exXxQ8FpuVvN7qfWxUC7RF4LfNRLtxG53ZzLG730OhyuvGyyj8l2Zx2XRj
8X0AHnttNMo/ejYWoMbFU4TIEEZPHcwsgtlWhTukuS/DEABypamaOZ4gHejJ4Fae2FE7F5yJvU3R
ehWTGNxK6qaN1dIQttSPCRn/pUf62bZLkm6H5JdXw7J5blUixn9CROLVsy4ccFn9tSo6vFtk5DZ+
XmyKuijIrekK61G6yO9FAeykQKG6Mq0Bwm5n2VuD57WgoylWMfospJVWOt4YaTVcPWd2ZoIUQDPx
SVTU8lsM3hdgW4ly0/WQs0xVrXpYTJcl9R+9DboDMW0Vl43to94DMwHUw7wxS/0HPdQuBltDMDtK
75aMnHzv4g/1mXTTaXZ4IMczpL6XYXPoxjFZhXybF7rfV+dgxDPywVEKsdVnC+jS/qOE+uBKODmx
kxGSB2b6V5eIQxnqBlMaWL/Jqst1ZhsEejfibBgicc9+m2gifcgf3X7uM+UN6T6auS893HFLsq7Z
4UX5eK+G3r/Rs6DfOJha7TwpVy4JkHh5ynyn+umB+l/6PU6daYZDcbQyNaJRIpsTztIZRxEsozgm
HUrTcUZ4GszBVJB3DbTlLDDaYsUOtb8SyNC3nG7kbULKM86sTN2A83gysiy9lrpvbwYxJteloVBA
RLn9FZqSv7Nr697PrGpL7I62xG/lU4gLx3yRh31wESrqNrlh7j1rMh4D3es3ndL0LSjiaaXC1lr1
Hd9iXQTNoo+pFPrjaJ+xtxD3mIq2mRzyDV8T8y8K9mnh26W7dRPXferi1rwfCmFcuqk7IVpIxZcC
/vFyYAu7kUxdZ6lXJ3dEoiC57XhJsoMDuXHYFi6qpoJWCOb890SnySQlE4tIGTEKgAQjCSfCHHB+
UYzBQqRRvRwIqQYwBR1rarAbOjb7eeFHD8RVEBOPeq6BDh4tpNCIu4I/P2E1a4BJbfgSN0A/8DzQ
YmM/5rSXqZDeV3Aqy3AQHfRWR48WhWrCG6VX0ypOLXVWjyGTlx6sAzJ9FrFVyWNayDxfBr1r0LNI
pv045tgZCGHK2KKB54c3kQHqHSIgUhZRlBCYZipPlXEqTbSIr4gWWndB9lL0LTX/H3tnsty4sXbb
V7lx5ziBRI/BnRDsSXVUU5ImCFVJQt8mgATw9P+CbP/HZTvsOHd8xnaRFAEiM/e399qWs7MF+jvK
GmTcZq5RNPpEG2/90GzOE1o2hzp3SIhatdDqfSjxF+z8xzZ1x304kDf0ZHYFi4GGuxIDnLQquu2Y
7yw9SR0Yh3RaObT9ilHzn0kPrDjmUHJcLrgtew6aml52WICkKYDPiGcAR+2hMtzvYnY+wrZqXtmw
5q+5BGGXYpB7dHNYYObQUzVEV9rd5LBhyadWMPP2uzmIRuBs7IbGPUylITlqZqWs9eDq0t272dLE
W1pOdaOppVGG6p7qBvWG6nTDS8mh9PjASfoJO30tirS8w/Jd3IE+pknsq/MyjRVdLJLcTknLJz5c
fa4DQ+MFG0wAR7tNq/uJ3ib13LLh4bolnHGAw5CqGjTHPOQ1bafz0nbKYol0NucCrk6EHnmowsR4
YHvMwZTsrnWMspEi4wzOpuwlGgIB1eIzo6GQorW5C191mYrv2ReVprLgOEl6j14hnXMGt8JE84N6
pntSs2tircY8+O5mzuzyPm9GngsyHlVFTINg49byFYIGyA1uj9jo2d9UJSS32OmJ7/lRFb7awubf
+PVIMw1FhJm9pjqR26g0py5bY6jPKuhEuKXWJSYtlzPMyJumiVXKUzLbHcdGvRxEHKhaJdGWvSuv
PGvwuw+WQn2keNGftJ02LTuAjgEp6NQl+ZjGulWunZa6BhpzHa4S/U4u2PaxJ8/bDqQ4oj5Z8maR
TcSyXxK8fWOSR1SW6b/+8mXagxb1KzLmIglm/P4ki2nrol86cqodjddRYDYQEQOkIL56EiXlvY19
rNzlSYrag7Eg4XyZjdm+FohAN0ZjL1Fbe7ZPU9tV97bCUMElZNwaqLDh78tcGzmkrUkVnSQmhmFX
UJEYX/lDN3wODtLoqjfgRl45mogfqK8xaL2A81YQ6LjLXL8Jg5r23QeQRXLCYWqByLP6JUJlDDqf
kU05nzqhvIlD3jSWGuM/Kq4Drgm/XaT/mMC3afEtDhQidjwk6E1KOLwkKz7sUvsxyI8EhCBBRzL1
zC/8IkkBfiXGGOQ6vx9alInL7Uvkv6MiW0jdRdWxobNjq04PutOiobSMVii3aBIbqzrZIMG/1Vi+
gqKnWg/+WY+rypihyt7Eg6nDu2UHmdPD0K1yrIGPIiXo1+SVfmQk3e5V0Zt3ReSNZ6xMydM8x+pR
GdbwyxTsv/72f/C3i4Ud8juRdv3Wvf2fjy/z6vVb8fH//i9s6zb62dP+67/5twWVnBJuUn6E0IoA
Gv2vqd2z/0VzCcqEi8VnsSvyn36zoCL9/oZ/1v+F38HCaopDCUOA8R85ToEc/TT448SDw54XI9Jj
IV47i8b8Oyuab1Qg9ipKzEwvelFZPBIo5DnEjPC51Jz7Ftp6ucg+XiGe2dEsGIFpSx7v2C0SEZt6
42DSUnOQi4BUgh89+IuohB29XruL0NQNfvs5hZggq0WGqhZBSlukKSbK+kX7kqsW4crMkdVqL0m2
oVaO5JPdC6U/3q2aE7opO+rMiRjyav1yYmyajdQMqgkWsQxNK2iG4obkpY1tAEEtRVlrF4nNpv2N
GJ5yAzGp/oGUEYCiRZSLF3nOQqdTi2Anu+ibYxU0Ki9inrvIet0i8KWL1Kcvop9wJFrLIgSyk99Y
KIM9CmG/SIXTIhoWqIcVhEMMUYOC3Yq0mCwiY7bIjeYiPFLUyRZhESPbRZZUi0CpLEQSmmXeu0W8
tBYZM1kETTY1bwYbyEWlO7JSwMJL0CnTRQiduzLacFVXahFJC9TSDtUUkeUmXGTUXmvGfW0iyY0k
0y/+Ird2i/CKLWdb+OpuFl1xyTC9nJPca/tVykA741yXX7W1GamN4Q08Zcome+45MN4xp7cOptQW
ZEHJLriOhva+MbXw3rAEwa1sYk3TCvsrvtvw1KmT67bK1XPo87jEp+o/jYWZ0QpQ9eg2FaJXPPiA
/1TGEQe7wJ27oFfK3GQjkRuDve9Mr35xaYF12NAM+VOZlfbJzhH6dSMHnVh+rfi0Q2fbSK/bM1qR
t4YDJ/jyfKMXHDeRD6RRk7KVCxZirvTyuDTjEU33SrehFSYjYUdfa3JNKAF4AvOOraHc9NU12F+s
v9L0jIzCpy8Yq2eSIB8L0CkUHIlr0xnpP19WALa76WtdLw3NvnBZspKMHGJBqn7ToTPekstMrnsQ
keWqj6wR2KHk+im4LxBkGa7buD/XbeMBoKYk+mlC5fre9hTzaYBfU2qAO77VtuL/iYfxli8QMsE4
gUYgFkKneWXj8et4SSwTU7/Wy2i6NSJuTbsPp2xvwyNYvH7RdIFWwWcsKp1DlNOzwyQ4kgXmxHWg
xYoXFPiHmw2IsRKAJHHTsSvql5jf3y6BBbQ4IDnwhmMCLcSNu/yJSB8B0AadAHwtKfrerD/skeNk
2Ff1zdcnSzHnetuhF7x8Du7kLpoXmIfdgusww9i7s8ZFGdO64jNfNmqlXfYPMrUUADLoewQG+cO/
zqmMcLtHdyz4H/MwNQ72wENkjUt32ui+xC2orPT1605L7Y53m3G70fE6cV5JRkAONKxUN6qGBQHp
I0XiRF95YrtmfFPlMsboCsu9o/fDOlQZBAfBno6QPqcSI+pdCxwLF7XvoaxoxWKJMEJVb3Ogyu9f
MdhSr5wbWg+nE3Ey4xLqqXdRjVZsYu5Iykd8O3z1jSWsahdk0pDYeaEB6EHrTuBz8yjW7r9Cm7PD
rpfyEn9X5dSkf12tQhXVfRJNQDFkFpZdIDBhBhUJo/NEUvYsGmmFK4pm4wFtnZfvFXNtNx+566m7
JTnjvXgofoHRVNQ7pvO1LOProZlue00+QGipVoNdvZYAQaPCmQLfuzK6nmN9dBsPerbKu3hfpO2n
rfyTb3Ii6dgRl4Z7GaXJ6SHegSF5ilrprG199M4O+j7asU2qRgPbMFWBZ5TVpWMdIwa/2KpFIpwL
u59HKVJ66gee4RkMhrXj1mYgXMyPSTFdJ6MPjDFdy7A6mqUb3opOG2/EaMCIrCKGNcpz4p1TZemK
CihrQ2kAmgpj5f0w5HXQgdmgoxRmZxmBHmiMj6YcqlMTJ/UpnXu5KY1CHHDZ/mhFty89+45lEnLA
0JvsS6PwRYuMZ1AQP6Yep/lcAkfOh5zK7anEB1yY05qDM8dIIKRDUDsOTCXTsoIhTuf3YqAnd2b8
ttgOtuB77su0r4++m+2wgVGVbM9c4MQR27EhU5yqKSPSIR6diU07m9ZDNk7FAQCruVc8hNe619fE
nDJgJz6FMdFM0UtVvTR6z8CwrPQzdQLuseXGZ3jh6Gt7CF90AY1AKyjOEdMn7dKXOvHcj8RAArNU
o7+6aHZrkWUPHX7GN8p5zA2/dTiyZgMUty+ZP6BzLyRCq1kN88zzwBzyfUT/GJtXKisCwDsGmJCm
kO/x1IUbvfSma2apigxHxCQmKDuDWrFybvvNPBjluRLOdc4z/47bilovJxS3JsVTGwWGhvAcrdz7
rMzqtSUpzJPCqD8kvZTQeozDVFQZ0Nv6rc8r6rU86a9TMTzrIXU3esVq73OWwAfa/yCZ8dLE5k6f
mvAR7g7WejMbwGog2VQE+69ai5oUzM+Bw8+Qk1UZPQNylkEpzXWHW+GsPA7EbBK8d8u1h4vLGesx
m5plD+H6y1DTmY6qC8l5DXStjxhZ0sd0QQhZ0io+ZOimH8hl+ZGWeRccuQyZzmpIEo6ltpnk30YF
iN6506/dMK3ugHDjMoobdlbmYgypW++6Hmr1WupT/qrg1107NL8FNjusVesk8zrnV8STvEsQj+OS
jtmQcZsPTSaNzgOTEnGURihGoECzc2341Nt7UVPo/CSip84ZtRtHtB7UR/RSLiINW2EbaXSap/0Z
q5XFHVOG0apq7JrCh1nBNhn76rqC33e0GPNvQpDFULmb8MnHqnlBX0rSzSybskQnL7XrLvLsAzuF
bCf0qtkkIzx1qDaVRenz+FkWhnEjiqh7VG2i9jD/m28OfBD8/FS9cyzkbOsqudasmrJBdz5kBbsw
RGTtqFc8wGphNPsKm1pQt13KqGcKGXsJj4+V44Kw8u+uJKgn21DdZI6mX7Vh2W5zs2p3jYG7q1dZ
GLBnuBoZyuNf3YEV4BzszS9p21Yk7cuB+bVq2mAWmVglMeV5haXDkWgzazdX89WYxNOuXWpmjT5c
wNRyuJ0z9njZUElWrsG7mRTD/iaVinFlpr2YHW2PtJx9ACtgA+JM3danBXfb52G90kjQIykllD+3
Mz9xPPXLCOPCClrdAKNiYkDAeyV1ZT+Z9bgb1RitpTnfT0S2r8fEECvmS+kOg+SO4kGq40S7qYYq
+mjGaWd2LHlDU+WbIUkJS+rjeEwGIUFJyfCgmvCcRM3FCm17TT1JephmZzyFKeZVJhtaTCUgqu7F
z3i6ipPba06yxHxiyDG7rFBpdGc6aUOrWE9Cm4mesoZo5WtaxJIQNTqnXV+PJoQClU/jYWT/O59t
tiqUVkRFZm8mmdJ779UGMl+fjSmtc0MP9aBwEsxPlGrG04+YXrnBWtFXXhkQe4pvnKXvNN0ftkUJ
+wNIhboHRDZvxDTL6yi1q2062NYVwsJzM5vJZq6dS+Ijo6Zz111ihpbrnMK1m8at7e9yrKYgNcr5
u5Ciu1KFq20TMXy00cQszjaGK28YzLXrIdRRGKaWo7u8RegxzgguzSViq7IxQiTXSXNfSbqFq6bo
0zfVRRPDkNYyWe/DY6ElzipKdZ0qKQnHZUhGmMhezFJJDyTKdbIDfvHga9QOUpF6mk022sgC7y7c
jZXVFHRwiizIK+tHnBsSST7xj1M0O+UmFcumP0JC+a4jFr67mZ2elSol+3hp7U0ws4c29e91MjX6
wnOetYWglh3mOfSoAZyt6WwxfL8D6zx/y+k4uJJx8YMDaAS2H7AJIka3aDRlCI6ijH80RcGqrzXF
uzvQDQQ5s+vgvCfDthV6+8L2xdkYDB4uFMfMAXugi5mk9o2ZzpFcCSM3j7rlU7E4zfzS+lI9Ob3q
TxSeluc5HzzyJlOX32Rl49oYVsz4O34QHcZ6moB+EjFLgQ445svdUrEPyH3vnfwzD44hssWFUYP3
rcPK/TKbBRnemBks6rxpQVwq3QWHr6vyoVym+fYy1w+XCT8wXrB5Yj4ky/S/XnwAUMey62TxBojF
JeB8GQZsmALMlFJVIXNW3EIRm5L0y1xQLj4DRLvFc9D9akFg97w4EsZf/Anm4lVAJRo+4TAVe3dx
MrSLp2HE3JAtLge5+B1Q1c9Z2wPkifBCOIU+3EaLP4JyQZTsxTMxL+4Je/FRtIujIl28FXywRw5+
4dr142pLe613yL/MGF9Sxn9Vn39QfUjYL2TQ//UD/kn1+ZbIHwAjkvL30eNf/9Vvuo8DewD8NLQA
dJuf25wXzK5wiAOiBllkgvDx/Ubgdf+le5hXiX1hLXR/Hz22jH/hCyc/aC95noUd+Z8IQYtV8N/+
b4AmsINsws0EZNEYkZ9+loGIRMdZb8fOCaUaREYhaDQQ6InzNFFO0LXS/gfD5F+9IQE79C4Bygjx
6ec3zPirawOj2oksrbcWg+Jk7DMmdnKQfhx4xPXvLshfGDR/9kr+8geimvF9+bTN/qmmy0+dWVJ3
ZZ1c2mnfMPBzkE9T8SA5o+/+/q1+9tJ/vRWXmmtNJobOhT96QVu6RKI+E9aJRZLWdpeUgk0ba71y
jEhcd/PsP7kZp582tMfL37/1X/yV3Ek2d4OHxvgnH69qsmHSWXdO0mC4X3psmBjWl966GKib+oco
xB/CUV9/KHeg8JENyVZjfv35Go4V4yQXwuRJVSRAOYC1+oDmrVPNMnQuZJzSZLtwLPAYecGEiCGf
LVExJRlzEIa6Ufr/YD3/85/vgIlyHJ39qAOy5g9RglTE6FhRaJ08ZfHn+guuU9egcv5/vtfC0zbR
cklE/zGSFaWmnsfMgU+mVOK6Bwf07nbFeOnxsbz8/VVdvseff5wkTdCKbQrmOF790UROJKrVHNzF
pyGMP6UBIKmnLeofruZffXc8hJZ8IL3uME1+vpj6kFqY4HN2Hxk80dQbEEg9B4ShmDPEo7//i/6Q
XFpuHYfApbskMMg/f0ndv5edaXURbEWEeUqNhLIec+A9RaihL+WtrF+8pRaNwxY/UgZTlynuwNay
jh/+4WP8HFP+5WPAAjewPiwZlD/eMJSvG5QpseUavc44IlOKJaGP74ICL+7QBgDDJsuM1llNc89A
7OvHa9dobjxB2v3ff5q/ugIWEzXKA7jSsNd+vgJZ7jtjkdX8eBeQqK7rGCCggJ2sGhzmf/5WjoON
GpMhGaY/3lFYXNoKD755Smy+Xt+P+Mli2ONR7zlcib9/s58f9Ty+LUtHJCRZREDsz7cvPgTMFU2N
t3HSqWfRgPG+lGbOHk0xxl2cut4/3Mtf3Jt//2KWt1wcNTpLMPcZ5Os/LGd1NhM4Eq5/1EMAE5aH
JYFToRwvDp1cl2SpstpAcAQW6mGnTCJ+UkSkq5OrlRiLvMRp9nPD8vf1BOmsrJbcAAbaYhgTCF0n
AtX4778ksD0//cqXMDASAnx+BFXThCXyh8tferhXkMqto4T2udVnDJLoRNo2EhILUKUX0xgFnAro
M0MBrCfwHLzYXUvZFi3Gac5nxK7GhQzpSnln/9u9jwyysYBCbofy3Gg8efUW7WRl020EbDGCqdzE
3nihqbzdY1rt3ludGbo78e/WMsVIqYy0eekGtzp5kWXiVuALpMES7zhCMwXtDrSlpw5lF26zHzZi
LyS1lSvpogWtCz9GZkZVDs1lwowPKS8b3sPjm3YkvrSmIee3sgYGmZglanEt44o7BAtK/TIBoZx3
QPR956hqE9G6ixaAJR198THL4+49S/Pmxa2xoR4LOvMuwmPXohkdCtJcZ1HyKiZAnit3pg9sKcBQ
4RODUu69LnPemNJyt381Vk3Cl+8SHCor9DBQxzhlxg/G/gbsP7e5tE5HD69ymwCJ3xpWPH8Hzj2+
zQojJvxjHOL5kX6p2SFhV3O0+EZDpgdYGJId/VXyvZWdt16Kxh46+sQ4JeO8v0jJSZmJh3yvfYvr
VDjKfxJjK9+zIjIMDr3IwLMMhQnicQnh1xP/F6Bg8+CHJa9SpDTqkHBhKNLr9D19rXIlKzXmrIW+
R8VYm+6ZPMAtmlyXO9uKHWtaFSVDm2O8bEw07Ce3KET+WU+NxWI1cRZiWsAUxC6ZttCtzV2TUU39
5joLlXlKU8i7KPATB9nFYXxcmhXP2uAyAZfW0OQ7YzT4MAwxs2LTdqyLThXz+6sQAwgzzB6OMa3A
AzHh4fVorIZ3yHnQYr3pshCBXZQm9/KQav4T+Cxe1uuYPowaE5VaeKxFXedmI31wrMurroTFEjC5
mq8AA89QIZLCfhtQsN4AevvoCGULEIHuofae/mhjT9SYYiJ0H+u1pPYbYHUyXdF6l68b5AAiC1ou
vK2gOfJIP/NwiHK4HCsJPiZQ5VwxZ5Gh84C/JcFRR5NKtnLtdLqmrJcQhhVXNQ3lvs+gQ5rBiOkq
mMp5wgJPp3dfxXV9zHRKYEvuSZpbdFnedbX0yhUNLsVHhQngkxQxrHUDX5OPx7UMJsyHY9BnPJmC
OefBpVCw+BK0qX528qyVW2lPzg/8KGItKbo7V5Jz6Ja0kqvAM9fJWkC72w0VQp6fDrTLl7OMX6NF
cXSrrr5auM67ppzCk5g6t9l5Ujl44otuOxGgwmOrUOGtIppWZBPm1zJvCOHaBlEQMXAZvdAmnJCp
8jWt4aqvy4Gi2kxnxrlsRqEWjQ3BoIV6vKFxFQwFm5ct9TEItzGaFxp2eOkZGBxAotSHtEU2J1A8
fYTYqzbUemt3k18VzwmpGmCRJeCSEhcVXW4YSrL2ze0sfh8JukZoFHHQDyDyMXrzQp52bY2xzuMf
9YiO+xaWDIMG5MAOIQbYKFhtuhoiaBdyrNWZna63N0xsxmv0DEW8P+SNrNwPSYhE8cGragS2Tsbr
mQa9jVFU/WOdOcS6h1JuezujgD7Wf9CxVT37eWKsEp/0BDVb5po2c32HUwwXlFiw+TOP97NjUZlW
RzpX1I2M9FwhUNzqXV/f5rLjptYcdmRv1EGIaw1XK2Q1ptmY6uuOdjaCemywEVroduNp273DluWB
VM2+eJhgNBsrncn7U4sJPtp4PTxZcO3xiExbwWNbFW6IQ8uwaYcPhTXe5mMD1H7hjcMTZj32ejtM
mNtB5cczv7yaGGu5y5KORxBPYzZmdcXTduQcRSJo6VtkTAa9mdhg0JNJ21tU5I17W2Tg7xGX+Ggu
EumKKoD8xaiaiP1cDC5AmMCo+c3Hsi5ebWjA9edUo/jJwWWuQASYaQ1DwY/CUw2Z2EyzvxGj8g9t
7Mt9DmeZcNgYJf0qF2n8XQ7dW4qFbGNbSRQF6MONfM5nrdfuE6za5t4zYu96aFOCVHmSbaj9aPap
5szbySvrx9mP0O19KLuPg90WFyeqP418fh6Zdd9kndHtea4yKTIgGG+svjbeoy6O3uckUffMCrly
/OLTTTNkkb+yIpc8xkARLv1KuXSPjp0QdR9VXoModniOB1kPC37f+aN+sppqumpkZ16cmZrGVVtk
jLJprU7IwKMnPGnlMJabUXT51di21g2divlNI6z+UpA2oPFByB/WoOWELmbze+U7w6lz6tkA8Gwg
P2JWTgJ8btTB9rPyyZbmPC587BGoRdZxUsP3sNbUPdJldif6Hu08iezXTDnZUrQX+6yVRPFWzWRG
1741JVftiFVP85XvrGKC/G9GoupTQbnzpkzs/iQcXYMh2FFzwixgSraYxXv0XiBHcMat0B23cV6a
D05WU/RSomnXSQwEZurnuw6mAmJwpF76vGv6jS6llRxHitzswKt0jb7YUHnZtTPqJGzoC5d7Trna
OXXn6lFPWsOnia8vSjy7rp7te26ea8UK/ymGRl71dQ0il4XwVKayyNdMhvGdV4LjRczDbZdZISa3
mp2FxoDHHe6olVUouWlo19yXefuSjZ25aqfcPiPB8xg19YlOB9RVwjBGQRYqyMvKuOpQOalP9bH3
brzctXggCvVBVUEfbn2tmbdRzdDZssiJmrkz72XvJhdZiOaRwZ188nIGZMM4ZwGFvgkpIZwhFiBD
QNJz6q7NmolCIMI5fteLjnWo02E8hNqQ5GuLr+p2mDmn4GwFtU5qIrnBeDQ+6q0Cpph0wBYZ95lb
TzNbRlV1aW8b6dpM3zHJ4GXj3v0M83iEsmB2P5Qduu/KobVsq9ewDgOZC6xyaZW77SpkFP85d3OT
YFSYp37vdvWnHY/RrUwLk1Uukd3RVCMe2qoqm3U8Js20sty2DTJW5xstVylBWSfs1n7Enj2ap3GE
2FjRXWz3VuedCGbThGa51ERA5iZ5E83pje6Grr4KgWjflH7OeLbEL3kXayZXLUdAssj7KOx+T1gb
xtD65QT7Xy30H7RQktvC/N3R5k9a6OH9Lf6pxe/Xf/GrDioENEUgh2AOOXg7jsWR/FeoK2oKpWLw
VCGjOZ7L8fg3FdQHwMgRUjccPN1Qf9B1fnXDWQLaK8lnMgE2JGaOfP+JCsox8edDGDQmEI98LJg2
8N/+ROHORNj0ths613g0tUMUlmNzKrH7EySj0pYcBrUhRWZivIFcm9+j6tn+d+Shjxj8x73lZqYd
iIqnmiPGb5mrJSfAACNeTcPDPF6XjlfgeJd+tdaYf3cXrPIRfaoR69CjXjahtqLSIDeLU+Yncoeb
IU2vXQiQ2Eea3NuSxikPBScAen16SP+TiNZlkVv0aXv2ltCyYWxSv7/L6JhpV6muwnPO6Pwse0qX
J2dojixd6p3+3leLzfe75Uv9Jac3aKdz/Hll0dED5rwO+Rv5ZnJW5O/FB0vFg9HGp3mKx71eV9aW
C6Vdl6kWkuhxh22MINeGAU1BuMPIxfWiGLa2zBl5sCqkN4DijW8DFZ1wLOs1YK06kEmsXyYoSpeu
b8o1cIZvuZ34j6M9TjdjOS49sv63cfSczaBPQWgOxZ2Vauwr+ta4bouiPYB1ZpqbUoRYDJU62E6c
XPla/uZ3DXYTwv8bm4DXqWE/vssrbfguMzc8TKFtbhF6crphk3bpZBEfC36wCTzZVnvfSD763mg3
OPTHZ5tgBo0aCVutpvboyy5y79UwejbAbhrz3VTfiqT41mi8ddnURP1jNQAx0ewNQ3CQ5VniBnbt
shS5qsRikeMPEStEreLenUfYKmQS6sNyRz42g3S2ZDtwpqNiZntcXU1CXZALu7Ia3HWpMYvc6cR5
JhLzo6JDJhPRxcpEdjtNcr4JVawH8Qz0MTYNWq8TfbR5F7PCLsjiY6U5SfBCM5N75cj8bJMrP8cM
kq/gk4G1ikN1q9qm3ZZSjj86z6JLROhmx9FDqz99dnn9KlKW2BVuqs6Mq5P9aJfkdEMPe+PoqOg9
JkkV5DURG6iNoHmnvnZPgvW1WiWdq9OAPOkrp/XnfNVSAFQC1x38VeSRajPHid0grnODsGbWMDfT
3YRjWjxsKfgl4KkVWrqqCsM/DUWBtamrLQ5HTLfbra8of234UG7j1Ec5T/IxYkZYrIbMoLIDH+PG
83J/TymRc25t7d2ZbdhIcbyUPoSRQx5OUwarKiwSk5jm1k11/xvmvGw1tO6pDjGAUrweY9ay9e+D
I/KtgY/pR9aE83EeiyEOnIEzlGrZC2ApUs9+ZZm3Wha6QGO8cNt3RCCDMlPTqVKa1QUentujR3l7
vaYMOd5MEAtuSVVXm7lhSuk4QJy60SSIjRJzyZEvd16u+ieCnxXR8hKURIrWgGEoSk5abRJWL3yP
KgifP8mpmESvjNyXwKsU+cx2mDZiHlJGzeG0SZQ3Pw5jM64G1VAdwHhmHfsTl6SzwqvYK9tbx2nW
IvTah4RW64tv9vuWDdqNYnpKpYZ7tHt+1rhsjfGQhAVGB+VUt5AnNNLoQo4UjnjTPR0s9VUhB+PB
MOhTJrPVrDUHI1OvWnXwJnZ7BxD97v2YNkbgY58wx1q/YgaPnahSd5HVtOeJM2XAw1O/lj2XG8tj
HJRFYvJQaPx1ZCr9MDfiXSjbua6tpjxAwjAOhaRgJBGyCEgdGdlykXctyMR1mNQPmltPwBcMs7vH
cDJ9UAJZB7PmTvspxVzgTk1BK7DAUYcbI0ZPsLMdp6h6nYQ8yHVj7k5J3I+PZa5b26Yuo8DxBudK
J0HA/oYHkQ+0bB2S3nsxKz3eT+xCAm3MobNZ3aThHbOdFxbBeQ/FXPsQaaNxsI7NYHKs/jMNtYp6
8KS6yMYR5PiKrxPbWzQX0aYReb42qJcG5Sm1NqhBZrwYc9Sd2yK/SByix9h3ysBs2/pEnq+7nUsc
EWr05ltdJP6NjFsaqChWmDdW5LS7wsJVwyHSW8vMG9a9G1sf0eJyU+74g0PrcrDnpLgKMxUHLeGo
c6zhCatqW32rIUMEFrVMF1CfPlbNynmBJsRvw3Rqcv8eidQkG6/KuNd4YEWo2XZivWb5QHTLbZJr
EZblbtYr8aaKyMJzOj9ipQgDQ03G3h6cuoAtEZKXTcRITHf2DoWfX2ZdHNg96Cu/pdJxg5rCBS5p
Sli7yXCnEP6+aaMNVKiHRT45JU1ouZzKldZE6onEXXP0zcY9Rl5cezxBQ3/Pc5O4XKefpauZl3nu
bylEW3oDCM0Tbc4Cm3vvIZ1ox1ngqfwk2Fb7gtzsjCrge9olw0mLb6itQJSbS0FQGXn7ZHT6beR1
+YY8fBHoXngm4pLtKkf2h8Umij2OfKWqyXryg4q3fUFAN+r6dGVglgE3EBbnyG55fKtQvcWJXu80
+rhP8yDdH8LN8++MSrRrW7Z30izse/gej/pkwdtEicUEYroH5Ld553Ey3TS2O9DwE/dH2yne0jnt
DnEKDKnJkgW4il+4n3N4AVRly2OCpwWTe2RdZFRWt/OSpodAYA+w5O7IkhovHObUmWjbEJP1CYdv
Ikm0fT4P9rmok/RoJPa2MtNFkiQY6VhPo6aslQ4wY5OUZrhyoyF/8L2o3vWd19wQ1hPBKGvICU34
4WGYDnCzxihRPv4TXFh7CdH0HFuWOtXoy8+Dv6g/kmqaeia4aTn2/Alj5SEuyjIwstS9z0I+Qifo
AOLzEZ1LzauBp+qmjsVrKLFQFJVF8r6uzjmAJUKr45kWEesRcQuzOAH1jaW1wy5BZ9hS0xW+tv00
7qwxaV9xbGDn8Xsfp5UxHFyV9tvcka+KdiGs2YXYRth2ssVBk/fxm9bbOLgn6LGul85H35/QraL8
NHbMopnGQwYqhmsrB/kF9o5Eou7mj2gS5T2bquxUNh5LvS0whyQq89KbqurEDh5qfU1gd1s4Zr3z
Rr29IkwPewYBYhenFgOE2IjOLqSTTWukPT0qaYJrEWbELea+8RBbORZUr0eGTVObJIJ65YCcotK0
dr3D6jTfcL5Mg8xuxZHOvnJL78z41nuhxyilIXAfZtKx0XOiplw5eMHXdjWPP0oaX14dDqK0PMq3
IkI844N8Fn3RbFM8WxV6qNYeJql7QZFm2j6a28wJ3CajHFdYWXlVM7UITLpwoCEUTRwQu30nhGyQ
lpsVS5pDUIpeFMTqLL1h3xt0iU7PnoGIo4c1K6gKxXEZAOD5ZLcZMyrfh6amf2LLsFfdlA+rvsPi
/T/sndly41a6pd+lrw8yMG8gorsvQJAUB1ESlZN0g8hU2pjHjfnp+9uy3c6U66SP731RWVVhKymS
ILj/9a/1LXqu4y1qcRdw9Oi2wPYeHLQ5emn0BRtcJFUMwiSnxVv9jLpC1dccRVtRDUhxOBRy4gVM
wvi3ZdhOBX7clon0c5voHe3fg1BIF/1BNHwhBbiys4sx9cbL3IjiDqIQN4TRLHDC5+YuqlaoQ4/e
HA0ZTN6R/suXdChH5v2yKvzyvZiTPLePkeOl+amfPb9+Py0jrxqxxlmjetuvOCkHWQeshMG+MMS4
qQifhdBBchEuSVyFGj1rPcTFZf6lgTrxbfL5DTkjOJ/5mfpZA4KxW8yxOSCazV1gjGA5demlVP14
7W3b8G/X0q2fLD55Vr50Ox4RVJOPmWvALrdPhdPUQdzM1bcu0o3bOp29A/vmlU8ww9xFDO77FT5F
0JIA+GazroqCVazNCVzwtMUV3V27klagzC07nPZN+aBPSUICD40vqJNpuLGLnhIGWCMhpz4zrG2O
MOYkqR6K0/zG7Qp7KwrHPOmVJFerI1Smjg7jFhUjdNyltAKh8Xh63tSwkkf7kyRAOasaIkQ/aWhm
0OpFvtF55a4U5jmbtOiXJ6SPuziD5xzotIs+EiiIw5HSm2jTD6t+uzSxucl6KcPOQkQNwCC5A0nK
hiJBvoUJBOHzJnIL5iCQ9B0d5zLL3sde0T/1HD2ZmeR4YUUQP5bOKneeerGjko54Wi2Yvhw07QtF
ZFNHnHQet+7Q6Iclk+1jFJV6H9LHke0HQgaHXHbVtY99CDyt0X7sks74bIAy+FzV8ceoFPrZNsmN
YmfXtRvMN9AoKh933DDqJ+GXzSNYD1mFEYKKuCXGaj/QgPdFrB1G92ad0Vm1RGc/DO4n3aTUg7H+
IE16lxdL8SnTsfR72RTtPVpK4s0yGOaeUaj/gJlt+jay6d805LsJcsZNyG9U7bIOI104d9WKCt87
+Jvp2At6Fk5mCNx6+rpy6uPErzky6OqZZaHwcupKUNavXQxIQG9XUhXgH8ytpAVqawrYYqSK0kOy
rtkZsGJ6KKlEvpB0ZoCdXS4mXftaePX6IaGtyglcg/1JgEG+3uqo959ybhUmV/6ko7iJ9U5bahzX
kF73vTkW10qdk6yV66pb7T4wWh3mqpkjFXLy3aS4TG/QCA24AAAQmT/VQdZwurNjcbhOK13lfVey
W0s7oWxJUG3t57qfvPLOyDNpQeVhZX/bGnwLwEyRiYeQ7mL9JQTvrt80fOvTveHjlHcTYglpNWrL
p76am/n9SgEj369az8Db37MLtATdLIMwRRP4VjdPJ16SzoMRFNPssrGkUeNZ/6/SHmViE624rPG8
jzTRstcq54/fyT//wXn1dhnP4otSBAcANacy1J2/LOPbeaKp2JguQO6dUPNZ9hrmyDtSHjR4blH8
bJbWfsyUAcPZ0Ya7cxJj6wn6aoZ1K+t+y1Pd+2sGoebvvFo/ei4YbdTv5prYa1wBsPqt66VEEK70
yJwuTdNdRMNZMbpJx3/kPfvtQUhXItPjbdXF2xfAyfqZoXecLqkJQp7/uFqxq0S9e32h/5Uk/1aS
ZLn63TX5V0myKFJayuT37kz8VOqH/nBnCsyUQFjBa5PUQ33kH/2uSvrGO0fBjRXnGqcbfpk/dUmT
f4RdwwMGLPj7lJr4uy5pue8USV7VebvwVrnE/okuSSXDj7okBlB6Z3yuVYLDKIa+0i2/i+mmbop8
Y8jkOLckDUmK1E7A2tk9Na1A6llmw2ZJidG7yVvoQYrbiTY2eg75EsnK76YzSoDV1FS7x3UVNqs1
yphpD9X1+YH0UmnvjUws2kPuZ92nFriDs4EoE2ebJSpg/42mHDkp03EbFBHTSjCU+kpQFXTpGW+l
4Mtt6tbDaqy9zaaEskKmCavbjjDLko011QDgZNTgZve09qufLeLlNbTWez7YkFW3qiBp2K3SdIqB
NjQQmsyzb/YJO6rSvZ1sQojlOFwltK+dkAZfxxzkdIsvdiN9pL5zeWDV21+62CyvKoFZbcVca0Ba
vDl2ggrWCtNe1lwLh+UPf32LIlIvNzF1CUeTffqJ2+6ebU4HqqlO651TkVM0ZQKyoqfQ0whnB/CI
3QvzU+ETT0itrng0TNiSfmI/x0CC7px68UPoc9b9YGbdYawXO0wM857WZImbwhVbbWETNzdacW8J
rbhY1XR1dM60TlFA0GpmkbzAzGn2NlUxGxSs/GSULKho8m6vY8dNPRiSNL7l2GlfpgQPFaP8Opz1
aduadX2Jmq78NRtdfzdSuYAtADY8Qpi8mq7/4kQ4+A0a7zaulrSwRPgDcsgnnxR00KFQbprCOY5T
TWADqttj1knras3+fLIaMd2nUgcZlidfcQUlX5zanUK+NE5IU0vogDTB3MqOpcMw+DDWc/lYdHmJ
4lXIi2nlyYaVdbeJ/PyhK7L+os0UgKV8Yj/gfGdJKKlIXeD6hQ3ITmxN/KYaeJ5QH6P4/eoJgBTY
gkF8ZFXNpF1lGRmypjFOVtLqx0UfvhX8+3fxYBcPYqxwrJDx9q8CcuGDZ+LZWTu669m1r+vF1pA0
s4ZvlBxI0J7dcHXVTa5o4Q792cxt+0SZetB0lr3j6C5va0qDntABIeFqfZ8c7QwbAaS6omXYH+2w
xfuw5+Ae77R2OLkUNR31xL0dR9lCJnEr0Gi1l228bObcVRV0SEuuQVCMwOyGiGC1u/YfNb4RyGxd
4fDqu0ic7BEeB7EqkmFDdp9YbMn64qOBDSj0C/vK2aPYYu99kY0QhzKrPy6Kp0445LkUXbHD3dRT
yJ6aJ8dGfSIGeSqWb1pM5Kg2wLSvg/7JpmJ6My5+dNNMo3Y74dncRkMTh5luP3EzlHf4s+edhipO
FVXsHBbCph9toF/QLIVEuOwgiRBYcjPtKDiyBaBXngBHtdtBsPQtCGZz8D2ufXruyz4J2h77ELnh
KmKEAHBAGZxdUk2SYYCYmnSXT9m8sTkKXbGHFg+N58QH6OrgFZnKDjhK54dyLtY9/i0Yp3xh79d8
dm/tboS6Y02HbrGjPESAnB4mu//IDpUiznZxLojWScUHrJb2pJPH1PB0hK3BXHy/RJNVnuF+XMrO
+1q3tbN13dV/n3Eq3FFvlAOFS6P7xfLSO7I/Xyq7Qa1pyVauqfHFbUaHXqJO759lx1MGFNiEXVOY
p7iggQ+0O5e0HhebsbQLzndJcb9w2w2SmfsdZWbwh0S1PK+DD/g54v5M/qk/p8u8PPvLDIuKCsH2
se0IkeouSDyvKu9qwtKAUX3OpfexE5FjbZiJ2JbYHPYKZ9Th2mT1oclHQG1p1VMG01T+tc/Er02N
fhubcFemxCsQFTyDSBoISi9o3KrEV2inJX6RTT04iP2Nch8ayoeIWafcLb+tUbEhqaVq8tuKdRmr
/lhWOu3EHl0fL7kGWytI7Aza75wwlN/lnVdDGahnj7piBJDzjNftYeYL+9HqIj4i+cSlh1I1Op+l
kXbHZC0XGWBicL72XP2suCn2QIfVImEDEGzEtYUfy5BA3uhYE404tkuk7XpqsOObqO0PC5jhu6QY
ikdQf5YIYFiIfZLTpr7x1yl5ajxbbkfTLm+om06+eJz68UN4JHtgQ/T2ObY6jA7CbpDD1onSorFh
0p2scRwDgA9kpbi1/1rlNkdzkPbTbT9Keb/MZquHApJMF6wE/kjEOfAhAmD9wycdCNSXttPTJ76T
wQGAabklxlfeRaPj/6rPyQAHtYisqwbn5pOWF+ul1MUBgz9rqtJyvzmV76QEEq12CGhYIfIF0vbg
4E8rudvSgW2YS4h9R60XcS+w+8NK83EYF+eMNFV80zI9I4g2mJChKY6dHqLWdj/yPeJvG/Yeu4EV
p4b4Qwk8vUpGEh86LAQvOVONzc0oJu+ZV6NC8xPGKpdEu08zl3pG0yq7J6ip+cUqmjjmKu5tgT+G
fnB/aPNvdt/mVyJVj4UsKJRP1yo6sLAqiR8nfFgbSiLv1taC1SMn6S2YK1kobBfT12+bIpmenGmZ
fom8pH3GZTzu6OFmwNViH3/N3C7asTOy8R7QMiqOJTvtxdYXirRgdFGVAITvBlpJ090IbWqe/Xiu
iCGs0XBojN4Cp5Fm+BB8UWafWi+17cCrrf6a2WzfwJVZLdnbpjjwmYPqM5h6s2wWmwmf39zfWqLT
nyK/j2zcLno+k2DRnP1Q2Ok18ht9zyJLbCpWFhAYPJuAppUg+DoG7eRWborzMvXt0Uh6N3QbW6eW
fZBke7ngRNGsG3pF7G2rE++FitlvoTn7dmDIBmOO7EPJJvxcaCMpMUGALZxF1hyksLsqKIsKd0qX
9YiF8SCNDbT/+nO+mE217aFDtRAo2/UX0NXWbaSzfbJM9yvd4v4HkVTllzqW9c5KCLuH3OKjMljG
nOgkrGnuiCxm9UMqdHHrr7Z4xiBVkOBt4A2YsbOCh7UW66uY2BP3WFY/+oRP08ArscMi+bD6xBFT
30Am4n/m65B7N1DVlquXR+24mc3E+DL6NJJiRGmemc77B8cnUbzJZlN/wrFUR9tYnwauJV0OARgP
45vfslfaRqUba0fyeNFnQnjVB9LVrtxZVTKfBjkszJWahmOvw5eGOSk/ZHF+r69D+rmtxCVeRrA0
5Qh9TdsS/ma5tPQ+zaO+fhnIQIaxX7KGdMCo3EEf0wLPiMW+JVXZBE432l+psTIpbaibWPUQC9Zy
5YS4bGjYCDeGTHH9FXF8wc+3bico8QczK8b9ajt9uDZWsRt0fTgbbADdoSt/STJzAKo+uAJKOdJz
MIJrCHO37z7EuBK+unYd7cZah17Mu7mqGLQ93CbmnB9ijlkYwCMHSSft4swGxGxn3xqishUdq/zR
aEnBrcWabmvWRp+KaC7eI5Alez11NOaDaDh37HRQYeluO+Vd6W9inTNiOcVHD7qn3FVdO9x4qU+v
K51h+WfpCRia7I3ZAiSpg1+vaUx3y1Z0PeWa0Rwn7B9nnmFxNu00fYnWtIdk0/c4c9pxF/tWdWiL
2AqxYn9qFlbaG8M0ui8xC5p7q21ZjmHm+i3z8e+U/PdTMqyon4QYD9W39EtFjO83ntXh2//5XwzJ
6mf+GJLtd8J3yFWoYm6bqML/n5E9j5giwTqXKqXXYfc7747xjlJ7wixCOIgspJj+nJHFO5VyUT/2
+2j9T2Zk234boCDJYqhgEd0Fpuv9JcwzMK2lazJrCow5hwB8iy9OBo2ZaIFOFXICiALutlwwLg/a
OG3y2DTObtKVt6sb2fPGoJRxC2tw/CYwsNytkFqefT2DuxlTd05AFzBeONcR13C1Vs+lg2EQrJZ5
16VY44KMCe0WZ423bvKsZPkj/cKFn+M9CiBv124exjt9/FLWHZ8ZBsuPPSiMpzpPRxifY1GtDCTN
/AXXTDlTNKgtRGWsGCTU7KM8BlZPBd62cdv8a8KnOMa0UIIaXIAAE9ReUsAh7cwdoPCHW4W4sri3
RCtbmY60zLaoPcFIafkZDncvs/Yt5msMLLTNnK1MjN6WL6wUklNV0Jqca3n90simeap7fb0MctE3
g1XIU+zL6YVNYPVkU8/FudajOpC1VPuwNFn8hduJCBaP0cWAiRB2UNo3LW0PlxXo6D06aA22yptb
8HrlJKhkTfOLZ5XzAx2A665Z+nCR9UGICWJsy4g4VgOMXnvZT2Yq7oHd4OfPrPJlxn7IUaz07l3H
YGPRZ/2jtQCOSKWUWwqprJtobYwCDjLbPKfH8J8R4DrBfE2jw0qJ43FcCwCCeuz4GCGdVpw9vTSr
TactxUerbIZH6h85RQ0GHl6qH4zPKb1Pn3uN1VkzOUBnK187Tyvsgr5iqK+BmWymOVrPa2wMn4p8
adqN6gw4T1HXnlhCjb/6GF9oqFh6LQ9lwfZxtKti22D4yOgL91mjGSxubhllO1VePeRf2tdwP4xV
Zx+nJaKvCSr8OcvAaypIYtsEeWvF95XnV8aNLmNY8rQVxUd2w8a9vzo8nKWL7tGAsbAb2sQ+GWbG
hJCQRLhhDiaSv4C9MPuxvZkWY7zGSUmRB3DYJ62Ku6Oll/4vuDVEt3N1dvS4tScv3U5t619VonZi
bR7X2ucsttz7xE4Zl+iI1KrAl2v+YmO49lEs4LjE+lqGvsOWty2N6j1vZA6gRSb3Ys7krTSW5Cg6
c/S3Rj1hX4oqG6vIEpch1yq9alarKyp6DRmk5Z8bdWzftqM91FuU8OaSoaWmtE+WfMQ/z5WR2RBa
Y+LWvD4zWwTwO2Oq8191ZcR9H8z+uGQufgmM18W5QgIjVWDCOFtBTOBCikaYu1cs0dZyTKhhumkn
997wMs6rtlg3lsVkttid/zgXfHS2ch6Kpyhir2sUEUcnMWCr2+SNWWNVkc4jSOChoafA6De9vbRw
W1L9YjNbn3s8a3sbSm4gawmAKCcg40fUt0Pi51rkA3ONJEaoIMUJ+GF+nVVRKfTsXqQQiPzQbpjk
H+1VAhUrUDAq52IarXYzDd1Hm/Pzg5Z7qihEjccWczIpYPe2VqNzqYboQo3TzVAuD0gU5mFQw3at
xm5vkcXD1Fl4j34fysHyWX6xFQ1vJIXYASTglBVIcikJbA1qvNeZ88fsyI6Jv8nS2v2gpAAfTcBV
4oCDSpBlKFjA3AOiWpK/RkkJSlRIsItSC4PQYCjJQSjxIUWFIL0ShxD62LQriSJbjYhFNrfqBf2i
UkJGpCSNfPnWSezuK69h1Oun7FX9MPxc3+ky+TC/SiNoJJ5YEEtQTYDaUDiVmlddCSpwwz8y8925
U5bd92gu7IbYLC4nocSYUq8fx9Qqg3IW/WZSqg3s8DE0X6UcfEHejUigc2A1KVimSSX6IP+02I+O
nSVPvVKGFsow96ZSiwy54MCxTcGs6OfJsYuFnfL0mvWJ/Zu89cnY7FxIIwSA7JOrNCk97shfvOpU
tDvsldN9b3PM3fTspy7Lq7Qla2J9ntK72mXxr2yp2JXhYikecqWMuX73jeC7fszT2Ditpd9uNcnm
iSqBmaK8sQJYRu/FEr8XZIdCKAaEYpQWh3e7pFchXi40ceCaGo3uw5rHw0ZzMJqYfvrgdBphL6Xx
dUheyCjofriRysexiKIHR6mCWDZBvNT6Elq8TT6DR5grFbGYoy+J0hVNpTCaSmtMleroKv0RGGu5
6S33KJU2OROrJpqlf3KUbkntDwfTbKaO1uU3NXPxMjFXXD3NF1SazcvOWlYfnqsofnVlVF3WaSuV
UjoRFsLopvRT7jEEBvoUUbVNyvYKYZAImNJcLaW+kpogWTDL5MV+FWf9WsqNyIcrF2Fx8Wu9uAdu
zQ5R6bqpUngNQ1eth3aotM5DqXTgwrP8UBuUNjwZz87YcTg2tPyxVAqyo7Tkni32Tr4KzNwOldiM
w2eDpbraLa9iNDnSvaH0aQ1d9+jIaQFYls4Ht+c7ksCueyCv5hrhv6ukV0rr3x2SOa6x3/nvSR+n
L5X88uMi6bcf+f2M7NvvoC9w1tU9CvB804C3+oe9XTffUW9IkMFT5eLE3v9cJLHu+W5xxEbJYNNs
ubAc8Mf/3//9Q0m0fPP/v68l44T94+KIuhKfr3jc7LSAeCZohB8XRy2FikUWz+6pNBvP2FDDaIDh
NJBVyGlJrelbvN1oIhO4bKuOLnW1GA5fPVAk/HDtsfE/FiTGtJL9jcsqeautc2dHN140QGoeLOKr
gWiLlQKMBOe+2JUdYud06eEgA5NdTDHZG6humG12vSxK9zzarXzJ4+kB7pFAbSKjsyGXKnYFfki2
Fm0cNua6PGreuhrntYfat2mx2zGLKqPyumdEVKVGs1HQ9kLWERtsB1rzpmi9ob3HlJ4/doT4n2Sx
WtyVZEtnXteNWXOi6yThtLz4nzU4KDUPsbjrdvYLcroI6fRjW0tFMrxOvbu8rdynlrNoqPn19Ixf
JLtf+czu6mHBGoK/Qh35TSyhtUV/Hi5NDSzWWhaHDOPksyud9rMpLbMGNJr6L7XvvRSzyokSPsOY
DDKXP6LbcXAtWk1S/YbmNWPbZ5a/mTl38e/Qi/MwZDQUbPRlodB1gqwXoEr6ZUCWs4P/HNHuOhnO
eFNpa3k/oA4RdikRGbpl2rPmWx58aS6EtDJ15IZLraEQaOlNUmTpN64H5yHLMZVvx9rU7vDOsQFz
3A6z3Wxwbu2r98kq4LJQRnZfo/lsRmwg9caGlXBrO6P5SYMAApyrNa272o6H0G8KYH6ClcSYGuup
wNYxhulgD1vDrAa6eJQVitDAzpqs9aYgIIgdLGrXZ20pm51HonyP/2M92Im5vnAeF4cEU9rjqi/R
Bb5Rfa6BkJd7e6VOeB5WdzTwsI12b7p58Md/c66xx+RWc5TFZZPq6Ddg10afEpUjIcp4qo6cXaaC
BmIa5zJ/x8qPLw6M/rguJhiF61ZP0JZf/r2j/s/uqCzGf3pHRW4YXvLlB90BnYAf+kN3IOMjfAML
r2Ijmd/JDv47R3AnhdtDJyGHEm5+fwCz/XeGjdWI3BAQCPBF3If/vMPa6A1s00n4wDrhp97cUX9+
h/3xBmt7mEdY8VPPbfl8FZhvbrCWayWdR/3jcTQi+J7km8TDBOKea7yiUb4l0DbqXzNtYnBsMbCy
CvF8AH9jf8PWddxbLZ2KnJ2hw333Mv4H341j8hy/48bQpGvy5JT9xHQJqOpv6SYzuXAnpwz3IEa8
eXc+B+I7bwW4xkkqcvLAGIDLGrZmb9OOnqOYaU1rRiyWsz9E37yqMh4kBPK22zaLKMWntdHiC2ug
qeeGLY2nkuo2KsiKsaGpChocDRJOhuGXoceTGq7cXvNuQC6uoa3nFbt8g/Y9tPKanFT3IaFl8Kam
4iBjL+MULVs/WSyhLSSHbeZ2/wie2lDaRradO/89d/eE2K0xNM49YZr+g1/TKGKlQ4TfLq0kOs+U
tV/LpdRhGlIDE4w2Bjw6Kjl5crjlpLujjTUpjljVCzrF6BuiWg/zwwOMOeBq8YTCSYVfFGv7Ll27
Yxtnxn4YLPmS6kl359OwGbqZPGHvOjbYuN+LKqUiywe1KOTQ4xmlHGfWRi1Mxcodt2BGvrRUnFJu
k+w0mrhQoQajvmq2/6RbmaToF9N+uIKz+AyIphGBPjjTrcZM/YBEzn5WJIvcTuk4n2OxPtJKV9x1
C+3oNEBXmBYn14h3Xq7ZWMHxz9JyKYPZIVvANzNNY1fdy5vriOWaXgavvHfGVaiSY2o+bllFS+tD
FqMyz4aW3q1ru7WXyNxRLj8RIdfnoEoQaGe3cfbYwqpdI3rqaI3OHTaSaN92RYS/ma2ooV/O1wJr
1TGtEw872Gs/bYw2dh941dsTOZdul8GgPsaG5R99w/WOiaEX9KRWevG56Q35vhZ19ms7GVD/8kFr
Hkn3r/gjzPlsjbr4FovE3bEUaLdly7NHKug39OV1WzOte0JUyWjv1nZiO9PkTfIl57IPLLObN5Ai
WMdx17/qAgMWBrDx5Exy2LKp8Rm9k2KLRZ6g8ESmhOp665r0JQ24+moGcZcmXNKgXKPdNOZy2aws
zT47/CUb8hx8l3r+sMW9anwx4yzBzrwsvyh+8G3Ljjb05rm7YV2M0thnmfvEN/GKB4Jh8WCObtaF
9WQtyWbtWQFDZzCRkoQjpReYbSlMxCNgJYFu+UtYxEW84tiItPfOLJEDbK3oKVbqjJNPiY0DH1gv
DiNeTRmURpGc49ytqDYlFmXZZD029phtMzkSYFpMh6pLL7Jf2FNMOGSLqcM+2FRnVQHEy7e2+a2D
bLqzap8ohpeWI5wGr2WfwHlj3I+ARcig9JDkBU0Zzl7ktXvI2VD4ybR+FeNKJ88k7YMPzjpIXZIR
YWOQaeFOOD2B9PS6oPFccmBlvFZGmKddzqKBOMHCfr4TzxW9n0PosPTG/Im9e7wgx9mH2WAHFBBy
Eiwoxj4pzwoQYwb+Mo6HOnZr2lG4iZD7wKCOFad26YpJY/MOpW16cLvRgHZJwzdH0koWdxQz4XI3
vQSGJLxUbddx0BjDpgOb63I7OJUJRlP8GUX5kYNQC1nS6qmAhL97GykNSgNbK0OhlKlUaVSCI1QR
GkNqh7rSsNxXOatTyta4OrjzzSS5T80p/9AoBcxTWlhMF01ISJk04atU5sg8f4HCg4CWvoppZLPd
e5kuhfZZEU6UWoLyZr6KcOJVkIubzu12ttLpupUawKU0pieyLUizSs8zlLI3I/GtmqvhDFa6n/4q
AfZKDUx8SgHENHaPjlUrsVBz9Hs+UNqBOhXJ9bjMpXEjOxnfY29ssIHRVAP+QCTyuV7gTQQ2m26H
tgcgpJFSLJOWtDt7znm87dGJkc6JZiXsBj1m23zpkzttVvqnM+JSQKSjyoUbPGqiRhFXK0hRuJrP
Q8S+vp5xEVi7bLFogcnNedsq3ZWbw3zIlBbLptzgD646bvR8ynNEiGDRad0JBoWaJ4mBoJspbdd4
lXnFYirJV6L+orIgBI+wBU49PLnX9+1G85JTyTgBi8jiSY6G2MrEfQH0NoWTZzdAQ2brIzIelBKm
hXsfngiPWr6Y6JlciU5u3c1ac6ahinuOU5zjxYvQqulAo2IpID0FMNootdDTyaY2jZ1dFoforc3k
wA+ss3lX8Um3g0ZJ5r3XuFtguhptSg0dqP6EDOjp2nOm5PbOtOaT7bR2saHoCzne8ceXUUn0JJBF
2OEK2KuDyddCSflcpo61YT+Jwm+/qv2LEv4lSTJ4EJ7VnSxPLQ8cK2FLYEgMgtth0fCvoSv61m7p
4OSHGBn0j27W99W2VWsIzHBsJJbX7URsq01F9rq16F83GF4iJoZpTymMrzsOjObdEwHm/CNnON4u
kjF2Nt5pNHdeF919zOfIofFMbU4sGjJWqNyJdStfdysoHOZdlNMhyhmrfl7UEqZX6xj2E7xfpKnY
0tAiWD1bmHP4O1nimGqdA1UAuRAaVXnrtdI4S+5nfIzUEih+3Qdx8GI3VHiY8QMhzPwLWMUnqRnw
jxbDQtPP/OaYIWqLgI+dZjMhUo21gd4MHFur2/JK6ra/1MqBaCsv4vxqS1QbdsjOyq04SHmN1bvH
qci5JcAJ/7B2TPOcmq7hhGhMKEuTnWIJckobAVjB/CPlkER6bb96fottsls1/4i6RAzPshziyXi+
/O3yarfslPPSezVh+sqP2b9aM5u0wNQ2a6tgws+y8dwaK1vr6dXU2b0aPDmfdJ/MV9vn+GoBZRuN
x+rVGKpzDURbX/lFx6zjq4AFbtXeEHm1ZxgmUUL+AYsMpqrC8h5n5T+tX62otnKlel3OnTbxVTap
dovstkuWfN5wby9R6735Yweb/Mo2QTy3kKf3tYu8H+TETV+oaVLrfNFW+1Z2eFu0uKRiLzFWvjNa
kQz7tGyMexPrTnn0GkKN8SDIJ1e6nVK7FOuHxssKfVNBXg9I3sHEn1l9WP3J9Razdn87Zf+7Tv47
pcw3PQSs/14pO9cDdSZvF8q//dQfg5337kfuLbvmP1zXNpQIBQsUsGEtE/vSn6Od9Y5RxoSv4NGS
6ZvKC/37aGfyF/qMjli5cQhxNvpH4pn1I3fTAVWBfQuFCzQuiutfkJj0yk8DePnu4HDhemGWacZV
T9oVKnja7Oo280iiNUL/KjURvRc0gVJWUEVHDeLdUXIAoIlDGOdad6s9+9BRfadQLOxxYH/vNSXH
h6TBVVrrvb8xkLPvjEobfsk61tLUyNFRYrb9tim9lJAZUhENxSSZaN8Yw661uo0RA3PZ96W23nAf
ch+Hapj/JrnwRj3kFWDNbtoOL4Oyx79NLmSc1phUm+bAWRM2L7UQew4t/sbse/W8+L2/u0T+08z6
48T6+njolbRloJJSNosN/3ubu6nRPxvneXOYtM4K5rj4yqln3KQRr8HPH+kN6EM9krBMAzs/o7uB
1vrjI60DUTm+3YsDe1QZmty+OUqSnYQpkT6SzLP3S5JF158/6Ju0yeuDkjNAMOBiAm2o/vl3Lv5M
N1nUcfw8DC73w0BTexGpm8KhN9ABzvDPH81B4iCe4BFvUZmG7x8t9r0prcqMGLY+Oflt1VEoTRDF
mO6Gwn//88d6A3RVnxWeGJ9WbARkFDCO/PhgM4nWBHpIemiTubA2Fkgl1iltWYdeZ+B4BR1yNzDP
nyeZjzeEAyiupk5I/uPnTEbCA2ehIwkJW7x5W4lIiIUKvOzQDtQ/hnzRS4pxoui97+J+/ZsH++s1
5OgKlYv6A/wYZf/H59wxKVvw0DL8hOv6UHudDHuNTzCuuDwh4po6WSgq2kT+5nH/ehnho3ANGsFd
F01MV/et7y6jPM7of3SpEKymduRQzrs5WcM0BVVKePznb+ybx7LBixNaUkIab6+hv4VZ26k2GWPi
p4eUgZ6d4CKIA+rdcorpLPnw88d6c799fSwH1IptkxSzHePNm5eVTB4dZ7fDuqyTEdacFo5Fao2/
b7d+2JJ8vxV5q4up58TezPPhuqvL1fzx9RvcQnZuPaek8GlF4zTDPBHYS2Wy+becxySFfRjM+A1I
S6IgUW9Txsntz5/rm2tHPVdwgtzoiA7Ben177TCd5WlLa88hGiULD3JoCA6rFt9G1lIe69hjnnWt
5W/u568v4XdgXPWwsKp54haBJrzRby6dMXY53UWCjCQe+0/gXMsjhObl0rBn2HdWQ/dPr9VgAido
s2ITTcMyHia3mr9hRW67l4butiNNVOzh1U4Iyil/rJn28PNX5z/9ng5vDDsPbBrEp958tHLHiqZV
aNqNbgn367IMdreBLcqYRRxpcll4MIIBI9UEqZp6ym9JU5OytKjbOAx5bZ8wj0aHOfWsi6+5UuwA
tNQZXk9fjPuf/65/vWo9WJoWOztSYu5fNmy6T50E5ub0/7F3XstxI1uXfiJEJEzC3JY3LBrRiNIN
gpRIeJdI2KefDzw9E2p2jzTnv57LE6dVYKESidx7r/Ut6BSCbJMMiWtG7dLq7e+v888nEYcZPxlV
CNY17/O7MTEsborRJsdqqOY7yLaQUMuskmdmMPL+99f6vJ2zTnyBfc3i7Shpli/d+F+3mMlvZeuM
Kds50TebyA/7jciZpyB4yXaMxqN1PUKzMbvR+2YUZbSnpNF/uLGmkMuT+Pfl6tuMLwk54FDAn/Pp
rZKr2rB4MsKD1w1qOnq5xWYKL9Guj1FXz3eM8cSrjMkqTzDML6mtcUqma4LpYEV4hjyTIhOegq6b
bnUfWN2qbVLi4RvIVHBPsmK+5HEbnmJMx1/m3A7fe5QhT/6UQ5PN8c2ugka5915DJrVV+PLcK8GG
2xaD9UV2mXvvxrU4aNQsVzHyX9iwdWIAmBnmuykKbaCUdJxuCvwhLznw69eZTN4LQ1ekfcFYhu/k
TMv6VBYN4ehlX4cHpGlOS6807uBqeGo5I1T4DFZlYzkvAJbNH2VX2I+DbdfNagw/cr5h273nvXbg
LYMMijFDp/EFQVZBYhNbi6n65LWL2byrNpLvtJZ9C10Sx0bKMQHTakiCqAMX4Tr7wREchsgdan/6
Hr7qMm08WOyD8r9UZsp64+mPsl1WBVweFZGBu6pl70SS7X2bkc1sxiyILt7yb1sKXYSIEpJGkwzt
sPIY7z0ElT1deM/kT00zDTcftzd0B721QKfe1XYTZ9AmvDw+hmbk2icLS80FmmYBwWSOU1rNH7sV
3p6z0jM7FMxn43tZZazISoymgJBtzgdg0ty7CV5Cu1ZCxA+AO5yvnRLwqaxIlLeLCL/cpA6fM5AF
ekHqT7BS4yWvSgQgv0KlpgjPcZDPKyb58h6Jm/3olz1SHMPi3ha2lbzmUWHtTFU5L7SZFsQ4zDN4
iGTd30lA4yh0MjIRRd+MN8nEVHLjOWbyPXc1WxMyEvxcAl+QvazDYrFI+l06YJ6PyS7fzKPJAcYs
qnlHKhVrySv0fImGCY5cSOk1rXTbz3eFNJgcLZaZTRe3eBRSvgBt4HSY8VSwwLZIoOqXeIgEwxaf
1UvC0HirwnisDh0co2sUNMaDG2fcMBE50yUy8vSU+fk2mGnUMewfb8i7anY4iEz8ksC0Gji068mo
1B340+QofFWemZ4s2X15snGtVlxMu5xPXSPcAzri8CHS3rZyFkWjW2YLcJjE0VB6N8UMJRgyK6SN
cESIntrffESaEMCLvagmzRyIcCVhjLBqqfnWJhP8XTCiDMLtAKuBu2o9BUl/k0TldErNYBfHQC2H
Lq7A/NiMWwykd+RwBCvQbekpz3y1hqWR47hY4HRLeqKWzjfF0OkSFcmNGjFDMRIfN/3kwxsOLEK+
muTRDV1sKW1tnXNkr4JM73Wty2GfBYSrZbOJAH4WLgNwosCSIP4C3fwV08BLTc7iNiUzcAPdiTED
PaejIfznZpElMeKvc/jOPm81YLLfC+DvMx5l3LbJdewmyKQc96Hvw3NVetGzRhaxjQkpP8V5wQbs
LGekwpqu3cS2L6jfmjszyduT0YPrmWf3KvOaySfmtsCuFwBJaqyofWvgXxwms8LgRfR1iLsustOT
WTmwr0Mj8q46mfMHVTn4Rvq91vwoZ8fejUMOE0j38Ne0aTY3HJSceDO4y+TME/mjwgjyiEtmuJ8q
yfmhauHlrep+ni4ZDLrFpuHtnAzmYFqg6R9zFwYN+QpclFP0RUXiiy+H4Ys3TNPWnrtuu7x/5Irm
NXi1pG6K21bTFPR40vIjM0uOAlaGZU1NnEUyn2lVVrrt2gUbx1ZUDitMJLwRvCjwDnVK6YMMIdsU
HPN2ZMY7+45csXqtaqu4aYV+gh0O84xJ27XTzNg1IxTT6UaTDZHuGGoWZ6Nus12ZZvJWYKrZuV4X
fdVpNJztbtzoJBxOKXw0dKTAsL7b6QjeRJIYThQK++SxDFR8shvO7Yya8CXNfcHCTDk7UCLkxl0+
KW9bTApaByBHeK79NxJH/XftjOCD3dK0HqxCel/HYQ7mvZDkp8DLI7K96jiPQak81OTKXI9GQyIA
vKu1XVX12tCNB2BnCA7BaALcrs1OvdWW72/rIZ1OjbYvXuGISxAqXKJOYF7RRy45wpQe6s08uMvD
JqS9aoc2xX8aO7QpFMB7os3WgIiDEz8qKliJe42X8IJgNXoHErlo7zyk0sexKQlqrSB6+C5LwE1L
dLCkzO8H7M8719eAxnBePWbIvm8j3drISs30GKaNdeEOJhsba07Th+a+l5KFHZQXl/bBOiwCC2p9
Lg909+2rIELIrGoAnKFszA2032qfC5Iy87n1X7rFRsRG06z7linfmvQB8OkZMJ193JcWInGUyCuy
GrHwiNG+7oRf3YgZ1A/iqgradWukxOJmRuWskrTP93lWet8k+YIPfLXoPBrSr+CmOPlxMoLpTVOO
X2l76BA4GVB57Dpgps5Am3c6qbNq6UzKayr2JUUPqUzYm9UpB73O0wWNfUiL/LZ2pb7x23E82E0L
ezmBTF6MszoOPpQ5lAb+uQJqe0k7NDtO1BevS2IaNLQ6aL46kWx2rptm74EswADUHjNZ5KP0kkBA
Pnlt/b3go7eqqRgfBHKGQ9SSpvkiGEmgfjZgsUd1x1nWN8k+bMiZ3DjkphLQMhHLWDGOl12yzQrr
x2AEcPEgpGQgmWxQ3VE0XZjfVa+eWfaneUyZdgS8A2nAzvtJTqDU/UzfmqJvX1OVsWc3OW8NNgGV
ReQKOICg5KMmhNRrf7gk/EANc8oxfo8NlNM6afOYB1uXlEnaeG/cuLyMsrauk0F2j/ib+1dHJf63
qAtwwy0afZxskONofMupyL1iTUekPEBWn04MXGEPFG7/ddImSdBZAZ/Q73EWpM0yuhwyc80pCsWD
NXkbnTd0NawmxHSZjzZ/lR4PTpmKizMAXCZRmncGoyzyDvOuI7+YzSkmhTgljtsMB30yFa6CjXas
iu1sgvfj26kF5pJExKMMRl4jJt0h1iVdeaKfZ+MhyQOxCzL4JzUvhb0tan2q56T7UVMbLdORHCZo
wV1QfvI9tJalTEdJXGKvtuCNMv4+uMImhkJa9oth1cY75OnhKvSR+cpyTgHV8rGkVQSPxDkTbNFJ
9T2snYTjpAgwbiSPHIwJtAtdLANZ88W1CXZcnH4z22uYhyyq4knIUqwEEDyvH8HyeyWJ6Z6/Q6MF
J6fEhe5koliNHE5AxZJHSapYtPKpsclAINo0GJPXLLficm1QJ+MW0BWvyoW1ZVi7zh3eMAIHe2p5
Z90wNNiRFuyts8I9WW0BajfpzVUhO1JOAWxK3zJIsmQ5i3Q0z+RLgEYyX+aaD46rzt9bU5OtimLK
99hXxvvGhe9odX50Scv+3agZMzQzqFa3761TQmN329LNOiWQvg+BoD1gjT2ZsrXq9oTaiNdMm8GK
Gp+3DgehE34EB9NP0uyKQbdXQo/pVWaO+wyW3YrIawIkptFFxzfeDOiScEmP7kEqEGei6EktbWpg
Q6RCWhwFb0ezFSudp8jidEuorFFta6Oa96abMAZvgu9qMoqdmmr3rGt6BzODD8whsDyMl8R1dlUY
T5xTgmssCARQNt+GYr7psvCkK/exVuGFLZeGUZ4wF1Hze9pET0RDffGscl9zmoaxAEhXJMgIsZOu
PA3lWIp2PatF5meY8rFa6Lmisl7HwORgRWTyxo+tY+4qMN6W2KVdjQSBCIoucn8UPSA/q6CrjXab
iiAauu7rbM8/RiBNbtqhOvHyZFhPwRR9Faj0gEIpPzsh4MGyNU0rYBH23py3fZM8j/2IsVfHV7J5
FH7foQxqgm3cJveeHcUHbwiytWr67tmwlL8doVAdemqYq65T+ByhjfKYT+Ik7cR7dlunZKDUuBAw
40Edk8alPTqkSzlBmOK4rwaTIzQiBQdXNwGm2NQNtYsJ+pJQNX4KF2jKyahzGjrknba+2Fu9Ndhn
pt8Qc5GW94QrWGr5PKvJSFum6TzQuEAsdowKzYr2hozxL11NBz6bgPKygzUHMTfjPHTw7M4jVbfT
uFBbo0qx6wc0TV0yx65iGNFr1VnhNz/KwndiSXgAuSojBokIQnEUoZDaWH5FWRSx7LsNAeewLaJl
pgFHPfxGXKaxDRcUPe5ciXFiHq8b3nFPfhNOFwMO6RrnlbHVU+OK69SQJMDqYKLs6Dy2paFN7TUo
ZaoToM79Wzpbw03qTpg+zWzemZHKTnE2hN+iwqDJHTme+YWAIL11Mc/W9LtQxkFMdeVFx/1S8gaa
QNZY1i0Imp6jQ264Yl+btjpytuejoSIaeH4o0BnPorHzTOJrBO67725eWJtEcfxbkSRzKxUuPLMv
jxjxUzQ2lTpaWcuLtLXDkx1LmgLIgy+gMekRLJOaj+v1tWNsJ6Qjx9C1mdnAKt0LzymeP/4TALs4
RlzK/spLg70n5XzAdVu/tAUYnfWoLLoEvj3cDESGbwyKTWY9c+neBxk3E8WwBA+tm91HoxiCM2OU
sfI3HREum7xIathQSRwAfuNPLOIhOwEGKfduIduvFbkbRytJ+UT2kRlZHlGJMsnN56IT/OplJvib
h1EdlSzH22zkvDvDazvMWUdocT1NGqAy38uBAvRQS8q+hoA3kqWntNlzVKO27zpg/ps+C4cMciFd
EZqXbAaQ3JivIwavnF4STx6KomD9i9m4CqqofqH5R75eltJR9OdzoFQLQi0PNC0ZxOc4haO52mkg
D85V3hB8LRGEnEl5YkI2S5pX4ZydPtadkZTzjhQ6g+M/jhyIOPNdrFuXMgnGIX9fXIfvBsNjmiKU
WXd5t9yTvGPKZvI/+a3GazJGuG00KdcLmPZilWa5x7ihcX+U88WD9nEz54O/IUx63rkOK0A7gs8O
+uUD89S9j6zAAOnT+yBrEfhoryZ6qPTEcyH4JygQ1NErl/+30twt0x1ZsKbtTZeeDyLaWwUSGqQh
nmMQvxDLNPDxpGXdxwbHaxMgJ0/kUvDDGwzfZ9OhqZSymuyZDwURU73QSiyxRJdW/6gthNiBOYSn
Pg6rlzAWI8SSmEfHiHmEHbtjNkke+Smszeol81pUYc1okPzU9rlANZCH5heKA75hiUZ04RJGGSdg
tAv7oEysK+oW9VWT2ZysCtiHp67iNpHFZ5HsjZnw44G12iz+WcxF/QIlgUuPXdufICOGR03LFYaN
b7QvMxiASNCR0w3/LlBwKtl8XzvZ9uvYhKZb6/pHKfxgHTDM27e9Ck9C8+toHfKwjzyBYTcFdCzK
YK9Vr7cR2coXmxb4pS7ItFcDYtb17M7mOce3e0OAUniSuc1fvoTyEdnDdrgXtqT5wVjU38DYCdYD
nocrWUtaCtg1oBn7qPtWQ9CxSrxZvEYirV8YRRqAWOKaZ7pSksx2qlMkgOyPgcOdwv5kPJCXHL57
5DUD2NDLGlQCyCnMy/CEyqwIOQdM88HwSKqCg0fZ57tx/+a71MmgOM3xuQWI+X3sfaZQLQdyRSu1
jrYxxwrejFAZrsy2L6/jQXcPiRj8n3XvhO9JNSIflsBWQK/zZnKSodlN0puIECtZAX3QhN9SV8qS
eDtwKhuvosG9QTBUTf9pP/9/ocMfhQ6+Q/f7/y50uLwk5dvf1Otk8fIv/hI5uJDgbBdEo20tFDkZ
MD/4S+TgmdjmeX+gRDc9zq10/P934gU8OunT6PcCwSvDEkgt/tI4OMgf5GIwYowcMBBA/vBfyNc/
DxWYJlAw8znMopCvu5/mQVOA0R8oOQqCECXXVk4XCMO/3I0/z/SZ5S2RtLCEGOagtjc/XYIR0nI4
DOYD+Z2QP/wVJEuSRbml/+ee/w+usnzRX2aiKgzGUcZcxSu/t8b3anzT8g+SgX/eq79/kU/jSS+p
HEp3LkFCkSfupmTTzK+//xYm7oRPIw+ioBnXM+SxWBmm+ZlI2eYGTvq+UQdplOpHxfh32LIhWFvO
tfNBhqAEsAexe+Ydr+hWdLuxtcetS8Wzn8Z+2Ce1Uk9WPNsmuJ023Sjt3QGi6uWGs+hwFShCfCrY
XRtbjz2IszC8RwPH6csjuv5hWlppXuql59btaa9XNAv8Gh+23wIRMPtDB8gNbXIM+4v59CYzvPhC
5MOEFb2rVm6iKgqKjuOAyL2zwG7AfMgrqXbkFF9EY7js3zlSakFjNDYktt2o6EaM2pCq0Lx3Vx3w
oEcgIfkmrmPYul7zw7UKj1ljAczXaPpN682YgKz2ysks/TiWk3M3YEfbG/SsthWxJRxzRLbKO9PZ
wbVH/zbW5sWnwt8C9h6JcBn7LzZpvXuHF8KVN6fTtpp9a6Lf2ZqXEH7EoaI5sI6qLr4L0374EWhM
0v1sA3x2w9Fbez3WACOZ34bSDZ/jGiUHcZf5/MhwUtp4ls03pUYjXzNG0+9GQxAd1LRcP5EvQpDE
6GrnrkfZDsKZG4yK41JRpusVc5l67U7SRRccathN9DkQA6OJDGXp1Wv+voyWjfZQIKbGdRo5b7pF
lThMuvuZzuOjM1tvAbCob6MlAdF3RvKssxGK9UTjd6XixtyXg/O2nIiDVUyg/CFtkPqnDPdGygZQ
dJ3g84qRvyMdvexUBLJ9SgxwRuCNvXPhdzFv5CEkP1XhjkCReDfkYLKj0u43garVDlm12KNnJ+dO
um60DiBKb33oQRzEcz86SZr2B4opLmDN7rppUr2HLJkdUpn291k1d/e6DvmPYSOzMHA13+UR+k5w
w9mJsTaGYqPqtj2T4xs/4HYSG2KGm4Je7sZi77zWAzEYx5Qxza7OMZSBikrgHnaK0xB6+IjhXCLu
07LLxhV2dXljER63j6NI7E1Hha+hJ7HCjJYRXltDQI85ixlpLVpnQGY0+m6mGBz5FE3uGnYW4Wm1
aq4aYyluirk/ukHt3obkUO2R5tq3nllEV4MjgTA3nI/QTiNAlb1g+kID4tgo0jm7bszHNY7J8FUz
gcTIMVR6ZZNbt68YB707aea/097S6xbf9lkRVfgaB8LcRl3jAIsAYYahWwf0g4PlfoQiQ9Q8jz9z
ZjXpuu3HfBtHzCrN1pwOBaDTK7BEzgO1w7wNJx/zONpvc+97pdpLnAHPvhX2aPFlfCeKRhz6xMrd
jdONHOu9pKdRS5fzh5mR7NXAdr+GdDa8KDJvLmUXBTeo9e0HigBmSjgajC3UUnkerGi6tXsKQ1Tr
/i2Ao/JliuVwp6ZpvB3TWF+PhF5cmSPH6bYJ5DmrqcLMhnxJ2CDufY2MnAjmaQbIQKduLYXFBRpz
2bxyC2SUmoVXEq4YZkSaua7cMP+vMP0M4t1JiHFdxXkVw9Pr059ydtsD0K52S7JMu2dpMLwELQOF
hJxDXQ3AJ9o6aeF+xoihhdOc88FFsx5XTfwwc+KLVoQY8JkyjN1NGmBlZaQ4n/hrowfLrObTlE3N
mdnBtM6J8WvWqVsCtJZFGhx9Tgw7NMMuE8EoOEoCoXaaWmILLRDzUZwlBV8AoPiaLiFlbiD0FlaB
Ov6nqowbf9ohwTW2XtiFuGBAk69Br3EfxmqGXUCVdFvmqnkdGq3ZxvrsLq8cGt4pWUqaXeA7YLeZ
/ALPO2BX79/wvs47C9XJ+aNmGqok91fg8yhus8p8xaPCwDHn7P7eBkzIpxaoAKIhCt6lxLJKV97j
eaGrMDISRfzuLVUwikaYbnrb++TKblnDH4wXf+OY0TKZWS7J7I/OCl2Yft1NFmd3O18aa5luvxKb
1W44+/KfOso2tglmkstHOW+1kfWFrjBHXwJXn/qkKPY66Mo9FXm4TWZTYHATxXpoaGOKcTnsV90L
lkB99D3Xz/BBwMb3w0wcENMTDTyp/jqg6Uy1Gktjq8wgubgZHgbTgKi+Ylo2Hip6+xbJNqZ9RHzf
g4P3++KUtia1gEeWQLf0yOeDLmv+YDES5wd73703Mew8f0xqE2fpzHzIOWXtl3tvcCle5rrjsglN
ktM4++3KVBS0qJ+NB/CLSLqMkZ/et3FCVx5tkC63458fFWG2VKuFcuU5NCtkmS4IesxHCPpJEfP3
nEbV0a6N7GkIcDqVZUMfonGNrQRcwgyEzkL00T9aXnZtwATkIwp4cOn2kM0erKuAcUxMT+nWBqz5
YhIYuSUmcD6hqM9OMyt6jYhLb5kflW8p7/Ajc9/2oc3c+YmFFN26sRHd6LQLIG4yxnEdxKOJqsu9
r2z3WXMg1auOpBGwwmU0/afys0JjvNU6m+9mQ/RvfRkaj8XCJJy1Ts2Nb7h//U6ZHsP3SfDHjo49
7IRTm9f0Q4yHKMzYZAgoOBFPhOVYjsm3smv9u6DqgZnir/tqd5PztVeG8zWV9XTNm8rdxU1sbCZC
TDb0FughAsu9zJGhvkCHK7cWJKMt0KXx+uOua8lkvmp9/8ZaECNlWfHia9MzWS0msFcs0iXEOrJY
TbEb4V6cPWYo2zIgc6WYtL2tgeDQLhIwejE7TaeOOvom9M3oyMifscvHWiYnGZWP4ficK3znPAN9
uPbaMtwyxiDl2MHZs6Luy25EkxZHsJPucxBi0NIh0jpQILwMITTz888IlrO2ouOATQWnVWCTPTFR
08vZXNoSSB6yabxmU5iOFllXN56aZ4IFJIAJJt7TE5hcCUJ5JqVx7qaWplsGfzAgFa7LvPQG9Acm
B5vml9MV9BAHYtVNb6CvqOrxpvFaXt3QBfXeaypaE+NceNkGDz/5sr4JSpF3U38MFGPKVei0DMA0
YRjr0iurhw4l2q5jw+EMxEDojOVX3zS0DWl7uj2qaBo40wBorkFDskPuSxQG+S3GQysEFTYGJE7M
jk3sWk8XUEQtj6aWhDLMH9pMvydvAncFXQizzJ8ErdZtQfD3yQ4S8/VDDOEUDLidYRCvIFxooIxJ
Za8MZ9EMMTXeJqhDmXKh91GZR8Lr4ExbX08KgA5RGnhFeoQyBVmsI2APlDyrEurnnXAZh2BXIb52
HfI/HhzCiYhDprNz1Wmi1EP+09vUxsACWKoJDy1Io30i7PmIE4WcMTD4yze68eLRWtP8iK/NObHa
dZcU99aYqS2z63I717Gx17IiCdCWk/V9KiefbKGyubd7G7FclhhnJma3He7eFRySGLOL8eY3MA5M
p3y2O0ZhOWzPK75GtslFxc4po1btfF8N24o2zJ6E5J4OX6jPiH8U8rBGeKQNxzGDKjKYdDzdWvQi
yPl0ix9eafyg53czgkXYWeNQLOe25ohRCPjynDwMVTyvlW9EB3arPTeiXyNILTcRc3zmYP6zUaJ6
h5BAmHPSNuHGHyCOZjYDB+FrZuyyBnTm1XxfTGkOpyqLBBW/ZkRYkyVQxtE6A4C0dcn1TqA29B2M
hJQk7K6XhwycBHjijowN0rKq+xpd/IxBDUHUqrDic5y69W1ZZvWzEWXEdVtTgU2oZhjXeyjETGQy
m9yvs2PXTzP5R0G2B8DUHYwY4/GG3AXn1vHVfJtGrrqvCSzZogDwmP+Niuzk2XW3o0eEYqiIPcrh
hO36JqMkF3lywoU80WDXcNPVXJyJgLDp6+YyUJuhiuyBEVE3Ztm5LV853pvfRrf0L2bQabFWFnlx
fZPCyLCqbrgN56k66okuc2qQs619JBFWUcCMzHDgYVhS/IobjFivTuw0w7onz/XGMXV6V0pd7Tos
Ed9cxfkKz3BsXYN6098wL3snYjfKr+HkiXDVlJ39JJY3pGsWNS1vPz6MZdmd48R3LnHR6q/4bOWB
5OrhlMuoPxPAlP3QTorUIDb5catOh7e9Vxc/i9YTawL3nBeGKRUeOzzSJxPCw5XStNNd/AI0O/vS
odZtwUxMhnYe7dIrtsz3TfrYGNyuK2N6y3rPf7Yqr2SoP0NFj/J5CahM12lfkGsu45lRSkw81qqD
l7RxJ8VOlubpAVI4ZHbXE/y8vG1PE1UFMlJ7Brzhw9av5w2esgcjZy5VahjN7PIrGjc+SSXMrTKz
/qrs1AbiSV+XqbHXYG7lZLwnobl4qLKiutJzbh2VYoLLeb5AH4FVL6v9Dlx4OxjFgXLJNd4mDfF5
NSh5NDvXf9IGvDjqTn9PFTOsLCMJH+mG6iteivktR8X0ZTTt6jFtsua57mDL72sDS9sqCZskw2+8
wIsAjhE/ZejyziGfo1x/9Cgz5cJJ7NSQnnqre4sGnxke7Z2rMfDLs83J9kdZAymaQiDgrpFdz1WP
U7m1jXyvkRytmQpVV1kPlhr5ZK2vmeJH1ymHoVXq5GlLFqNsEPy46NNUan3h+f+pIUiviPolDbLD
hMe0VJOUVbXdbYaZYuNgLngaVWvz4gKSYpZFeNfWdvVqG/V3J22H76ii7mcIkM7Oo++6MWi57tNm
ZmevDRv89gKDDjzABejD1BcpcrIBQzixbtyJ3dz3wLBZ8VhAK2cfA6MBBA9/jsz4DgYJuKYD6LLo
lRY0HFt2wpW0DYz30eg9UOrwPkGh+H0J2dnUUfDVGckpEzUROHyKhWi+0fdO4vz0cl/d9JWecLWE
5FpmiF+4b1N6CQBT73tFLExQ+f4e8MAI5jjgptih99XrY+ch6Um6TLuEB1YFuDZLzlRTDOtfAh7W
dmzdUoM8LZH1N2M9u6cGiRnRBdrd1nkZvlRBNq9zGuMg0e30mvh4BvmSYMSVRbrOAVZEQ9j1UH4p
cctzwjXuiqLQR+1PxV2YGO6tB/kZ+oFrXRONaL+bEUlrVTrUW9VBHAxJ+bsp5Rhf5TKT906NtAkl
4xwa3be0xCofZ+2+YLvdkiqBHVmP4i4MO/eQD6iKK51V+wn76r1mx111pDZug6AXe5V3D1EHeGz0
hHuyo2ra60F9j4PSO6QkxK0ZU4xgrT3jQNRPf8VRzjsNDqKNNmoyzr9V+d7ptE82ua5fbcS/31pf
A6YmJCnOXiuRpuJs1l149ocw3dAtGVhsrfXQWcY4rcmqkcF1kpMqsSa5mrwpW5F9uGvKcaY0ixXj
9UnlD2URwF6WU7CPk0XNTwvrARnk2zgiMhRwaphH2+ok5uGHJ6kaZG4VZFlKiqQGRcFM/s+xSAIT
k755MBCmnHj+5bNXuE8Fipq1E1bRgVNhvqHd8aO1Eia5YlrCb3m/TsNw6Eb3xaMEGeGrSyXuOEO5
dM5oExmdb/5wgnw4O5W0t25j00jJSN2OQvPQB0b4Hru2vIX3ZN21Y/DejI7xFPHoPVqWp+KNbCtS
aJHwhJvWNxdAqKz2Ihg70Avk9oJ1gjuHKPkPRoV/dkEx8HnSxc0XmD7g67+3c12M9oT++OowOPTv
eoNmXFJXrMlmTz1e/EFp/o/Orr9cLTAR8UOYcT+bXLxRjpyTPHWYKsJCAGmS3VZ44zaP6nzz+w7v
v10KuxkIQ2kB4visaBetS77daPLFYj96GFOHV0bamxehCYb4/aU+W0xg9+Jsw7YHISfgip/uIeFm
YiJ3SR1KVXZXWa6XkLSUIyeLd9VEY7GvehbX7y/6b9/PMm3Tpg8HkebzRYmdAegFjfMwERmxIvKL
t7SiZUdN+lcE+/+zjWf5fjzQjDA87IKO+8kckLH5z3VtqAM8ejIl85BoLKPx02Nm0dGE2tfc1pNJ
BzGf40uXj+Mf7u8yuPjVnPBxfRscMk7UZUbzabAxRU4diyxqD35h0IAv+YJuMzz+/n4uX+LzRWyL
hbn42rBkLA6JX+Yao8nrQgeWOmhN69YbYk4RkWeH17kl5sM8WcT4dsG4rcif2P3+0v+2fmwLq6II
GN6Yy0zr10sH0hnNyLLV0iSZ0KBJTabB0gj2DLGEn0ScwKYY6vfvL/tvj77tCM7m/LJY4Bl9/XpZ
uw3cyku4rNek+Ykk8UcXxckhclm1gcf6/f3l/m3BYhTGWwObGoT0pxscqUaY6IG4XKvlQ2M1e4p/
YBOhJ/6wy/zDVLMsGLBTlkMFzkYjPt/Qef7rt3TnbvjRfqzNKex+jpq1acA0xi+B3sX1Z/ESA1E/
aMKi/weLFty267mOjQf1Hw+NZ+sZL4BClx85dxIgyKWO2GL/+5vKT7iMrwSDz8/uWgdPSucUbD0f
u0APAhV18QQW2knrP/x+//YUOggHfMemK49J8e/LJRu7EpDTwIY6NIBphuq761fff/91/nSNTzsp
aHvL5UWtDoiogYWrveMXf3K8LT/+5wed9QcBiaUo4aL//XsEQeoPytLqUHN2vUSdsE4WMEbQ4EPy
HBvsMEiUBBhkxiwwHMQRA9+fdrR/Pno2pmRGKDx/Aa2LTzuaI2vkg1XQHCITnLCGBLMezKwhbCJF
+VMH5ea/va9cD2I8wXsSL/bnZ6+hrPInTD+HoiSj0HGnO+hI3h+OEv98wG1m6NDhaO0uCW+fHvAg
MjU03Lw5JBpubVuTeI2n4MpLmWX8/uv8y5X4EgQdAvrA1+R9WiZBmyTzNPnVga0N1ZLRnoGqP9Qq
ffr9df7lZzI9xxIY5pbT0RI79+sOSTB2ZgfKqw5zIrYqfzH8nNDJchFcnX5/pX8i5Hx4db9c6tM7
lh6Vuzg3sAr1AY370iH9ZfD+w9DGktWX8+MkOY/B7gvVpnG0vxHAN7+5lKxbPRNekjL93VstbbSC
hFQwyg6CL+mnNRg2WP3REM+XMKcOJL3dRizKtIi6Sm9zC6r7yevz8XqoOjrYE77dNW02iE1uMv/h
i4JV/fz48QZnrid4AEy8K58evzz/X+ydyXLkSJZlf6Wl9kgBoBgXvbHZOJPOwekbCH3CDChGVeDr
+4BR2R1uZJEdta5FpmRGpjsMk+Lpe/eeOxsirAauaZf0TyGRRlfWGNwRyZm+lPPgnw0FWaEIqp5b
vO47H8A7M2vv6OELSl0ms1Yjc8TEDyWp5uveI0mkLkkrCS7niMZSWefNtkMkvmpSIomiNhPoMEFP
rdrR9s+MzBjW2qmdA7Nttel7PHocJ9vQwvMvcgctQ0aq91qzXm/CWK1nP9YbAOukygexDQInnDvz
u78Iuz5+At551mz8/Cg4+GZR8p88a1E5NlQfE9clM7qL0QrFkbuuDzH5rTUWRKEOHx/wbcEjBBZl
x8XBA8HjtODBkzCOZKLXhzDowX6ldbltgMNckHPd76OArPuE1us9+Lb4/OMjv/P6Us2ZCy4Szcqb
PUdLGIyRDF6Fe3Cavo4eyOaGec89RvXs18eHeuckEXiwGtHr4F+npSNzUfab01AdyrFlKoKho6Vd
SwYQVpP26HU5yX0dA3bwrjZN+48P/s55UlcJUk9fEcWn1nPCx2Ej1FV16Iiz3zequo8Xr3eQTe0/
LgOcZZGyMPCyvXqT/EoPqIsxjhYHLEdP01SpjR3ogbdIiH/8mFJuIJhCGMXu441fXIJRHOJxKNAV
DCQTejReRXatlOvtaDz9/KcX0DEFJ2ZbDgQG0kb+XH/jtJCVUzSclluKA3beqmaGyEynK5YQno8P
9vYF5GCUNpQGLgPt089XgzYk8YaSMzOc+0QYT9jTfmZa3CMI/KQGWd7lP0sQDsW21OPUWPNf3dh/
22uUIkkJZ0eIgS1xK+iVhrVLqkAxzqDzcPMU9mfV6PtHDClFgRvz0p1+XhzpExvHERtrPMtD+VJP
1r1o8wa1r1cAy7QvPr6ab599x6TwXpDYQC2Y9v5561xoK7hv/fxgDMMZCaIHx8mvU8/85DBvC8bl
MGwNxQKYsE8bCmNg6pREsfwwGvZiCAdcJjVfxI9P5u0qwlEsk2IDlIP3xqSPQ0YThWnlh1bQ0aLT
g6Z0+O1X3m3W9AzUSaIhcuWTVXLhob95SpaFA327C5nhFM0QlTMOgIRmQujiY1dFSBuukjky85Ap
/VwxxO4mkNorDHOkAsAGlYy9TH/f6yY+FsyRd4qyaJ7c5g4hLnQBKSkOlrKAWHf3HFmc9xDaQB5w
BLqf/Pp3bwzgD544soKc0xuDJCEpmGyQXKYYyWZTmJ0Zmj7nxzfm3acMXSUtJdjEb0rO0mn4jMR1
cah6H0JaPR7M3LoP/P6zquW9W0HEAapKwBPsYU+eZr8QlWwqFiItBUKWKDlqz9S7j8/mvRXIowQA
v8CmnGv351FmsEU6Howc8RCOltHnM4UBEE19V3xHr//Pq2j2jMhE+WQsjKTTHSredw+qI6/olEc/
l2vXpt5t2UZPH5/Vey/PQkb2keSyMTh9jHWXVyQA8/IUqRvc5JPFiC1yfzJsqXdt7AY/VAFhh25h
98mn6r01DyGpQ11NPsCbTQ+tUzMRzpgfYuikfWXgoIh3MnuU2fyFF/GTo733wLPtIYPaYWf5pkkG
DAEJKdblg4xlvi89179VNq7Mjy/mG14L/COTi+jbfI4EMueTdTUcbD24tNwPwaDMxzQx652B4ngV
ZWIsmM356iGzgno91P143UxVfuWSD71PyAfczpjYGCxncmM1eMzxZ6DHGIbss92t9e6V99lh82bC
MjstfNqoM11VlnxttMOYoG9erD6EQC+CjmDD4GnQdCd8mTDEqET6mKuxO0Zh/S1B0TF7i/tSlc6R
LlK48iZDwsXlPD6+kO+8a8y0KUF9X8AWOP0gFj6/IdWU26qaf8rZ6nemREwZFehXppePj/XO5bBe
Ncbu0qil6v7zvbahT5iw/CntI+unScNhU7rmC+zR6uCTSYVJy+s/qTDeeeksi4kdFQ1frDcl9tgW
k27jmtPL3K9EWUPjQLXDHKOdVwJ35kPTqmaDGmM8/PNzhVEWLh0pCsTTldIhAiFtg64+sFe7wuNH
rFhb3NKNj3G2xo+kjsf/vG7jgEsbAAp7yFJ2cnU9po2d09QHw4ybNTBeVAmV6G8V0IND6bGR/vgM
3/nmcDxqqCUEj2Lx5A0kjdlJ0ppLq8eYyYXTqo3Z1M1GoIj97xwqxP0eEFRPn//kgyBJLOpL8oIP
VlhXN1CXcWv6vXeeDpb1yfL13jMqeKEWH8LS6T95RkckcdVMZ+DQlcM9VI9frtvcE9LQkm/a3AaY
2v/x5ogFDNOFDYiM8cnpC2hpZm12N1eH2Z7R+Pnqrh3ajaQP8MmB3lmYaanDIRN0nrFxLPfzb8W2
nHHrmRFbwCJ2n2Kt98Hc3H/ySAj+jpOC/o9jnDwToZHlmeNwDAT91gqCqzwDUePe2YMHRKZQHVfR
xBqlWgltLIsfatXCuXWZ1Q4gXGn+Daghq5RJr6NRwAnLAtiAGzoVfXs2O05yaxOrS2gqDq1ImtW+
7BBnsbud1shgo2PiBgwpTI1Z0VpoRlBtrbs5LBFbVRY8jbrs2r05ktbyChy7BtxKdVgv5nDA4NeJ
9pM9aS/TscAwejWKpLwcjXY8BHl4n9Z5t+YK57uSXhGZiggFD4gTSUdRsyTKPHERC+fqonZECuUo
G3YfX973nk2+4r7FcyIWSumfdxD0SdNPHs8mMuGXRvcvQSKvHWHsRFljqgVX/vHx3nvDqbkp9mjf
MxA6OZ6bTBVpf1N1gN299JyulJ0fVV99Urye0vH4lNMrtQWNP3oEXnhyGIAjiWh1WB0Qkd9KmbZo
BoMfTf7AEPoSQcp6cO1vcVt9smUS7x+XLi1XlM31aUEWSjBYUrn0ROpp/ppo0niC1jFuMboQdo9m
hj1O45bwCPKx2RSkUzDcrljIG3s8uqj83UwZR2EOhJb3TrWOEIbywMk9804m2GH23bUAkiuNFBAk
TbwJe4t8TrD5m9iKvtg5Pv5gdpsVzkeHgN0Ze17G7wH9IH/h+bBusleYtcaCh6OLf17O7jrp+mzr
wy54bIT72a147457AGih3NJmEEuY1N/XiNTs3LLKx+oAQGxiurSalLnPrX785Ml6by3623FOC6NR
jmVRg706BO5CTqbfsCbbY/vx4/teaeNB62OuwLwNKumfJ2M2tqwbsE0Hhk7kcC+WRdN+qnMQ/Ek3
fWI6e/dg9CvZs4S42043EV7LYlQVvCtG4pEmAjgB2s8OBSha6j795PK9txB4tP35WmDZe1P8FtMk
vAwV1aHN2luAaAS4RdNTXbS/+hTNQuJ9ciWt956LZebNBhYJgX86p5k7WXB9qdMyXUATmW2LhOZW
HW168ZtaGMnBkQ2ObxmKu9SMksMUY2qI67S6DOIg34W1Mz34WIKwZ0QxyKqP7/S7P48FkTYS/dvw
dGEkBrUzCEkvD6qRv0QYPyb2+KUQ6Ej+G8fxA3aKbH8Xy9yfT1Q3GlMi0eMd2IlKujn9SzUZalMP
7Scf0vfK1gVtS4tl+Tf/5D0UKsTBgfby0OMZSTokrqq6bWsXMLx1TTzafVmEnzQq3nuA/3bI04I1
m50CjZ5ZHggO2pPb8Ct0CsTt3llbj5/sOcR7z+8C4qYXDW6bXtKf17Ffwg1m7ZcsM/b0rU/kb5iA
3hoUTrCmfRuvFz4AqUBmtU2bxWtgWIsys0X0B9roiRiv5ClqoFoNNo4FXG34jJK+/RLPIfjfirBa
EreCnfZV8Bi4rJoArToEU0anyb5ZWpu1/dtUNnYWeAhamt+yerhCiiO30P5/pcGoVuUk0i1JpfYX
ieiaj73tfvI0vXcVwsWpS4uD5/Z0AFsUsusq/AmHWc7HuZ+tVW86T5jHz+mZPvXppD454Hu3eHFm
IZTxabaeXnaZWfHUUAwd0gbmwCiHVu5e6QQiBq6z6hZN+scvzKt24qQgRDFjc4K8LmwzT+50TLox
U9KiPHjlHK4TNXhfnMQa15WY3POkLopHeGhwCByUk692gSABxVAOM3AqJH17Q4HW++QyvHPdKTYW
CzRweLYTJxul0JsCOCiiOICOdLZJO3mXVULZOGV195QBjyYnK/n+yYV4p4mJKoGuz7Jq+2/2vrF2
Z0nML0vHHCFlFbGzQ5Aqdl3UdnuYy2LFk4Jy0gWDSEQS6a5djvPC+QxFLN5ZKxdfOHIMmNkM2uw/
3z0TaYRX9mmJbzkDo/Lqa0gF6Au01ZV7zpXxj32GGhmLFZSygiayZRCvuoInMt4ooczdNEXgJl75
8v1sfqUsrvaJ4pHCMZXvEPW5eyT5vybE2CzZ49bxsmSLVtjZtEbVHxKv8bc6GfxNEJ/bdS6+5KLS
17y2mNCImZ2fkmAIzwrTfzaBgn2yMX/v/JmA4UH3lwn9aeOIdltWdL3g/ItcfwFTihbV0+lTahnJ
7uOb/t6hEF6jNcCNzmfjpABh6ASPfPksASFNNrIJFjeflvlZmBTx08fHer1vp2/a0v0V7F75DJ5u
/yvDKwZVpmwORmA8K3KoJsxes2PtI1mPMFYL69yqzeim17a6sm0jvrV7A26JKOReVuBcXn/Q/+Ab
PsE30O4J2Rb/X5TA5qV/+V+/XpMLr17KX//7P67z4iWpS3pnf/3T48///R//+Yf+X6Yr8neix2wq
cFaqvxEcsBf8ixa157NhWsaBS1H77wRCf/lfFhUInUYexX+nD4p/UQHzALIE0y91/eAf4Rvck4XM
ogvDusksi19AxXW6erZjHlTaI9LI6Q29EU6xA6XUswXtg1s3qZIauFxMoFTfJbO7Rds/GA9J72Y/
+RDYNWlxBuBE+Igl3k4M9CRO3Q9TU5wDVEuzmx7e6rexTf1n/LIVqW1xcd6rzAYBliP3MCGln9k6
yndeHo6bfsyqi0w2Rv1cARe6HCcYzftysvZgY7FrzYktd+TvtOHzmNJ1PQTm4jnpm8n7Oio9BDeT
TXiRX6fJRWbXvbMV3oiaIoxlkL6MvZF8HYBbloe6rdFgyA4EMxnqQJXinVGUprMe/kqdLRXGX3XF
pIeVdxe8xtOCAeJ0E03G2NqvpowM2x7COom25V/5ttWigChW0KZZQTb54JfRVfBXNG5UcD2bVTqV
g2rWEWMxtRnG0bfgYS5Roeqv3NA8SV1lrvKqc2e6fVkd5etyILoHgudQke9TAagr17oPnYjhJg0f
viduBsxonXs4k8CRxtJm9LEKsoE8rp9zNE2diyGwBKS8GSngnRW7gTHGWKCj9goksHE0VdXemBjD
VqTwiZUi9XCVdUl1RDQ27imi7C+54ZGaByyCqCyrUrfkMLo7bOrTiy+zfKuKAQxtPiW4/rpmNwZl
fkHikwCd5JTHuu6HfV6NTY+1Bx5mMRbDMRhJVRoSei8l7kfhJfE1TeYKw1BBRqIT5xs0K2KVeXHN
JzaMbttSlU9RZZDZDoMsWM3GKK+xsD7kdRnfirjpblQy+reFzMfnpAz0Jg6t6KyVib7leah301in
j0WnI3Bq9fSUJ6DB12DkAAf5RE8pK/WvSLiMHhOpxUEnnkHUWEQ8b9ca4W70W3EReVGxR2qTzhvL
x/T4yDfAXfkQ5R8az6q+dJPOwQlGCS0tN2uEBmjc+npNP2I+Vq3tebB/unI70HY8Kj23e1XQPMZl
IM5DkhXlypKuuoejilk6ALKHoyBvi9+WchhmC38mVj5GeLHN7RqvGYmnN+RM+sdWufdZ42+6bHDE
yhGaxLJJ4m2Di1UsLOphvB6YFp1bGmgz9euw6rOJez0QZHCbFF712Ha62o+RL78TNPdkYXFf90UQ
nHGn4RZLgqywcqJFmgp9i+8lOasc3d7Hlpi/DmKG6BUqbf/I6tY8Jw4RjVXTCEYkQMp2SDZ/LZyh
g+US8JhADOAO+hlUs2D4anpZ8TTlc/okVJ+6a7cJ8qfGqMKNynnDPKOnv0cHbRvSDt+l0ApVnXlr
Mm2KfdaK6bqiyjlTuguBEU55BtkKaOe1hV0IFznuPBASZnpTRZkmWVPqdl1DsOIpjvl2u4EuVmlv
4NA0GhAeapBrFWE74rr0Kx/43To2zLV0O3VWw+nfUOXaj45viOveaB/Suf2SScP/iUeXvEgTwwkG
RwWwem3LObv328whEA4DpNk7ckXyJ3ylND6GTudjO20bXo2h+wLTAhpda9Y/vMEMAErM9Y2Iwvl7
o+q2WVlGgW65VPI8htbxECeOu/aaRUqhymaC0wwwnZHF8Ny7xqbCVbmOcmCgc25ZMwSO9gyWefzS
oc34VSgbAePYXNhDpLaupzRIl0F8tQHgHwQ9qGCllZoumAaj1cs9+rt9bzOoyp0EOVujiTmsqatW
VEn1bZ51XbOWMCy3xaCtq7FLq0VFnwIOS0qV6YOd9PquVk4XgARW4svYR8H3XJWQzod0sAGJFSrc
kno63TlGFFzUY+W+DLigz0Mvar0VXFXWucEU+ia2qkiCCiOf1FYQh5mcW/eTZXRXAJoH6FaDUBt0
eVALuzQ51iURSyvU+8GFYdn1VZfSLA6VW697U9OLDKo7S3nTMTYimnZJB6oli7qji0Z13wNbuTB6
O12HgQx+OCC9fteG8xOGtA2Abez69dRg+oOzum3azOAlN/JLpZPgMhR5fsHs0stW2fwjMW2So028
bY7WD7XZftHNbK4Di/1AFYH8Sonx2aUMgSCXz+FtAwl+a8AUxb/Xqe4QG8lVgeN05wxptGmr1noi
8sPZZ7ELHrPxf2SIJe4aqK/rhKzP+9i3WEGSVp6pDFQNjkC3uHRrC7BpV42XdWXGSzeAOtIrvX7P
xL6+5cktNxXI+pt0qtufhPgZJjgxq6DscYJH9jTOGb9wQhgt6eKzmyXsLnfLmzIy3F1hYwe1qt5e
mx0Gx6kz0wujjX3251W97wcN1GDQ/bPd4gQqghpRq59/6zvre7aoHUHmzBejKuNhAVImGFwbsBVd
DTW+hNwzCd39tgB+bAcMrF8ypv7b0VG4k5celBOw1xetAX2IbM4rz/ShwISi4VfQ+cfdLLBDzfjC
Vw5b0rXRJsZRDedt6iRrt1Jw+p3iW6PVsKM9nf8sA4yB02xyX4PgWxIUv9o87Y7C4HNv+qhMGpf/
FLk+OAeEagBNevMIbdPZEFVu7+w+JWteGtkPdNgua+erdRrjGlbv4jbrC6IIuizdyR4l9EBBsh1I
IzlAsMUPr6m8aPe7+9xOxvO0rNm9F1oug0zD2JjsoWjF1SOSqq760bsKiDLNnHSIrfWAhe+gRtGs
U/dydpQ8VE4JiF+G9q623B+NKW+HATUxQ5hsDWFizxJtrCZhfLVSZ1rhVUxRuM1UGAWRvLlZX/my
BU/FLrZr9rMqMaCVObPApCLlvIe1WM/xjj5HsGoYgwFsgmvrYNju5iLeAbG+FKVh3EHeUfvCG8KD
M2XxZhblLQRrfKVpsiNfkK1MbVRrr5huw3FYUlzzYt/1smbiIissdHWwchOQTNUoSFo0fHFtsNFZ
sbb79zCQU+SkEfBf1/qFdR8oxZSxowUks7JT8kTHiFhP+MADWgUr/JGWU0OPncev7oyDp8fq1jMg
5ob9nKxGd7DWZiiHoy7b8JBVJGbG6Ryclf10i7bjmxP5D/+zl/r/yXLH4hTQvfmv91KXL6CQX6qf
f+yl/vpD/7mX8t0l128R2ZqM5hi00hT7Nw0v/BedXDwcyBwXzRR7pn9vpcJ/oZalSxA6yxjk7zQ8
4f+LviyjKoQrjk9nUfyT7dRpR47MQA/JEQGCJpaENz7AygRuViY5ELnYcmfSoJzqAm3s9FASaItp
3P0MKbe0HP7eJeCAPrk2dP/45W/VOSD0E+KnvemgNaMD0xjhpHgq3f/tJtz89fd9mHfFKS3xfUwL
aDO9aTT2qB7Hxk30YeohRyhbN7d5TYWY+o7cmoYqVlaHXMBpMuOuU77+63X5L3165Om9OU0kHzZE
FyLpucenI0XidyCHTn5/IE600GRJJPOu8BOwUmy5LrSdtGeaUqfb4yknEUISOLAA/VO6zh2K1S9k
IljxqoZczgAySSEHW+Adglnlu8nO+f9C0ijLtSiMeVxpCWgJKlMHLxT78vSbKW1+J7KAUAzQDgcK
sGXP4DWkF7jNV8hM035J0qHeiK2J6XFDn2iFeGU+mI227vE3yasWGvw92DjoNALunvI6+RKUZWri
mR+n3wm7691YFeNjMZDm3WW6uoio/NZQTgJrrWq7ukgiEylROslnghv5g0qn4UUH+nTLdCO6C0d2
c5uxk2Z95FJVJVnBJn82opEl9nY8cpqm38EBBPVxP9UToFFdJ9cuLndG3CGGHYgcsAr8tL2ti5H4
2XExvGe9D1vcw2UxC50y1C3VhozD9iwf7Oa2K6HHYm/Qe6+ximODZWNriX58zGCSPzbZ7H3h7thb
3AXEAdlknwyebn5MNamM1Cs8Q6qaaChE9TOZ6dyZht7VwVtQhb6C8Sr6KrzwyJc/NE0y/aZCnx7M
lj8ymW335GF2v4h07Bzhn1j3A3kNT1mvqgtd1+FFWdIY3oRZ42Qrp4SEwC56ZntNp37byahYq2q0
t6RL5HfSSyAHkBgEUq5ufzgR/zWmghbUheg4DuQwYNx3hoY4Zl5nPoTT3kuH4lgH3NzJl4qQ2AxY
dicwy5IaTEajBPDDFJgsFZ8ch71hRfldjB2K3IqkuSKA0CUeJh5/5SbBtBXQInQIpsmiYdXfUt2M
j0jH5suwGfmrRDLtZUkf0NKccagMeRXly8tuNO61EZsj9jjOxXOycNWHSbkeQTOUqzGpxl8ExU37
KbWd69jhTkQYcVZOJadNCUm9hPU6cF1zSMx+Ebpronkzcks0NGUwFVF055lR84OOxXxZqWR6sGlK
7gkZAejSNvmOj3r/08w8657EcbUhdRRst8G17WLuY0b0NAx8HtGiAu89tZz9DDMihpPPnXA8/PiO
xfNP3K98LmI/Oiu6/FkZ3UCmVltex8FvGPRsKFKj9BKGjaV9TDr3G+C25qsNAOAxtnk2wVfk6d6G
MLNxqOr4Yo/EaPiSWDqXh3KhA+uEGwWcqt9FjSOvJVk512Gv3Othiqz7Ku3k8+B69TcAIDytPqix
1o7qbwJX/nkG2+6LDpYsHCMDQRxUqn6JofRimRKTgbs9zDevJxckvAT0iYw7Pcmq3+g0my9RvHRP
kpHm3VT3FvFAjGeIP6E7oYusXHvKTA99bdMNot+Q7iFOkZNXeOwFKeUGf8lzaqjWgCZBX/Px4Nui
ueo9IFn2E0IWK/eex7pS/Y+0HZznFLpFHh+omyoHy9psVFtMS2q4nBoVsVWOxeDcwbeCdOTo6cEC
sLauvSGpVpar6ck1s7fjOXRJD0DgRMmke5amoboaaiJzoKyEZ46R3/RmZ9zWZnFnuMOVU8pyB4fD
vZ3hh69cnxiU1o2JU4muyA4ggQm9xCG25+RY2vlDhwh0SwL2sB2c6XsaEM7ljMPPPLHLo1HFP0jr
S47JjLausgZ5UdPy2xYuHSOGzf1PK+2abZx257pvoh3OTetMz3m4sYjAWRe+GyMIj9MrZ3Yg0Idy
nNYtSCYvC86MnJo6LZpqXskwao54GHB8GppoCBOfeZnm6DvKovgdy5kYJ/QYxNh0zrQOnepuqvx0
a5dGeJ5BQrxE7qSgf/DCgs+yztMJz+8QBjHZk9xI2xrZHZBmcyh9IE2yFwHtBRpOJHHwWlYLLtLE
9EU7zzxXbhoeKOa/iDIKdwyquwurCkWxtbn2PzqplEdfJDRwgc3cQ4Y4/XgAi0QooaXILouIJugI
rahsc8APF1ooTkKPVkTksRuKuh+CzgaNvJhvHh/wYAeVhy26jUkuq7zmDqmrBR4o73Y4YBJit3MD
BHegvwWkW66UyPV5pRdMQ5HnzxAfan/taW/ak5tF5ALq4GBDHCBK/dERdNsFujrLJsFjcIV/RLNh
m5uJRQSwXC7tbiV5ry6dopPnRIzBEKQxfqTj0G1EkvBWdVsY482qYni9NADcM+m1+mFWIlu3CwcO
Qd9BFRsxGjWZKN78IgvTRblQzvcykzVosy486NkNj+UQTTdpLubNGA3NWV5KZ+3ZBeQMLx9XhSJ8
vnOEc+t3yHXqaFFwxy1UKVMGu8YY0ast6W3KFdPGCUX21fdikGPmpHZONEG4CUdj10CExHRY3hYW
naIuNdUxTQX5LrjQNrERh48QS619kfLEe6JOlsYnsegqci5rVBTkCCnjrux1QHtlns6WvORi5bgh
zMjGa8tfTtxcYeX2L0KNh3jtKMWGtsCDg+EhyS9lN1tHiXKN/V/itefFHInnIfMn+ryuog1n01k+
TyYCrtaZlZm/JFSWYuPg8dAbMzPH49w04VqWRrsfrMJ9ppWbkh2Xp9mF08fdj1JkHmlsnTOiZrQq
K3afaXOZ0CfyDhxRXaHoN3SV7/zEHb/XmUWHpVBLXSCbW/AlxQbjc1VvYR2m54ZePJBQnjKfx69M
jniR24uw6Wpn3RJjX6zYBKfAngK6Mllau9eTTWdqTir53ZZg4onbmvLl3sBAX0qkLBN8h5bAvowW
x0VokysXVLL/GZCnJdGdMY7cmXnHBwcn5fSbmSTk/cmI7iQKLt4Bkggv/MiU0SZ2F/J6kpbkFUn3
egbld2fUUnK6qUh2AztUcE2o6tYlRV6ycTwtv2s5oBRMEK4DUOPrjMW0Ofur+GpS27oHvNX9lMCQ
g43tJpyfVS6TeT1N9pYy1Pui84aybCkYgQSOTr7JErs4IoKqLgooegfH7IhlrBkK9G1Gy7KUJAht
Erfj4x6WtXFX0f16TG0RX8cllUblevIqnl9/Rdh8FcaCiIyaZlmUyfj73cNhXqWhT3kSNo11wzJY
/RTSY6JoxGBmXuMuvZiFaFW2/JyF37dPLGN4TFL4/iurMYKKuJl22selN52bI5GKyTCqTbywdWqK
rWc8e+W6m5byFxLDs9/rArQjp8CQHBNLqaffmLbTvZ6jmoTINCT7Q9HwntyIfkItRQGAI2xuP97D
WO/tIZasXPZLaJzfeGpamySkODZ62mp2cxYhh1nKYb9aN1nTQjddynvRBJuRG/Otm1oAXKriYg+9
+9mGxjrVAy2Co+WX0Aom2+ENWWWoRV2C7O8PTkrlvwbn4F77Xm9v4x6O5+RQECYhV7aPTX3jx1hY
s84F2tbX32JmIHeA7JqzTozTeaVk83UYHOcawq5+UFTcn0y932g+lh+7cC3QT+N0eUNkYRKe+6Mh
ugMTHRL9OgJJJsmLZlpZcm0MPHV8injArJEnHvAqDm6+U0uoXP2SSepmn7bTJ+nHr9qWPze+wmVS
hVYO3RwZ8yeijxgEkx2msFPKUhCshf574QsNzcWsGFq17ZBsWJrn7SQEH55ooIJisJju/WR5TXHP
3GXKac6wp4Njj9z6p0wL/zbwaMyFPVDryGhrmrdLT/3j5xBdypvNrI+dZvEQQoxdhLh/KjZcZqSy
oP1/0IC01pOfSvrIZTjtapIcuZa4XMNE+L8JJB4PzCGZTVr2C4b3JzinAuEu5ZLhqngz4HK+HFvb
eR4lkMJ0Fvm5aZbim41vToPlkNV4Dg8wII3GyjemQwBJqnmhS5aSA/NZ99q0EgBcuqReLcrwggKS
JB8tpnO8AGrTNnhh62WFsQGB341x630xXH8idzY2gfNUjmMwFWSNha5D3atqkukHFjDCRqjZ2Syz
L4lz/k+zszwhLWxfeGFLra6rubmt8MCypoAsY9pAQR8SVbNyzBRREbE4WwbD8ipnZn2RDSQMjSTR
ghhLxseYnGuGEK5dfGsFM9yzvpj98aKJVMxFSslINHTX660b54m5HqSIClh4IhvAPwJJNzpnwwlV
9mMdAb/uGgF20ffoXx5zSppNNC//IKKgjzZmh/BtHaWY50Y8RoF9jlq0g8QmtORrTE3fmklWEd+X
cMZxFdZbzSIMT1pTyvsalLBBb3LNdtqEEMNGpAuc7skE47iG1+euO5cc1HUZkjajWzZuQeLI71M2
5Ls27dP9MFJdmbniiSTMp98klTc89mnxzW/ZP5LxKp8DVYh0005L9ORy7cIFC3c2z1x8PjrGHYw8
cbT4cNzmYkz3tEZZ9AK3L449wYMvmiDWF2eyqA3twqbFqrmfog/aG3aiwcXEAGOFEgWmYVF1TxVB
sU9aAzE2NatRv+ztqiQs1gmRk2rtzIUmcKugq27NcXmEasuupfLFitrJvy1FOzyaFum+xNPUL27X
Ev3jsMOSFrtnRhwzX4C+tronO6Oh1DSFvOr9FKxd5LCa9FFFyz/o2RlFjgOcrHZn3pGOtD8LoCT/
Y2/OzY+60lyVciZPl93hyk2d+YAmuTlrZENXzkacuNLh8glNSpZLd/JpAJV28xVbaXBhKdosgNfD
i9iS7Vk6+dWFF3Ph0G9O+8q03XUdVOMjslK292pK98HSAUL1Ka/KnP6Qn7JNRuA5/w54S+dtGszy
OffKm1EzXiWKi+226cbXVuWABlUJal+Hv7QylsJ5+dXaWWJNA8w4TCvRUF5MQhVHa3lV9bK+mzn9
eIL85De30cQ3tGUGGhH943ZAFvEwLZvXVJts4BPtNLdm1XJn6oxS5PVbLKt4mdPF9nSe49AhD7FV
9HUEuD8aq5xd4U/ncwwsW490114fQ4hjFBJx1ZgHPRjTpRPT8RDd1Ny+dnwqweMD16NYexB5icpl
FwyENz0UDgVVgWb0Yog8xO5Le8CIDS4DFld/TcORS7808uYUInkuaQipJPndBsS+zrxu1VpPMcWI
WqIQgpjulSl1ftdIR5dMHfJwQde7uAKJ8WoGaL1wgrnFsTILEpI5IzTQzBnjmVcQgTotuMhjzB7n
Jvm7A5l4YcYjCBTcUtsK9v4aqhk4/xwcOQWPyTDRQ6CKfo6OIDDk5ussHBplbq+aH2DXSKk2++mh
AiO6iuy2OBpLcwU6CMsaO3pCwpZOzZIWtwooNYjunFP+ptKm2dPMLHHC4vCv/ZvXj6TO6d1WdeKQ
8Wv8Ms15KZd9g9v3f9g7r+XIjSYLv8q+ABQoeNyifTfZJJt+bhDUGHhTsAU8/X6gpF0NRzsT2us/
pFCMQiLRDRSqMk8ekxcUS7JFrPLH0iRdcltbQENlJcKLLvLyqq6MZUpleVde18qXSoChkQQHpoYU
srwakeffDBad1irSOzZ3zWi/4P9RfVIRxU6jS/9qdNlnqzHmFsa2bD7rZDJgkZj1Au+RAijHoTzv
iJu6WtazbJZtGBOIlgj5HETST1xq3qzhxzlEp1OCNOEhXlBv6pLlFKBB+yQ8loQ19+2XXpJJFYsw
unHh+WxFs6wfjGBxdgWHzB2+TrigX+/lreeDkOKcm12KcQBFIqF37UAMeHg/G0QHBNx7UXzjsuWD
OwGiDppt3biRZnNUjL53JX3KEDllxsPYEL3kF3jGOxWVsEU7vIqdVDzUDl7PCRyhA3ZmxLHmenlF
Zkd5ZRsUscXyDGLKw9cWAVm9beaK4nyEnIBN3fA0jZTJdQY+p1e58UCqPZst+9gLTt/1K3YEJJZB
1ly9Q4JDB2jpYZd9jMp4JLiL8rNlN6lXtDnZNiIhaisrRXHS0ewUvNh4dJqgoFXOSzHpQ/UpNzQA
6hHM2ExCWoWOwtnEQG5tAC5vOOxZPO/brIKutAM5IvK8sqJnuvqJGF2jWPoJ+DBH1TBgbwBtHmuX
ql2bRyCLoR24mTrbWzzwHmWksz7rzlDT45msNU0PL2oELzNyVSSH0rLlcaxzQMRlq8T8wtg0mZnd
MOIlSMVJbFAvshJM6XM+xEAmvJMN6DQC9yXwlWG+Kd3+q7vEeHd8dMKmM17cxKcJIUit/h3rbUoO
yZTxkJa8ZEmdxDcEJnwaBpu7NkPKOBhezKsyZNyDLtfphoZRvlCVpFbQK3LPApxXfeqW3k7ORKyx
yY7kKz5VVUgFOQ3Teuh54JOHF0FmAKm//+v7izkVKUeMJvrmsz1yptYcKody7tQtKR/TtojThKTH
ihc6oaqMXJtNBt5mdGPVsHZgoiTzde3MdGSjOxG4k33rrblyCJ2kgX0Hil1SdS0SQy7jUgVMStKS
kdfd7wAS+Mbjwc1TfDo965UIzRgDVIrZDkBl09sLcSgjnvTYhd2fmrH/0D5/Qfs0sWahMP+/R5X3
mEjH/7V+Iz737e/jyj9/8C/qp/MbtoCYH1Hq49aJz+P/jCuRaf+G6yQzLQih+OnYDBP/Su+yf3u3
NPFMc7GlWyzp/grvMn6zEO7hvrdIoEjDcv7NuBIbyO97EeaUqKl0HbUvVGMdo53vexFfb8suDKV2
soDh7zycuDaz1diHIp+zjbsYCunzYFxok4adV1nzBrCe9BHhxesoq8aHiXPgZLa40QrZefsM7o+N
Zj8tca8SKdhgGW+yLrpEtbm3MnRnIccnx375NPbZ7WhYHQBYBDsD5kOATZJaha3FoV6UFG8E/zIo
sHLjvitp4uracFezGRVnC2H9Q2niYty6nbWe2LC/6FofTJ75mFbpN7OGbEmyyR1xsN0lrRx7J0fb
KgNagOICJN8fq9qTp8mF6kq4T4GftTkn65QpxdVEhMWhoA7YpOnckSALJtu1vYmBVjU764jbeW4c
rFOC0SKOelCqLgiIkmYcTHo5oVZtdKoUi9xsW9pXeuPt89y41Drmt2bni+siEye2uYJNHyJe5NH2
ZzEh7VJ64bbT64J4LAvEjHw+XFazkSRprJWxqV/xsIrT3FmgbbbmHgvyX7D6D4lQZNaxVUakSsAz
k67CblW0wbf0HuRHrscpfvKhCz6Ohe0c8C4YXkuBG3rcSh96iVmF57qZDJ2ALqYuJDeTDqmfCM8w
5/uygdPUb5Kx8rTPWa6EOwdV3msz4cpt2gR9WbUkNtvYbpFr0EHyhBw8XaRZemc/8sm0HD2YkAFH
rhx3hdE2e8O11c4tyrIMEmG5N6oou4vmdnoXTMx54o7JLOBG0EWJfeVmjQ50qTC817JZo64akP8G
MB2zszYlJJSstUKpCGJL3cxNc12leaLFpBMwG3Rt7LGH1gXhHOg4y6Mblp3TvFKa2ZdmJrspC3xM
y9E5QyOumnS8C7us2JWy8tzoBsYlXmJbchX0ft5Zc910EFsmY3IeR71v9XttmBwvAicmWJU0VkJM
lLHVcexSCR/AAcJW16RxTrXckqNU9iuR6+K58mp1N8IFQx6RlhLyUCJSMg40LNnQJmHTpvVt628S
/MSesP9fLLtnF8ZZ5xTqOhNM6yHCSPI3IjmvwdfDSwnfqF6xk8g6SLM6fiLtKyvOWjoZYlXUk34z
D6MzbHPNHQmykjFcGNGV5ZEg4XhflTlij5n049Xo9dN9E8ZuFEB9Us8ZIeJMEqRjfpKxZazzqIhu
mMTKG4dJAonzNXFjMZzgHR9Av5711t4UkdTpgvN5jx1Ufeu0TfnkK1qVwJUkrQYwghYo1Cd/0khT
RN6eEx682tVQkrcIHYKoU/ZaaKKbA12ULo8clVeQ2iQNgjLFYKd62136wS1vMViLdq60MP4f7Bs/
JTspzGt1ohRB4CW1aH593+X/cyD+4kDEacZDtvh/H4jwB9FHfncW/vkzf56F7wfegiJiacSR49vI
Kv6k7nD+QOuBzGJypun4RaJi+uss9JFBcE7htOP9dYL+dRhav5kOpydwmg7lDmrKvzkMkWR8OAxh
AiM65W8TPyxcWBayzXeOCrB4w3Ci7K1rX6xyrWAONsb05qz/bNq7aJuIk8kiqr2AnecauoS2ypMo
/tKGZH4ELvgWBbweS8X4UpIEX7Wu83kGe97QDeDvzKB0uqokpO7nBFuKK/ZO/UtqRgoQvMeKNljO
6GUyPwzmDtf86tHtOtc4sFEPw1GZSTNeN7VTbvDPUiVFPMGu2eQwCBIE3Is+7AJ70q7QWdUJBBiP
aVhazsZaTsgweoOkLyOm4RkUMV4T4tOvuAz3uDAv+jXfC3m1cIC045XlxMk1AtKRwKje3Wt4WByG
qoBe3SSluhuktjPS3lhXhg8qqTDi0YgyWxURgTvkrc/ps7JbNqQer/5+UlexLxJ8oGfRCAGzm/Dy
dV/lqQIcNhubwItyAQZRPJMQr4UZ2kmePHdZn3txmxiJfQRDbm+ZhaYwwJHafOaOgF+0fho2D3jr
zIeusQgyPLlNpLJN2sACskZmNLvGq2NGqaikOBosBnE5UrFJCL3cOjMJP7BroC925h7fHLLZGDJn
9dC7p5kUgcafGSfiCaM2DLz6NB4C1HzQCQhayoQ/EOmGL4xDDSGwV8sOmI+6bk3dboPJ4iB2aZEE
3ObMbtUXn/jF9JufivYbejtjNM8GOo9C3KMTEVunS9yK2agbui81QzgLEIU8AmaUhI+Vfc2NarIQ
HWFONGZi+aW5afLsDgpvQ7o8sUQEJIw3LY50AaIaSMm5yqr1VGeIbw2BvJvqhcGqTqx3QnxHBvFH
JLW6dE5vgXhqOeHnfhOXJPB00dHzOtdCSsbdXhkoQ/Z6qROpnMN/PyDjbbYzdqFvlVHnnw1sxU3S
dYAGgkbCp+w8suPZwmHnw+X1xbE1uzGwzCg/pkWSir1V9p/i1Bq61VxZ9u3irGMTH1RHmEJYOix3
q9gWytaoyQjvcbncde6Y9U7MQt2VMCgQJ2akzFoidINCemMfYNhOXrSI5BiMRjusvcwpDwMo2znp
wtQImENaV46XzscynPUAR7IJgU78xmdMtx6N4LbPo7MTIwha95Zzpbtu+4JSIfwUN7GPy8g87OrU
tDYZ6VDHXrj1Y9rOZ/gB9t2ysm9C0eprVzcJB5LiemYAG4ATdKTvkfbgkaVFBp1Z698qPJNuKjuL
XqI6mU+NtLAXGbJ83+YOPXniRLs0HbJdmLQYrMi6/WKMmKkwAvfvI0tD+Gx6xhUDmafZ0MmwTiVm
6qFzlc2DfVUnUiNnpB2fbQmIQyFAXKtKTOMVEgsO4f00VxGGe7p5QVzWE4PSmt8016Pf7Lgb22wm
YKzv8s94A/irJkFzvdYQc/lBNjjWfW3CcSejcKg+W94UPdipFelBBdzze1dgBFr6bcvvqLUDggZj
ZVKaBWBy+WHUneqYUWZjEZqmEJBStTXLyNsrGxuZkSmFF8AKS7edHZEj5/ZdchJ+3D8A6mSrnPvz
0EI5ZFlXF0JWoT/F2srOQn+v0foSMwh0cPQQHNE4WLn3hfyi+NbPvYTE4Kr84ia6T/oURD/C8yBw
bqbKglqgC8Yi6aUrGu8wmYNaZ6zue8HMtwjEOBl7vzfD1djNj55OdNykbHjtriuTc5oP7OzIEj6h
tkBZHvfaWo2CtHYFRf3V9kZ/bRIffyF8O1lZbjOiNkKvbptpdW0gUGph1qnPjM2HzWCY3TeKfG2V
QcQjFCtud8oy0GSUc3Ezi8S/GZij3E7EZmxFHnW3RtPUJ9xh9HtXNHO2aiV2l9uqaqMNURv6m4cO
fG1h9HsBcqvQKozoCeK0h4ouuugbgaP6vhxK99U0IAdhddr4WMeOIPjdNDgBGNqIjISd3xtJfXK9
wbk25BwROaqZWyuii4ikX5+80Y6PFXmtt5I8l3Un9YE768fTVzKeunvce2S6ojSFEkeKhKQ+WxJz
lHQCwaDwMJPZ2a8sQ36FBGluhKp8cFOjusZCLV0BhTdXc1mNdzmRaoiG/Ws54PQVuBMRp6BcCC5i
Xci1MGT6KW8HYEAsHK7d2pvu9VG02OHD6LtYsCb2g9epQ6VCtG/Me5ZMqkS/aYY6ey78Sj4DMje3
JWwksLswOfUUquTaevMjkVwTlWaV7oh3nEg5panUMR5g9s+3rZDhGXp3oMwlqC1y+0cLwvJE1m5b
rrXEhtxu08VJPdZvZesyuHO9sDqWOPJ3Kwj1E8meU5GtkgaojNba5D5244ul6FnsIXbIYi6GeJXK
cD6KRDifMQnVtVUVlslt1MXjykl1/3ma7XavWzMHvQf7eJl4tMnWSdA1MlesHyDCwRfR7AY6UBR6
iUXmmbrqJVFAbc0I7A9Pqv8Ux78sjoUPfPOT4jj5jBvdW/l3pIhjd/mhP6tjD2QHIyigTiKB3jW/
/1Md+/pvlk6CBo7WlKigSNThf1XH3m+4tUGNdhgl65gg8Av/qo7Fb8TN4iGLHRMMA3rdf1Mdf/Q+
NLCFM02wKBAr/MYo1L8vjtF+QbfLW6ALxg6dXA1Rkah9Yy8TxVgvMcmp4okwsjQT2viYKBxrGTXH
NSMUv7bfyPwtDXZRHT9HcqJTZ8YsGhNkKz1FhkQQBhElA+0pW1jcf7vT/8BeXz7Z36gCVPJ8YJIz
mLSj3KcB+f6Te20/5pivNCdGsOoi4pLDY2SEMQ2uDgw8ITH7+QU5cn+4JL7V+HPSsHgOT/NDJ6El
OYdfX0Unx/Gvqs4lkjEfaIJ2uKnRHAeZ1OReNDrsolH61Jy9NbjW3nf6IdzaESF2h9CFvR7M6KVg
QToh+IPRkaXqlQkM0Krs1W28TFdygy55Z4VldUrbxQU8SkqITSJb9HOykcW8skm4YKIwltxrzRnU
JZ+huRhitt+6sqboTKXHpfw4HKJN44ZpsR5tUngC8mVR7tG+I/MrgMD6Lb480/XkwB9vIHnL1Wjm
9ltjwgiecEjEgrwjRrXxqoxs1yiZog2j1jHaiOWT67GVQy+NI+NBMEycg8Rt+W5EuMlXLaZMjpyR
j6GMxFNkgxv1qzGMZI45lSHjGxUXfCJ/ss3DNItYPTYIErDlklS3D0bK6YL1BDDrGcM2V9s67uTU
Lwajm/jYNS3rL2rzmVKY+KzL3JSMZ8zcUM+1J5T2iZOQO5e0GPNDOaxUdaB1Qg8wEPswE/MG/yLI
64H/WvcZn47AY+j1aubMCzQiwOJlVN46QUXMK6cDjMkEtBAtYzpG4VM/Of7T0Df8OBNI0hpl4tzF
DmR1VHOSm5RMqMACx+o6ik446fXemvWi4FTIzH5lJya3JdFyphrKhptyTxnHY+U8NMQJi5w8Ps7L
I3GXm+MTzsfzI9vu5EttEtBdOw3YFBzrOkZFf6fRnhLXrnh5Fz6Wx5A9EXjxNhMvYQ6ZGEE91pPu
uhqMfAOTOlrnthQLk1BND3CUurNm+yTYFylpq0w2eqjQaWdfT1PkPGmDK87jUOe3ROhGb0g1k32l
oSRcJUbpvpVRNjzXpk4BKDjeT/EIv2kYh86jQsFZdVUQ0T7hCODYsDcq13/ScMnr7oxk1py1Pbgs
G1LuuL1jUjjNjQ5QhOeKjUEBHkG9NAWyaMuLZ3OdsiKNz2OheHb06tb4bUqxE3jlj0X6rVajuiSF
zrjSwacEUTBrpGVa1q/iykdZaixPPs806hUtHHm2UDBywHG3ql+5M7xcLvnv8y6rqzHctrpWty9t
aKsLQhpeBG12ucGJURvOLmPqdLLhPtdBiHvAPhpSGBZpaKhbImnkvicjU12ZpMlHBEH3XMUhuWHG
TbjV/A3CHu6L6y+UvH6RxpZxZjQP2Txr2pPWu7O86oxGa24nBat0m6PsGx/nYpz8x8RCuXeh3IZq
BMET44HBNA/zgNNLME8F97JBdZCslD4yJPb9iBtRw+3bo69HZWOxq5DDKhEGrd4XcqY0Hhw51rzH
zrC8FPTc/BY1QrBhM68MNIkamollPuC8qNzrjZs0ZBTM6F5k1WfXHMU5pg+L4BIXXFPLImTCbhg1
6adGNNB3AlKDuy9m6HXZc8MOIWJI8bPd3FTgxQ76ZBS7/sbNiVbeGBneUgE8q/TYSpdn3uWNOKcd
OpVnrw9l9tV2SwMNrjXJiNxjfTCMm4LzZ5bMAGHgHMLS8IgbrypH1w+xYeK6AP4y44WOryUijJlp
cBJ55xL7mRd76MMlk/nexSB1XImi6h+R0WgMOKgJWRgteEcUH8zcD1HIEKQYFAnOU7huYL4Qu4W9
19rRWfwkU6klzyi5+3Zr1bZTptAep7Bkk6kOde3pTy2uCyuz0D9pJTrmrmSUm00lKcbxqLy9yMiS
zNvQ/aoigssYFJQ3BPZd9WjKJ2D/Rt0RgRV9ss2h3BQcUmt4uubFk2H5SVhxsTWQAoc4qxeE1XVu
c+tHpEa7dUacsUEy7DWK8fzRSFsXpXfbbWe0l4HGpGNVErO8GRCj3wz5XFzZ0PY3PbyPO7b1+lPq
9/H9YOW3o6urdNdI4jTlRD2tpxXuAkmV3EetkzOGsNpo24A/X+HzLtZ5JudjrvnZlmlZEjAoKBda
iMu2N5jVA4dO/VLaRR2vAYFK+mm9eo4dZ7m1pB4GRGVRyTpur861A/U6SoaC0F+3/ZY0brMGTLH2
xmKSPcJvOpNA7FrrWLdLclsnyoF12xjDSbZFtfNyORGFk5vVYYlG3ka2uENnWu90/I3WpDjWL9Ab
6pFTanAOJcqRYTMVbn+WnRXe+zVlu9bO2dbWsD/DKGL2MFdynLMWd/LEhj0BpJTTYdSEj0NYNm6m
tiGRmGZ8Jfsphb3SOg9DMsxfdD1PT77ngxGAQv0qRHAZ631fEmEPzV+CzYhEsY+mL7IqTC/NIR+o
rm72WYkeRR9NDiFLgwoCLbw6hbzl+5/XRR/EihRirrs41yCMJFYQ8/LvCzErnGM3Hm3/iFi9fkUv
xMZQdwY1xs+vw3j0h28HvRareao9xnEfqq8hRs7S+lF4tLKlwnD1hj174YTZKmTD+PcXW+Bsbie2
0D/4NAneYS2iCDy+exlUC3enheux0pLe3/z8Uj8Wsh5Jetw3D/4E9fyHQlZGvltrQAxH05nEuVw4
ITbOgjAKu+rUurAo//X1GDAD4hM3DM7+0UIQu3Ve27ywj7OKw6c/jqCSxMIE/XxLNdImpLP94nYu
5NfvVyZfbnFJNExQjh+K9amIrM5vOusI44rqiqRAih82VE7gUhmcgRZySnOlFQN/1rWU4+PnX/rH
RerZgN44NeIHadgfXfyq0pK6yuGU9j2I9ThCK1Fi/FUIxj9eBcMy33EYwP/AAc5DYyzB+JwjrTwh
dwlUIdf7pUHgP12FhpK5CbRtXrzlZv9toOF0piFtje+CxMJbOwn8Kuhf/49lwkDaRH9Mt7OIkb+/
SiYLCRkHM0sjhMyGrRyLYpiQAW+msBPnrlbD/IuW7sf9iz2d3YSvZZn86cMXK5MhnMbcsY5aFTov
AuLXcdYHSpEeG9pNCd8OY4J2Zon8fHH8uLMwvPJNdJ867vo/vBGEiiT6XNsG2lfe7rBin+ycwVvP
KQzHn1/qH74iiwOeBzW4S8v/YbN00bVxqcKAnbXwgQpRnWYMEl5ziwWTLR2cWlbNzy/6T98PcNfD
9Jt5mv3ReHWAM2rGviOOuSOJfS0s85DrXryj0fnlm/5uKP/9q+6DTtiYl7u+u8STfr9uqthrPJ39
5Dg3LYSuVBQ2A2BXzy/1MDdn5vhoEsOJMlmN1HUjtVZ7HiT6qa0FhZvmorLfoLG2X7BUNak6Z6bg
t0D/9a8yMH7ceCF1my5pscSZAtAs79nf3qMSV64E0RArvDC5UBJCAUyVxnlJfAlLLfUp63/+JMSP
7+6SX0Jdafro3r2PQUMRGLMRcsYdNU+j1lWeSf9AzifapkZwZMZ1uKz3NBFn2efyFRrcLNZm4quL
bA2ZkwHez3JLlQRPDHZ3vP75B/yne8JO+Z44ybP7aD6qSxTrg8dbX8weRbdup59EpJlHIqzKBF4d
BiI/v+APaxPK0/I2AOWwRK2PF5RJuxT903wcrNB6a2HQp8EkS5apqunG//3FwI1MHYCGrebj2vRm
wyd1wZ+OCmf927REe4sSgC7H1mu6pJ9f7IdHzTfzFtd0HW8KtrMPr3qRaaJuQ306OiFALeVrx8ri
RaRL/PmFjA8TboO8BdNZigebL0f2woeFnGMCpZzaHakgmri91enh+pXmtR3m7Hhct6c6HUBCrAgS
cTzGBSnINQPaQObLMchw9BInGTiBxlTcXLUCYvvsNs1e1xygLFAvc6sTYUZ7LjOa49GIptuuROhY
/NuN+D3gh4gFzjUTUvqHUghKDXyRom2PxoyPwUju4gkmfbKL9OlfV11cijVgwUoA0vsh+QMJltEN
Cnpxg1sjlN2U708uhr+BAladrFL9Ej9cTq+/bYwWx5rrwdXjn1ii/fCUGPyYQja2dXSksr6S9TIc
Gyv0n94BEcdtQXXknNuPlVLGL14y4+MSsbgyJqoOJDHdQPi7kDT+vtdZedglFmEHR4HivJgRiXoO
E8gJjZqJX57CwQsxUYbtUdViu+RHFW+g2UTJ3ugmdAWEz08XvS9AEedswWskQaM0Fj1OdcE7S7cp
II6hNhXJrdtNWslvGhN772tRlgJceiauVExXn3Du5bjTOAx2U9eI+jg0E3Nww2nVrT0qoLE2zMD9
MBTjoE/kEC0OtKORXRNGj7ukLrLibgRtgK7XaUzVEueWeDgNpphbZgh0O3Tguos8+QpYWi9XrWv3
fhBbTX3VZRYqbjcnZWNdYbJMAz0nR3Q1YgXp3mbQ0otYoo7vJeG+YN/6gCWAOadlxTtDYuGM7Ejk
4svYeBmguIYGZ+WregFDEePGt8Ok+LOrybk6OBUQ5Q4TAYzWia6iKyrlzH+dpftn8Tlk+Ndt/Xyp
a2TNuxaXuY0xSdkiwM5E1NC4T43y3xkI6lKruYhvTXykqqsskkN315otD8SAXoB7lijq7FLNOudF
03dCbglTUJeMfMSryHGq7OLWov2iWp1vgezanr+aUBCs60aKBYoacx4z8hJ+kK9uv9nIJOf7hYDi
Y0yYWlfDIiwG0UD/jbUURJWtU6OBYiY6gVzhuQQQ7hWTY24GM+Q34oIWit9ReJcHqdJeu1dVwqVl
NnNq+XrJlDCIc1imN+U42N1FwO9r1xnLJb6lX0UlIyYXua+mQcoehqZ1meJ3g7aa6xKZimMs8SFz
xAoqy4FGwnDHxL2yhlCMhxhhSci5KobkXDU5mBbz03beqZweFjMpH5Qx6nXVPIjSbnK0PjYLDH9p
xzhrScPZ8F4HgNmz+hDNADXETgVuJhwXGR0h4Ipw7Hmq1DfcpsJbJHHq9g8Izs57PowZYxFjpYb9
loRxHG7avsXE64/XyjHYW/SF2T66+M+8lWQdNYDzZBwKJeJkD9oLNm90Ftt449isIuk5dGZxbnNf
jXbBzM207X+fEgxXtioBh/9jNEMq8Ftom0shEVnUdl7lWm+FSBcktgGeD2ryjvZK6CDw78efi/Fr
cxuDXblXNtxaTBz1hJk9ulm9PRUYmeDUWmtMGvLJ4sZamB+Z29Q3ouSuLSUfROhgJ9s6N9pLOWMm
+KlXrqkhxHftLLt4la/6a1vlGObAH8aKFeub6aunMcnYpJ40rLtJ1KDA8URtjHWlGN2C85gxQFwF
MXAFa8VimpPxBnem+0xhDvM4sOF11maQJwPmbEEYzgXYvJbb6RGyEWj9lANKoj0pZw9IAlfXIxwB
BdQGQt55AGRzP6TjHyf+f+akv5yTcqr8rWb5wUz5OmmxYmwZTSffj0rff+6vUSlDT51CUHBAMfIE
ovjfUSlDT8uyze/cv6gk/5yJmvpvzELBM3xspBb35H9lnux4H4pgACYb52SBChmmPj3Th8otcfFj
zAjHOxS44l27EcI7VFW8jHNBm213SJE6uVhPMaWjXBWoj6xgWMycKquaHmdsKWTA7AHyW5URKBb4
AhfGVbbMBjAqxDmImLjXuc6a2cDxIOnnU5i4U78p29pAPNbhD+TC5+BTsotNMdk753fPHxwHOB8l
eeLbJjZ9ZnwUhhcGQi4mGkhsvHFkG1qEgu/WQjh3hMfKVrz3TolWjI+JXBcqYP1GqPUMRQqDm7Jn
I5qAKUXgxJZW1vt8qqO+uRfh3GtHT8WjCCYNbOfLEJmRsx19VzOe9CGMkk3RR6pJgyzW7NdY96eK
gePod/Gp6kyO/MXLtB5vpYEnMDRKb4zOmBHH3rYiWDG6jJHuUFlmBUTfJCp0bwvLq9PXWsxM/CCs
5f+MUB66L6rJ6nLnSJ06Gp0xhKlpIRHBz2KQJaB1mN4KwxxBBm9QOKHuMiUto9+LeYpuBneqNhWi
uwRdwQSTGkKZ9wIPsNM2pRjhAJYSQxhnxpdxVMuZjxoolcPZ9VK9XaFWMPcw1cQdBlvVegzD4YWM
OEDcfFc0xeKi4XGA+Nu6GbyUdAxHnppi3EpLQqJhqsOCqV2cHvqkWmkTnseDM6nHrLazFz2eMoJ0
y3hlMnBbdUlmf9VKlV6o3RVGjEqusUb0tzGiy0OHGOUVQ4wM8mpcrRO3KQ+JX6JlCPM9RW5+ifM0
uxsUADwIG9HN5SjxpxqdY1uVB+VPD2gVyZvTfL/9HQPR8FIgGl4rBGiHjLiBjT4iRKBTb/HRsooV
g9j8sRpQNkpNxLtIVf5nBxOXPGgIKr8dGOK9RQO5VCsoAfrZn7yFJ5gK7Ygsl5+aoBfeNYvVxIj9
0JNp5A+pVhuvDnL8aIWa/XNiOOLJwY51ma5aW0w0rEOUFUNAiYzK2By/hrDV3mb8lzd+XcHDGeKo
e2vmFg9QDjIRj1aQ1eNpsGL7Js/afGsOmFIiSw6rfcMReGDs51zjbSNeldFjx+KWWO0YY3fw0wyZ
pTX5TOmr9qFlrn9jYiW7z8zCPOGJpc7My+Z9EdX2XV3H4oxoO32RZZy+8kTznVK9ecKPO9/3ZYmi
fbbyz3XUOeEqxCv1mDTmfCvtbrjCI9xbMxcT6GRqz71MaccRp2km2wrea9fe1Jh3/oxncjDySuxz
1YRagLd5ciwx7bjpvZ6I9cZMnine0NmZ06hf44edXHdxJh/6rB/vyXSoj8xmy42Gf9wrQT7pUzM4
3amzKyIfVO+mR312Z2Mriri4BSkND4S7jDuiISK6Ad/bNnKwv9lDI3e0MtOzShFqRr52KLO6QFMe
XjPwRBHfx3ow+gxyRRkdDChjkw3rOPTNoM6s/ktfjhQnGeGzOj12UNqYfwrRYt6QlO7WiPGTnZUj
f8dqoj/pcky2uTUlK6e0xru0srHFISVuXzW9eQcYOL30VTJ/hrcw3HFDwhtF/fk8u5NYYRlbrHlP
unVVqBTvICvd1VbqSGSVVfZIQFlORyB4W7QlmcvN6i/4pnQ7yMHwk1WomxvlqIWQ23S3WNaVxmqg
esUpboiR9drGt9mIfQ1uWIgESZ+qtQ8nAZnycB2HxW09dP7ZqIzoBYfKfDfbvtzisEDhg7hSv4ar
pV/7Xeaftaow7iY19BwUBCBfVZXId36ubnLZ1+gleFEBpSNrPaMPh0s3QmtLKP6PdYUBATOIZMXN
KK97NDhw5tlqyryE8UGpY0hL3DtTYWPU22khnEFn+szEXTV8aa9Jgr5N0307tfL3zCHMg0rtyFkC
xCkr41PKpOGQtzaYEhGAD6JJ20vkdu6Zjo+5IN4MtENTJh/bsvfPynbn66GttbcajiQnmhgveVJJ
fHhhw1+VGEx/wXIgnVa0Jva+LO3xqEXFsAtbMZyHrjGP+BAsUz4pn0bbbm+Vjc5qwoFoZ0LRvuNk
q18dv69+97rS/TbRYuSB07XQK/zoy5ipdBG/Eh3b1UQBev1pUq29doXerbSKz7nytVZDw5alY6C3
+fBWF57I4VPAZsGKRaMyjC35RLRit6lcJrJEDiXhynbS7Ftp0fUQWiSfvah0nI1VRcXvZhR5SIZU
eN2L0DsNHra/uZqbQ+x7sEgzxMyobTlPcqvLz52l+zepV7QoeaZu0xMqSm611l2HHdVtamX2ecxd
iCVD2T97OHIGRk1K0qrFRBAjRnP8b/bObDluI+vWr3JeAI7EDEScOBeFmjlPEqkbBEXJmIdMIDE9
/flA2d2S/Lf8970v2hEdNllksQDsXHutb+m7NumCy8UI56/Cxp+/CTV+ww1mxgRDem88pqnrvciM
LuCpoER7pd7mQAnHnp7cZYlpwIPfTVK6tq9p96q5LZF9LQJc8Zs8doODTxRq/UyMmR1ZoYH7x6TB
dmr84LVAlN6LzH5l79VcGUntPgRJ0jHcT/blSDEBt8HZuuXILCJQNVfrH5B9n20ell5Hw1xnK5DR
utJBn58Sq7E3mM6b2yax7Cc/6Ifd5BvlXkpgyIaX19gSOCaiQJA8Ase8NRq7xQAkujs4b85bn6qS
8EDfLls9DuGD6ebtvkb/3AtOMY9unKdOVBmtc1vEkvyvNUzhXZmAdUMsaqJR2JdBrPC+ehVMcSnM
q97xpnPYW8GOU6b8murM6iF4jOEx7qV/xMnVRl3ZzQC85+62XcqW6udWHuE2WccJYlxE1teIxhGH
/CE2lf+RWcB6nOwwn/FvgHUJKkO/VBBJ93HRPruy9HdGHt7ZFqwMfj9BwQFzSne0uOVB8O/zlGC1
Mk5ebXXYqhxPxTy05fKWtaqS0M7j8Wzpaes2PN5oziTgnTjdvsoL9zZmNt2blK1eaIL1+X4MlJ9v
bbkwf0zchK9tQDpbHMQfKIypbnDiOG2EQ9458Lyr94ODHx7/0Lw3MtM/ks8IbnwT1AKciOyFAc3r
2HIHDCBzfNRtHkcJSAZrgzHZLE5uCZ+aTzZ2gKbFyqqcKactQTSMr0OHT8EoxnsPMvhmXOzx5IkZ
FwPZba4T5Ek+HKH/hcE33TlOYR0KEIJXrA0ZpicmVQpJLDE+DKJMnkTRlE+OxQzoJN3iRC7Aq5u2
6MOLpfCYVhI3PgHbAw6dYD/EfdfwBNsEQ3zK9KCWLSaK/Jz3YUhDx2BmmhEzbI6VtJLuq13lfkcC
rkBDD+g/kvBGB5BHnA3V2S1TCUm6s68cR83XoVTmNiyyJOoTOZ3Telx2CYP/8+IFF7njPSYeUB1t
ZddsFEx+S+dcFb75CYyuRT6SmjNY1mhKfsVOi9jtaTZ8iOn4t7dSE55v7eVVpQATfeMuoPQDy97g
bUvscJtOgl9oemJ4gl4mvORlNHFEuMhKs9qVFLPyZ7H3YHSdKOxCvbVLhhujzABCZPYVPMYXs3NQ
dYaeRGpRlNuiCBRYuJI3phpD8CggAwIs/Rt0gvqcpNLe1zrYp0k9n2Hz3qSzY32wFUaVKJiaKsIo
rfYmG1byPBMeukLb26WZe4IeFavOadwsWW6/zIioB1oqWgg4wSEEr34zeWkREXFCZeHj92rQlodr
L37EgegdWyOez67Viau0KrPtkIwOFHnFY65Ls1PW+hguun6J0NPdaHb0uGmbPrmucc+RUcnnG1fw
y+VBSdyxrzgnEOmMUMS7v9Gnf5ZwMepakKbJkOGYDTgf/qiiprEzl5kOslNOQS0j3ATZVC0Bd2kX
XtGDI2r5Rh8aKAdF5czfrGZ+2pSsLmHLo4F43cgSZ1tNxt9LuEtWK29e2uyEq169LbmC15CV6U1Q
hMX9d6fz22+i9Pdk6J9WF+tLwV/if+vp96+WhExmuYc1k5dqLRB2XCMzTrA5ab7++nX+Uoe1vhAS
/FpwhhXa+5n3VTTz7KjCT066jec9q0Pn5BG2hSub9bckIFjQDGEqMv7o1WvrJ5yoxwUciEGmbSU/
p/x0v/6R/vonZiHIPsqnAI4z7c/lkVr0QdpzykCzrJcrbHPzwc5XB6tTkrXeiiRVb5Me+DubcIzf
X/sf/ejv9aP1k/Ernz0tTKwSfhKP1i/6UzwiTxr+SVywuHT+iKCG7m+A+DDS8yn+t71eULaFL1tY
IAO5ntbv86eURGJVsIX0+Q9EsHIa/ht7PQ/6H5c+LHt4dnER4dLASuT+TIVTwA+klgleXkLjclOW
4Bj7jYNNdN60njO8iKTysd66zX3WzvX1QkHfRgZYWKM61PnOJOb0kPc0OeyUNRU3KQNWsfEMvIWh
rw4kkexzX2vqiYYMCq4bsFHmuggd2FpYpvdz6qYXQzk2lyIJQRU0VnnZIp3c+o0dHCoRpoeYcOLB
oRekj5LKgLfHreywZKk6FahLV7pjTF+WjnCWrdnYbKoRXJo/NeOnAlYkz0yMnpENLfKQGxa5HMi1
9zT6OhAOjHE6afG5KJbm1S9KioYKO2Y2nIKexz+7kHHwpn0RT97NGE9E7slb0jS8cuZO5hw7x0JZ
xtvIg/13vyUzZed1cIKMoL4mkxVL6GQtOdK01StFR907nTOe88IXrE14KkB+z62vuWggDbg4bwmP
25KpL/GuE1EnF127GG+csBWzZtsg/C+yPs2ZfB4QXu4VQxvE9sJ/Stu+fwjDHjYVJHn1eXVPPyuD
m1OkXco20DNyjdQuHL4P9RiCBdnGEhknBTcs/IhtnXqVbIY0osf4kbu8xZtcl5/LrO+P4ZL1e5MT
2NtC0ucyE+rGWBL3XKi+Pat4WS5gmlPF6fprpUjQWVvlZXPKMVMTP+QAWjyHWQhIg3dJ892oT0VG
s8uL2fTjSDWVxy86hfmGHIG+NDOXMCHdaIdJxuUjvqj0Y9FnPJtRBW2apEGs7wDgE43DGSFagK42
wTYglMVJKkdfaYeMKGQuYRdUVZFrSJfVypXMSGVjV9MHs9gMc3jJx9+z3NKMG9NqHahL1i9tnta3
GS7wjSNn/zJRzbKF9aY3lgqqq7Y38kvLsE3OkNUIWAoVg8QlE3DyIUa6oGaLc/Jnyl2oXUI/8w5+
SZatwdy8lrOyqSFtkWzBuJnXeGDDu4TUN+gDYwdKFxTUPGw9RXa0DIc32HXFSawRiDE3jHQ7dBpm
eZ1OF8vSex0bjr5+Cps8foZQnhjnWBJJ2xH2Nb/IUXR6k4pR3w8wleLdMBfmS49UW0dJLfWdqWv5
SbHUi8J2NF8LZUM4HOZ+vu/w1AZHKIhUMKmAaTSz5g4sio0OEfcwqDY6Nu0P9iDSCyJmzmfAs/Sd
o4TOSeQrpKY2qYNPOY0XV4U7zQJVrwgfl6FoDILfPswQJ6WIbctRsoHcXVevrLDCJ0Tnz4YY263X
KvvK1N781QUNwjGDpHG9i4O4fs4T3ZGOV3nv88eq1Uvv08q9gerbnoi49Wt6nVm7Rzu/XCHT27ZX
d2ifIRJKxvWshCsjQMfOLmC/GlUWGuwygJqZnDbbOmmod8vYAxBtTP/sim6FvqR5wPuAcNPQnZZv
lI2QDdtbHAYIc/cWqK9Dk4mCGp2wj50dmUvxYlEhDc2Gm+lgiRaId038mLNtW56S2ZbX9Iuxx6XL
s79XJON4Y/0qB3iRS1gsZk+fFGdlfYqhqgRQucb2EwIxdlkHw8RRCgymuEHm7sbplPHWuD4h7M7M
B86+s8HNZQGE13CyU4RSnWFvAP3/5I3z+FWW6fgyO7V5ZXN4q3b92AUz4cdZxVEY25JZOoyLLXCw
auulI3wMyxityBTtQ1J0LeHmcLxQnqJRGeP01qv9s9POVD9QWH4XQhlmLM7iUw5Yh12vIw+TqB45
qOtDp5j6VyjbQOwGbzT++5l2xJ7kJqbH5cuCN77aDSbY8MbWyLxNOpB8EYStJ2GWg75wSunVfeSo
sc0+LkZChfjMgaAQzwEoIErQUsVWoodIO3f5TTwhT1ph7tHHRjZhMUt171FycO+ZfnLLbREMDLCt
E2P8B/A89b3EJ3OvzS6mTS3L4w8jLlAgxirQmxo99ryCrD8EtWdxk6JJ+J5kdX0r9FTdkv5CmEkq
iGhZ4WBLqLqoGSijyF2VcNvmaRdN1ZxdayvUexn4knNwV1XXeSj4cb3C2JtdSb6/w3HApc4CaWOq
zrsk+uLdLGQ9r1yX8PhGLX384ATKO1ExNz4m2mC/mw5x+tVeDOrojERXh96QDaaCOb4OQUg/LHzG
Twm/+BsR7eU0zso9kKYD3RjL5RMH86mJFmksx8Qs533uzCTWzV7vZA8iv+hd7kc6M5cLArv+KaXM
MKJe7VaWmriCtOybuCk7h5tsAT1siU/Uj1lXamqSBt6gQ39AoJvbhETKYX0/H1UzmZew8FDFHcM/
QD82bgrKJGzgEKN7V4ZL+iXuCe5kkzEahPonQnyu6KGTo6feWYUaD+EchqfB1N0HFTeQLU13OHI9
efMGK47a2K0fVvyJYMGx+57Fts+h3EXaDuXdaIuKBUtu06PAqg56dgawT5bOjS6q+Grxw+nU8WBk
BW2N16De3kSThW9mZ1vNxu1c+UzvRvpJjHFB04LRHnBKGfDgBm41fPxSHtJOabsRpQf+Phvy4pYe
jfETaLtxW/Sm92I1WXBjzTVXXrreNLFQWxlNV6O77JSyrOahnsNn8kpkRoY0SFuyAXLtiKJ9M0X6
HcOXDEbFA7ahTt56ioXm0fZJW20Wzyvgg+emFJcWRAeeY6FZC0moDBpAtNQh73yDZelByWQ7hTbM
Szv1/H0ben6UEnCJozwZ7xYq6/KL/r2qVPe0lrqt7Wav1nuZKdEk4e7UCAaOVBJlKot3ZVLsOPQH
qg0zoc98ZC1VnP2hRpt4JUD8wtgLyqcw6rd8mKwPYa/9R1Mm7Znw16Os/XlX2bI6+RJmh68HTB7N
dO+Vyws3wN9hVL/mvffi61F/JiTABOFQ7rDpXP3ih0Z+9PygvKX9ZTc6lXHJHwcThYKgW2Nl+d1e
XNLyfSsLBHZpB2Q6dFYeFVrAne2OxRxp2h7kplVhkjwGnla7arGWuxQBjeRLM7qVsfnn9PS/qd+y
cRFz7PjPp6ePc1NldfL94emPr/nj8MTa/TeBLdiHlGMJ7HCch/6F8DH5Vz5e1fUshK/334coKrtM
zGTvHjoPQysn6T8OUY74LQy5yAUnKC7HFcr+//7vD71Q3U///xdiBLEBV5gO/V+mhakY4N6Pukes
6XBF+xuvdfWFuCcumM/fvRv/g9rx8xnt5xf4SVhRk11W7cQLBLlH/S7ctfAV6nIWcr748uuXercO
fGcCROQAXMuBExGJ4PdfHKgz2BnK4x3zigYb7GntpjKwDHKDDSFqSvcT/QdJ8JbSadWLg6BXw1gg
97pECc7YWmVSfWm+QcwSLi9Onwd2jeIwB7X+mqFnZNWl/gbMESs8p/wG0mGPPV94YCPix1n2+3wF
73Qsam9z2UDjmfNY8vQnJolh6J3bQwzKYEQdBzvst25ZscZ+kHh+BhV5Tj34zZYfoiK35s0WnlZt
nTHyZU/zVOqLMl4RwMsALZpSZ8yjrJRhx23dyVuuWc+44ydOVtzj2A7Ru0HKMcIJ6tg3PLXa5QLB
NjUeRvIhDg03dOqEPLj7Iu+neB33sz/8x/9oLn+judi2WGWS/3zXePxa11+77uvXH+4b377qT9EF
W46LUPauh/LN/tRcxG/4TFFIrWB11vLPf900bO83SgcETm9KA00olVxrfyovzm/cZYh+cLNx/2vl
xfFXR+t3Vxp+cjoNVgET9he1fT+nZHyW6gaxtBp4c9GZ7WFApsiHHYgVFtR0VQaU4xA3G8nZznNU
EdneAhixDz4Rw6OsCCxSc0Srs+WSfe4kOv9UiGLnZYKtbOJ10I+VDRTPm54BFUq5nbE1vYZJbZ6s
VlCIFrpjRC7e2aGvsBZv+9Ngd8nB5Va99YJCRjSHpRHHTX2Y6V7ZkMRyms0STt3eTaHqlHVQQESc
m2enlbgE8bWdNERE9nTeXne+vxVAhKMhz4COqzg41nNWPlopNHjqHBxMcsQemufU1PLAUWo5dwO9
gpAuPe9zHPhtupmqFoRLpZLkqlFz/8RVRu1evoh7IqfWti79O1o8wyvWK3IbVEnyCY4N2GW7GI4L
AwX9nhKeUS7UAcAA/T0ZOwoOcXdN21BfXbPuBekyr14786b2Q6DIBQutqbg1Ao4Qfgy7x5zHYFdy
XN1o7n8PaoUtjdIRkVgch3l26k4YNw2aGxaT5F9qUCVWtzhS5RKlRr7Qji2aK+mRQdwBPFjRbqN+
BILl7CzTRWOIK/fgtCbpWMn4KJZuuWsHq7sCxBBvCm09elM1vc2F9nbdSLF07Bfd3YIzdzPOXrn3
dMPxs53meyfL/c86nqK2nj8x7HYHs7Xzox4S62BbYfxhgO2+h3zo0VMDWO5Kz1Z+lbj0tpagIUk8
Tz3p/6octlkaBMeOJdleelYGPmOFxQC5WLGhuGtmFX5m+zH+npD33i+ingJ2SFW947px7px57MrL
OW+faFLNn9jLzK+GRwphUyMyXhlNMVwEBpbiphL8kbMQwHxLAdMG32mwTZciOMfscW5sc2iuytF8
wizbsg21HXnkSFHckQjA9wUj/MaqVHjhADaYEM+cXEWZaVT+URs6m/eqA0+FJOMUVP7qaTx72NLy
2hrCzTIpe0/jQRBZzKM0RDVWdZw168l6CZkxLQcic1RaGvfwyEpsm0vUm87kgTBZS3VrGBjHXYnn
EynlSnnWa1NKP76UdjmlFziwP3qcc+8r1smxEZjGqcu0E1uHsrcR7DZDONbhG0VhMtuhAS1QMico
c5pU+FueUuJ5mWHbM2yve0rr2LnlIJoqvSsL/9GJO2QeBRmdQ3B4HhvfopIn7sp5Swy4vW8no8I3
CsMzObYOFNMnqxwdFAo2UHWfbmvPb/wzBLigM7aVm4Pz4kbJ+14NsNAhU9XeWnQci5clldQwitZI
rtHCKv8jmxhLql2HD/iunkIdf+G53AGKwPTAHQ7UkmM4O6GbBz65brEJwopFWKgcs4imoSR3L/ow
/ww4bDaOVBlQGOk2JUc9zBIsfL+hKmISz87VmFThB3Z/7mtBTJRPisCOdzLTHoN3LfEQwu92vsyO
3RcHK55AV2Cc87H0GxlLUyruCOvXbsFL0q6hvA3wOPPRTgBYRHiweG/RmiCM479KNn0RY3e2wtWV
WyVsBzcDrjV8CsFsNV40a5na/UVRjq7YNs1AS68/+cmOYmLvZlrlYXcViglOU1pGC11Pr44Zz4/l
qkID7O3U++KXZvQqHAGxoFjXoSOp/Ai57ic33rrv0ralbUx+ppUean8IDs2qgdeI4cu7LK5Mt7mc
Vq08blt/34w9Ajp8CxouSOojrOtVY+9zzzoHyO7uqr9zrSLFUy6Z7VTS2Mae7Tn0rpLeF8+iwCvC
TWasUn197adwu4LB9+j3k8OL+y7/W3Z4MdvI9eW6YC4mJzn0ql+Abyy6BA7fLfMbMfvPPKPUNWs0
nJd+TC35kAGKtYQUD8lixntcPcGTy4r8jtqWmIdDTUlD4nc3TR8YkGFncR5qEb+hn7q3RNu3HYVn
J26d8ZHxTDyzqs62HXvalwH3drPpY6tFIZbThY9f7MpxqY9n7w3PfJzzT8jB5hkOHaUkybTvjdqB
wieWPOrt1ARSO0DTy+d4ufVCmHDYBg5dWbdPADb60+wN+rBasg/uULmSaOA4Rktn0EUAofiGNSFj
opqsgIYBbvGstt0teiVHeV7/YQodGO9mRrEF+LHbdk5gfi1psaO6MDl4/AJ7bBHUrJmAH7k1Ls6z
DW+MZ6Ebtq9DYPVXMCDMr4O2GhIOi72DV2kePXpiPsJso5cmbJItEYlkn2Nk3qkaV08hRvlBcx1e
adWrWxdx4DLwTewgaZ1fUseTHSBED9cFlSURxTXeEW7YJxk42eXspOnHGK/UdRybId+k85gE1iIQ
zaogIqsvrjuWrH2UceXfujllq6HlqddgLa/qvGJrT0uPf9JdOzGqwDtV7PjvCipbL0ywj5/HLuF8
PVViV8zsS1KRfIxVTe1IXQmGBx8d0JgpFkLZCTbCNJ6nOhY7R9Fy6GaZuLCNbnXLqkRuJ7qLto6Z
0qiKQvVkWLoPthroGAkfAr8hLeabbpg8GNJ4RKIlDGibrxOrj2QVrEKvKL55b8U3Ky7o7gFfXpy5
r9ZEc8LkpOxffJFzJ1CqQESqMcGm/oOt8iDhkcdRIEkfOw++6d370PrPfP83871FKvCXYN/rr5/V
a1e8fj/e//FFf4z37E7B3uO7X/0AfwDK/pQF3hUDAAleYLvhD7KAzQKVvGPgsXcl//s9ukz8NzKA
9TN+S+CKE+6qBLDAIx3u/CXmqA2013S4tKslHFKWich6EPAYXPK5vgQj5MxYVUmRpzi8VgGXdr/x
0V1V3W7Vd8sqQOqt+fGv1Kr/4s3ymHdXUbhf9WHrXSq2bGXsyYXpZ2dVktW7qDys+nLYB9k1H2gb
J84qP5Nhs3YtMeXInV37ul91aqJBci+GoEIIF/Vtv+rZ4bu0DTir+KDmcTyvOA69mVYVXND8+UGL
1CABRlbmvkR/uFdWjysaBZ2WKrT0VVX3qDi6R6xX9ysbZo/vDPk6pgzLGO3+XLQQbeH1FNHgmdPO
SSkb3WQ4tR91lk+vvl/JY9Y1MWbNhayQlG13S0g9/QgjX88RMMR2ayeDtQ9T33zwXZnec1zPd4Nw
BjiDDKCXigjeZSC7Jww6HC2A5/rAT6HhRsJul8e610UkzOlzMVHYvbE5cxEfHbJLmdU8JevW7T6B
MANfKvkbPpVFXl0H45DujT5dzqpaY1kpvOJtOQT+Gk2i0DCPjeyWwSE/GmVyMxZ5vvdzHkRL6uZR
x0nyKMYGFGpa60u6erLr1KxgCfVQkh7mVYcv2I5FPfuLm4AeyuOMl+XKl2K8BOY4H/Gj2K8MDM05
D83+wQvoPAHhaBQUWrc95PjUCk6Ui+qrBeV3L03f2IJUqe+MXtgP/ez0L9AEyt+RQMSjNehs6wFv
vqk617i2aXFNENefea/YUeElCW9lF1TPtsqGPZazelvjdCN6UJCnFa6xM2w1sVrsuht8j0QLp36K
Qo5yPCb54GCCxbX/tpadqYhxAbHWWGzoWFO5PgEho97V3SBwBoSyB9BQUSormmEfEOdmUHReB2sI
Lt7ZIsCp2mtHmUmka1HBTluAY3U8zOmCCqfdALj3suXsdSyTNjiKwSu/5nWS34oWD1tWJMtNgR2T
R70bG28BLoJqEyedST3USIn7Bh+Gvqgzz+f+labnDCb2BshVvl3TWc+ZWYmPilL3Sy8sxC51On2V
+S0L4aaVwx3NQ8sL7WAw3o133LubJY90xbg3ARERkM/JYVjx8Bn4ItaDcK0L14YeT0UUJHlzhcq7
jSTElkIQ23rv1PlurCHQZyuM3l6x9NYKqHffWfXBO7c+Bg2qN/gvqw/cRlqYrLj+6wTYPftOd5cZ
rbjy31n4BAAQ0ldAPn49eVOt0HyVgs/3VpB++c7U59qePnbvpP1phe6zO4C/364o/mWF8sPGrc56
YauH9LdS+we6voc9xd0CqBaMisj4xvjH8vmBSQN/se81Ma10UsbcSTJMsUvVfCnf+wL0Wh1gL2uL
ANkRGgXytVwgGTp6BnI4JTG4c+oH7PcmAmKstBKgVdBQ0K5lBdZaW6DeGwyS1lLUGZTfyg1M7Cxr
1wGtHLix9lBVOTDQu/peizAJ3YmH+FthQuJXbX/P8KeHY7MiQ+rz8k217IO8mpgqBqsYH9S7rElp
YAyLOvVLMbpPFQE86e+CFpbJ3tC6z7/MftuaBWEaUykeXIhX/8wBfzcHwC9Czv/POt/11/H/XH2d
srfmh0ng25f9a0GwPtUdYuPhyk5wBLLdvyYBnFf4EZHz/iCc/lvs89dRgB1ZAGwIMtX6wP5T7DN/
QxKhgBSLoS9wSP1XiT33J78i8h4v7wKqYQCHjur8xByRuVOSrGYiVxbKxKvTOBTQ1Y7fc14mw1ED
IR7VmM/HjEVXZZwaK21dFYWA5I6k1MWBc+T8RWGb5oYoWjeauI6Wi4nT/FepSn/L/cxTizzWfUJs
HvG6HGfnAXfqEmiwONqyYHqXxKsI9s4J98AdJL88DW9EZvSoaA0KmL1rvZ6m4we7VjH21JGo2wsx
1TJDIYNqSNY3bURdnTNcCdEU+CzZOSfNcOuSxS2m9JJFoWyDh9TyqSjLo3X7Yu3MyukB3GGqr0gx
obCau4CnWik+ZtLvaZqqWw4/VPeKqhYXGfF/jBhCvqUcnfe+bOdbzi01Q/085nypNxvLp7bmLPut
2/WfC/BvL0Cxrqx+dQEOr19+HMPt9y/58+Iz2c5x8dihYKTHTPjdxbfiUv5kBltcbcDfkN0d2mlJ
w/77amNVB/mHclp0d+t9Jv9p//arfRzLqh+ldeo0uJw9C58s7BZc2j8tzNLemYZatfaVH3c+BXmO
C2rdNLATLCWl8GmFGj61zRl5XpqbxpTDTixJt4PaUB601clLOqG19Qzqtbhu2OrgdppQDiKrlTy3
2WDNeKCc4ZnSHrXtk5kHegsxKAqHgHm07fN+i5+8Hg56nM17TVftSz3Ew82iQvTZwKhHygMWRaeR
JAeyzyqnOPrUzEfgWgf6avDVHDy4Dc2mTZkoI1quwbxzWobdOc++t08nsqpHbMuL3kLtFJ9zTTpk
U85F8UUS07jJEjQMpOZquoljIO1UOsX87lVbkegEw1r4p2ZWDr0Mpqatgocl/9Ze+Y9nsFYzwVBX
zicAp0geVTVPCK78gIBH4sWAOyHpP76zgra5C508uV/yYriRJbb33C/7LQgXyOBx12C5HJV/rMKy
llHuNEuCu6MnZBzoAly5owABXtmF9dS3be8vLelV0fTyGJtupg9VbCWIYtjXi2TvKxhYYguWVNUi
KupguqYnqarNCH68cXI6s9GQ9hNJsWkOP6iui10WlEbJtIM23Nn3Ay2OWLg8ZKDAzeJhui7k4IQQ
OstMhTj2E1XtmTuCZKNtdLokco00jylZmI09SH+zGyO3A27Gm0kJUH8JfnVgXyEFmupRdKMZX1gq
LeOtdLph/eDQarhMgCz2xpSPhDkqj9rEc99r3Ypr6tzz3lYb1XXDyMRTjNbYmc8JznFreWG6mWv1
hcLPvqo2LnfrMv5Hefj6v/EjsK8Of+lHWCeO42vVkt1QP2wX//jKP+57/rtLm1MYd7x1VfnHwOFb
v7muz21MBCuWDobhv2+BCBbcnIjFQ2185wX86xboWCs2nf+ceYRJAdP3f6NF/DRvoPuyjKPyCGg6
PwUiyI+WBMfwJjLkfPygQZPdXui7sLzkw3dPgf/BlsCv+OMCc30REEXQCPg9/4KK69HCW/aadIWy
7NpMfrdAmx38iJhtv/v1S/Fo+MtLrQMUe3bhM80xMH4fLWkqzkB5Yi/HacjY6pcZtSsWCFpzbc0o
IVcdK1PB2llcB6MCcfpfv/xf3k4cItD+cIyY7I3fl8Lfv7xVEqEZPYu4XT0+WqxCAjKBv36J9ZH0
wzZ4fQkXowxwOk7y3k8TolLGrEVsyqNrjo+Ta3+gwqaJNIMrZUTy669fDI7bX1+ODTcDKYCpgAYs
88c31E7YF9NF3R3JtVMcWlRmS1GxUZ0Ll+NfOThPTjxKdN1E9oIGkSavNhKLHu76QvHMQ6uhFcNK
OFbjkS1OwHhDwOXNEEqO/GWCHIu1o95YEsc5VSXhRiFj0btW2Z+tfDxwAuxJta4AeNUL68MMrX+F
D7Bwwy5mX6dSU2aSFvZWi3n6gANEXdJSM647Y18BO5dh9egR9ftIUXaDQ1kRx04a98btqer1XNas
g6NwyiTEsPRAiSoHxBjrtZZ4Cl25H/SynDjCXuncGPZ2Vf3u+OV9kzlvtDPd9YpN0egE1bkV06eE
KDcvkXs7Gi2qTWWz1S3aRR5YCBN+rs2t2+XjVyp75MnP05t29gxqjRqIZlald2hA3vU0IX6RXIzP
PNM++IYZn/M0Q5/u/BYT4QDryAgfJ8hK29nMczAUMnnsPYc9fYBwFQ4JqGesv9MYs9vOyniXAwe+
YpEX6RQkaQzG88JNhFfs6E/p5/UwnIQwGXI97TOQ5o+StdI2ZfiKrCDzL1sA8oJWBXYM+3pSynty
at/4mBaDuqFEk+8TwPl6bEy2tdha9JGREM1OKbBT4D1ZRFWS1sMSU6BFae4efyIfkUpiEG3o8c3H
2sR4rq09FhvxwWmKYEsV4xQZaWbpF50JicLDWu8SZnnymKW00NRZY25iMrHbVHorRiJbecWGii+p
uVd37UJjSqW6yzic7RfCpP2jo+3iuNZGXpmT7R2rms8CxsRsr/t6OtSV/ZLSE0RXWabZmvj2dHS6
LLwTBCIOrBTU1ZIYza1meWrhr7+CINFKTPGl2HMaky80eKJsQS5AT5xcqthDR18QfKUde0m924zE
QxzbUObi3jc3oZmQWS9SjLDux2lIzk4Vr3PmeNfOxVPO4oZwdW4cnKoeLkgVFmC1B1iOGuslsHfz
YNlYUvFbl8e56p2T23Z0hTZihTElbnNTzTw3+ETDKQQOn4g7O5bza4dZaSXGoy8nuXHB+Y9t/4SP
wisRarZ5BRqJFLK/lULyahR6NlwvwB2ixgJpGbcptEHsDi9B0ddRHCThIYnj8WKiMwk/pqbxBSLK
AfEu5trHFGk51KPiYUeLdClCt71yPC9Wal6uxtJ9nHshzcZNjlJJE7znp68kaj6GJgGhpO/FfUYq
4GgN9iefv6sRlMlD8R5M8Xmn7Ww5905DYDsu1Hrm7LcxrdtbGcBj95b8yuhke0c3TbmF/fUFRHoX
EHTAwRHEyXCKMUHvTEPcTbPe9xiRj7kB1aAh5XBYaComGe7JJzBTPibhbjS2rVTNnnWb/Yr1pKBJ
pMVjMe1lm9iPrtuGUW0WQExYyHa32mhtrLAiOGXVaB+EmSJuvpdCppq/kOu0y3VcFj1wibidnxoz
KC+5If1/9s5ruW4ky9qvMi8ABRIetzg4jt6JRjcIqijB20TCPf3/4ahqRqTqV03NdUdHVEV3k8Qx
QObOvdda33IUBOSjKbZfuhrJmuF7WjDiV9iQg43NRk8uIAHtEzYALFI63qt4Bc8XpaiuZOkdi8H4
nJdEWhgRU70Y96/VeeCTwNWFUa55l3GUf4uwz6DklltXGdar0q2G8wDyiIYBgR/YBc8eS4Jznc40
NhElFUenNLoDqtg8rMdlfK7pzUMO67iyjmN83hQOD1CwRr2AjtOKJzG2OlSfxbolbM7BxwuoUBRl
JoPaLtAkFUm/dbBX85w40xsHBrTd7QrTlRWKGzd7tBMbzb5POADt4QIiqTVZnAhYPQqP1FC1uNZF
YYKcRcS9DDSpPe2AAdLZtK37hytMphmDz/feRnZ29DLPfSjkJPZEk5XbzrDmjTvMZAHmFg0Hx08O
hNnU5/Wk7IONI+TaSUV+SDQUQt4KCk3nfTEnfPxDMn0WrFwhwU0evf65eDCBBmxQfJJ9ofW5cW+1
ztYh6++pJ57oCxP/5MrpnOVJVmYIcWRMg6zpuislmn6Xlxl3HpYUqMNFFxSgRUI2z+9VLg24al2+
I/hFMv6GczVkJmsGE23XOe9FyQEsNAqpftQV/+lq/GNXgxbDT1XRL5Ffa5F/9q2T3+YPbcX11/6q
8M1Pvk5eF04Z4Jw/xoh/Vfk2VT4LmosVczVoUhz/1eegdbg2IKD+UM697yp6n5iQM5Xk/6EhqDN7
/Bd9Dk4GH6o4H+UxYWIC8SDB9jwO76s41DhsccruDj7CFxNKgslshWTM/Byojn0OwrAd7mNbErKl
p4k6DmnV3yaNNpT7PBNEknTdUJQBKggSHiJlBpEiLMtoppiOQ2SltwSA6Ps1sCOIfbhqC86MqzgX
JAPgfoweJqOyn3nsXwsscTF/6mHg+bzvIVbfys5/wBgHgajiQBDUThHJlXKBsYz66VLRlKkCHmRx
Jx3iOPqm1599yBqAT7TUuKuqMT+TTOm3dekRv9Pwi6MDlc2y3emqnGq5knrFXbQY2raEWPJdGl2t
c4o3MfkPJTEoAE/wRllTTprYAGtmGaW/WSyZBacP6hRm3bnJV77/lBBHyW+PYmD2QvqDt6de9+tN
VqrjkmfWxjXJqgmkPeJvNBiGZAGKjtJ/GrKljTdV4enPbkkumtMMPkILn1wmrE0HTFYQTDXF1QXh
Z0GVkWoh096HJIPXiTmQ39kB5kqUhqPkgIPegBrYaGLtRSmTlJMeDkvgKFNcdJ709f1oi+JxzgvX
w2+lxHNXrkV0PhHJwq6RTNdeU2jfl2T0N5PZRmdoQJI3jcXyqmFosj+9Prm+Ku7sbg4QgHVHo+j5
MipwkxvXwfC00ztV7ZWahw3Q6IX6kQ8Zt1i/BfK0JqX1qcG2hU8vCVSf5+MF0r0kAeAi8gXFCmE6
u8SGl7M3l7XcyGgaBRXCv7PFqo9DZ7FL9tnAUpnGxnOj0VfciWb29D23CudJ1K/PvtfkZ5mSMuTq
KfER0k4x2Nn2PRSi4rEDpHSf4BF8bptEXqAG9B8ykqF3iWl0Tkghap7hPYvPoxYHaTY3yJjAOJ1z
ZE03Hpk69Mh7qveh5k1mCwNOezFktSd4isQuu+3HwPF7J4ALiB2lGue9Z0l/D1Ld/D46JrGfUVeW
NSgQKAVoVnFl7fxM75OrvKj5W74qmp1TOwYWOoteIb6ioavdbNtjpruLSn++TJcx35hsIeHS69Fl
6UA2g282ensBr33XFYn5WFD970uPsE88NwlAjqlPS28PjFve97X1bPeFuiht/Yl+2JxtVtg5AE61
aOBSAKqUcbT0BCY7zi71lggoJKBgkh+I0ohoxeKJ8bprWkv1jXSW8lYiOdyN80z+VmqJMxUzmBBG
G29LWGMoap1+a/jWckZOEcrfnOQilFG2+XnCyh7Y5UwkC/wvHlSsxIEFBGODxDblpsI0tauIM94a
dW9RzkYZQbWj1PZtY8pL/Fk4/TwzP2cSat+A4zRwQA3IbnRX6iSDgGfKAk/zKRGIHlXhOOnu84Cv
9zISIv5j7rKMzhD4rJmvfmnW0EDChkcEXHVCWndmOtVG53deF6hn1EJZB7E+rssW04COHG4cRLJV
yWCmWBOr5TPJTzrT0Da5GjgkkPHf1BCh7HlvtAyLtqRo1X2ATgnKfAUWrAmGordCA4zKFvSXLXiU
7VFABRj1cHCc+XyM6JQmcH2efN6/SUopfcFjU9auDJ0l7s4UkUGcf50133SkEg/KNXQ10FtFqGPi
1oQCV0236QojeXCIXkRNUZAvaHRldj4g85uBhqE80zPDSSnJG7np/GHao7mqNuNcvhK72267dDZw
p7fuVT0r7YG8FRZ/ZSTLzh+nzOQSRY9dzFs6GrQAgF0IqdSHLOZYwFiVpKMiZKGsLG3eR9/9qczP
iponFKibwMO+PkWNw6I1Ybl87MYS+IOGux0jbE1mGQGSWOtrp9ojEu+OjJwNi8dhNO6w8XEhUpWm
kLQhXkkx5MvlqEP0gomp+dUVc+f5SnbkcaDBXOCGKcIvOk/Y56ca4D/l0j+VSxa9zd+VS9cEU70r
lH78wp+Fkqd/Qvjk6+Txu0gM6ZH9dzvUsz7hsqBvRpTFX9Oh/6mUfNc2YEgKpjX0EZnj/DV/9T6t
MirigPEA8Ou4I/5FpSSoxt5118ANiZXCyEGBfRs7yPtCKRq1mHxS2z4Ok95EoZEtOWGUgIhQcQ0b
ALw8mFQlRGQiESdkMwKr0xMtT5zhZ7vymhfLyeQT0n/5FE+sAD99kje/ptl8jHTh1Rk6b58XaJCB
vqZ9/Nxe9FmEyYT2rWM2WPWrTZzqDeb66qI6JaO2TAL2eM6HjWxqKqnfXxvl24fPBuccJSSzcwcn
HEH9H3rFjBuKxlFpi+M8ei7byGRlVql/mfs8qxjy8SjQSUS3ac6Oez5ZfvpZZF36ZVqq5c1Vsh3C
ZpnNsxiTxDaHL7iHh6bybdfWzq2beMiLSHe0j9FY9heiMZudpTdWsHQqYhBVcpC0BlleJ8asI14R
A45Xr8ULP1Jjh0otSEeQv2scDHtk/gMS5xdOzJzWJWaIRXr1uSstLLR1oe5YgatdjcmdHLve9MBP
tr6fYG9Pso2ZWvqTxjl7C8f6QRGUV2yspUUB7jpNddVZU7zVEm0cWKPM4TBrZbTJETEFGQ4YJuDu
OLTAbJ1k0yQEopbGND9XBOohBaJXewHbMyK+Ye6fvDGiWE11Vv+ANsFEIKbtOQf2t3k3JoVDKAoF
jWYZowyYLLR3vtKyW12mqQgzpkkvBfYzkt9dvQu9ZPK3o0KVtRvMCb8+gWjOHWn4MVtt2zoFXZKk
fxCqTrZo4kd1XHNfY5bRqr+b2N6TjTBHoN4pBoxdiVXbC6qoz0nUsp1GUE7Hi3lO/08faTykxkhU
rq+CrFssvtZMsw72YBjkCpL/Foy2/exms4d32qlu8qqbsL63hHwoBqWYc3FbB7E+iR2txQ7OGnv5
XBjafjG8+K1NjGFHdjcixWEIeVL9I6Pb8m4x5oHyv1bZ2ZJ5WejZvfuaEJdwWEp92fpF0wMqIohj
1xt9jEg3MwjBZHA39ZuBJPo9FbIATO2Rn+eJ6JFIFXXwxmTNc3Pt5Js16sO1qOnfBQR8lt84SOU1
uDmi6+neVpgniNvFYzgsthk4budkIc/efRJrmXmlaBzaSMkiJnf3oqNAawJ8BvWwiWi+xZtsimgt
e6jx3qosiVLEfV22N/R6fMPaXopgyEn2SAIC4Qf9UrZ+l77SDy1IWq8Gy7iWkoymRS0r78bMhmdn
IgPuYraN+nXRTJILI19NHU9Fq/V/VJHKirDz+5ZmGMVfuu1VV2lbvJjz5TCLakZD4fZiqzBTpfez
SXjVgYoQ4YYWVbR26qorY7L3k7j5YvkjWhDahmuC42xXHQ3jXD9wmEnYCvrqokugM9I0NOtXWQME
ECTFcatPuDZm+GZ3wmXRjNE2CibZaXWdLYpkTgWhAsmez9W69b3NCedBQmLEuG05h0oiCyz51KdO
hlwONi/JrzFjqrbmrERWfPNCgFr9MqJmJXbEHpohTEYe5C1l4KQFSp/UVz3rlH5JTLxNpG80kjfd
GE392snCR46vFVQz61Lu886TjZUpY9tnpyOS1g9XU2osj4UEbVpv8tFcQExMEXH3xLxYlphfbaU6
vTnzMB7wrzwGBMV9NIsY5XktlnF4ruKpSCWHVLt6JW4IR9DcQTCpu8W5avHxDXAlhlrbjeDkswC1
XUM4vlFcz1UCgdipUwyp5HVMt4qzz7UFA7IL0sgrrju7wFRXxSjcQm8eBsAnLuckWoJJeQFH08Xw
xSvg3kXzeayIB8fj0KJVDBbTjlQIwtj9QnrnyKEuRcO+KeKF0USNYkYPVELySZC07vhSw5qHhjnT
9OIcVAcR4GVSDwk1y0dZf5Xo6zlCO8fB9zN7PYqMt8opzCLUSFoY9l6ySh0FTt4hMGoEfBZukZ3g
UHGZmENEfpGG1jmBI/Vg5GoCWJoo+w/M+KQHD6ZI8K7k28yo8Q0Xwp4urAJVAaLp5AKoKMrcvvWK
49SiumMA0QlcAAVZyIzEkU7KiKqVfQaih+nPoeVD9AtEW7rGxrElvWBVwwEh9sCt5n01mqTriMHJ
OmZKkOTt2LaIvmDBl6Upn/5TOP7vhunCodj7nXpo/K8XWk7vikfz9Et/ddnEJ6ZOhscgkpT8H0Fo
f3XZ/E8uKWgWO4GDv/Adgny19yOpQ+K/VnU4Yf+7eMTeb8GXtH1hMuI8te3+RfH4sXb0ThGApCoy
F2Ta/XEyyw3U4n6N6VsAhUhRnsT2tdmNzdWCxevfToG5FuJRcv3QPPMEf6jF6LaR8eWJ6uiaIxlR
LOpXNPL9x5lP4IKM8n+CDH2sPHlvcH4MSIBkfdLN/NBApIliuHBfuR6lAdGFesPCnXF8u+onIGxV
HxGDS90hHsYV9fzTffA3Ze/H7iUXp33p0Fjn26MC/fBmW02XtPGYryxd37+VRYlusRCDdzGLZaLG
WfzHyND/6S3/Mmjnqnxa2NHQhv2an9iTK9CNnkt6eymmm5zBxRtUbSBB/opV+fcgJ0jsgpuUy3H3
MiP9KEbLdG1qDLqhjB8iatU1TH6m7bctPRMEeDQ4L7//WNd+9bvDDiqJk4YAmQkfLvjT98eJWQrE
bJgiDziDsagqJwJhsywt3klvtGCWzaT6XHlFZR1dksHuiFWvHitsheMmcfKFGs6V7l0/G4YKusFW
Q0C6vLxgjjU9z4b3D3cBfvxfXy9uDJ59FAm02z/aZiqccXFW9upgu6DBH7TSsKNzGRf4VOJ6TaZv
YzGe0cqZC5bu3hYPPIPz3cqDPhg6Sf5nKbLS48kuGpsSuycgVO4l4pzAcy2eYNdPyuRs0A0g1xAG
xFVpoGOli7Gy69D7rWbbLoU8Pxugcxt7Elfst+DvFLHB5402T3eCw8dNlDKC4uQy1PZXj9bQTMG/
TAMHitbIzjvTnm4cVgknTL0h9w+ZPmhPWZH40V3b0ao5dlHWYhd05ayhkADNLcQ37lKKvkCkGGGI
gfYH63aq5vGi0hOIbwTd0c1mPgHtb10IurnkOZ0GWFTaiJDOz9vOA1XdNi8qM2B24E8//oA5TcPQ
vHhwp290wivLjd8uJ+h2tirvO/vV6/Tp7gd7qBwiCOV4Eu40SAoPdq+8MF0wx9kcWpl/zv704tQ9
haRjCahaJ+K4sjreKQ1b9B2FhB6F9j96NLIcBpbyRhiJis/xBB6K8AA/KGjPd4vX+o9ju9ivDhql
uzTGB9DiQzV3oDmAAPmTBm9QDhFE89O9miD7wf/BZBAjRj4hYs5q+t24PpsXTg6N3MsRJvRG6+Y8
OfPdKC2Peau1hH84zFrVtieh+SkZRv/Ra1hPwz5XOAZLYl2dgKLEeq0l53tKYh7+tvQvfMztjw2j
TYbc1WrDZn6gbTCT1ucdziA8B0093dAbB/E0OAYfKU938/KDlx7XTBXQlnR8SX4izKNK8GoGI3zo
u3S0/CLwVnDZ6fPnAENalPIsXKicdJkL49NqK1+/Ov1MHxHXVxLBwrqxJAeN93rLsWgIR4rSnWol
N3CyPh4OQOfmIGUWReeCMX2zGeSowrydPP8OiJ3oOF6hxFZ4yDw9u+rRVjR24JW5Md03DgnccRDV
UzTsCmJYgojcM0zFRSr04yh6l6KV1E3IUlL2qbafdZWNYRtDPLprmsougqRmVB5UieqjC2PxZzLy
jfFtmLUW3yxAtfRmJG55RIU5zOgIYGHtJa1SkpgJ0A40D2BWDdw30OzB5nOWD40ZJdtpjZCMKn+m
mmdknLTTEaWShT6TY5ntrRqBYTygBJmQPNTTgwNU4QSn5GvX5ivLzh3Aaol4lrrRYo2fnQBqgLjW
nKS/G5MWMUbPjOxLb+W+xf0l6WXHfjqdD642HCyPgH2OG0SPB3pNLEynOMFKlk2a9Njn08S5avTK
jwJsvPOFqMaSL3xihhQA/E6RtC/9m4+oBVqxpuI05Ob24aD0UwUtapC01V2Xs2ol+4o5lvW557y5
Sbv2tRJudpWhqrEOLZFlAz+4Uu67Ewl1zm35lgj+C6ZhNd2xzXEvG1EFk8vRInbpBRQuSdQwpync
cdAn6B/g2tCksIdhujsRlVdgzlVjieZllvlUcEYdX6caN09mOyyYtZGDQdGzJ5oAPFgcDs1jRHdi
n7omIMLG10nY8KMqZBut0WCVWyK1oZnzNuIdZHTPJqB80f2nRTbiS9lp2nJcEkt5R7PsSFzfiAaN
hdkJssIccoi+LvFgO9iZaSb7TXQxak1809HcOcae/+AmSftY9N3rXE7r6p+KRzQNKswAhlwhe2Cd
txuRnhF4Z3xRGmFMG3IOwY/4o3uPUibHGzGMR9tU2kCWQys2PJcuMua683Y+bZLrSRmT2i2W8VjS
rArriW4SA8RkDC0MeZiUC8seEH1F1RUCKetrIUx+vmHH6j7biW9EX31vTIFVtk1U7xYPiFxA6Kki
akTm2gXiYsVHV0ZkETDZeJ5dj1hNqyLSPjH1MOMt4aBsaObPRiRf6smjFml627swRxL9cxpiDyNd
rG6bkrbHYmGRaIDpU85o2jPvSptmtoUSgV6oFY58A+DuI19fiZ65s7AOMUKY7mSse2E8aeutxFiH
iVVSiysTykIaEPHBmp6Rrfc4GLwap0/8Czny1WyKwmcdLMG90nhZQdHElvA/JPkKyZ5MehVO0aRQ
742c9b4bYEonA5CQAdo9aEEk/xeoqbRN5tVcOWMzIfOWGPabxuTyjj0i/XBn9vG648JmtFivC+Ma
tTktgZwcgbC5ABrjAKQMlN1+rDzgh81oXYxKMZoubCI+ul6Tb5WZs3MIs+OOoLtjvyJEn25karNO
lyeA3dzWwNoYdbpUDPgBnP2Pl/WDsNcmGZVEpK0IR5cUw/O2gDCKgm266Qdq39Ib/a1YCoLnmek5
lQzUXFrTpXBiGIt659O2MJhFXhv2yjJNy4b3Og4Ll6wYvLh3VtsUkBTw2FgoxookXmdoo6cPrruJ
Jwvydy6zdgPaa76Himq/OIlgYZ07QmchMUwMeQtM+mwZIn4YcdjMrJuFc2HBlpKsi664L2pNP2to
ln7vu9bfJ2r0p4DXTJWTaq7/aEwjt4VXdOzkrd8TidHB0A5ixmH5rqMxtvBK0vUTbaHaBMR6sa2r
xgOmg+6ur+6j9RvNMpOv6YTaLCRfo8YJHJahseidjhKy0VI0PRgoHoU2493mc6K0vHfMVFP35GUU
TrNJxyROvDuESb7DVoU7mIakF7dzupvzVIvFZ1o2UR3vp7GH3UCf4A64D15H3YqgahVlGvYj6LGR
fK99yWBwRIwK0jm3uuTKLPthA6txpp07I8CzbP+syJYGsWLS3tUeK0s+JMQNaH56pvWIKgeZsPXM
XnlAXAdMbHIJplDjSZvkhIRTMFlz/XNrlhGBAuZt7LGkAx9VO6HH0CwXUQbdNLXHesB6TF6AuKss
lhj0kORRZ4zmAIxSkfROmX8nOMzeeUMdkYVMLh4Nj6EOeQIJbbGq7xVR0loxX/uTNR65rykMVKtf
+32jXzNhpbuEJ9aRc3lA29RuqY2j+8lRxHeyiRJTk4zbybKuLb23LidDVbd82+zL1VScsfOViA9z
go3oLW680tnGfnGpcgs/NB/VtQ5X7TOsQ4VUzTCv6gG83MaMdQrIqd0XmDhCZ7gxS3FH5VdtiYfV
v2MXtc/MHwPuksxVgi0rd7RIeyL76JvdOnwhluIR3qEiH0lYUTo9GyqCAb0vO7AMZjWsK0iy6hzZ
r1gNezpCqjVgj5jg0C5lvmbHlAmrTep03JHLAIgriLAWy5s5HzOm+JTd/3AUX09J7wXZnKNIRKex
wPT6F0E2oT+Zz47XHBpcqhT9TI6gZUTcib8/rv1y+gHBvILdwZDhfuLg9v60xmiiV1lNu7sgNpN8
ZdcVDy3RvgXKFeDrjrUeXU7L4e+v+8vRn+uuSiQH6K5lcVJ8f12O5IWZ1VNzmLLCee21sjuUciom
QlwS1q+6rOY7x0lWnB8O2X9iT/8i6OfqDL0shwecF7GGMPw88iKll+6JcOrDCDrLCGBpGA944Otz
sCes9pjS+afedBxL1sqbkR6L++kD+M+o959GvSYGvJ/ulV+VcWy2yX+Fr3ndv77v2p1+8c+une98
opNC7AYpBDZH99XO92fX7hTXuX61uoFl470DBjMuHTvssDxTOu0fbss/R76W/YlBsI4dVzd+UA/+
zcjXct/fYqtbY4Wg0MAiRo3O4kfPCG2nRjqTa1wsFNPxsk9lPPdYAAyii2Z5qXHW3jYlVUIweOAU
A0bRy4tGRA4C+VQc5NBoF1jY1HZutXIXUz0gh17kZR1XB+Km1ZnXjm4IdcM5r1Wl3TOLwkNRxWiw
U7L7Gqt07gdc7GxlZLXTmkb6LZq2JjiJbd6R2PX4e2JnEIbLDGaITDKR6afzuqcgseNDniaXDjXz
GZobdBBtdDsu7fUk6xB3kU7kTiMOrUTY5FHmAo12zoSFKFjlfkhx8aZwkoQqQwpSDl22IadoviSM
E6YBBMtp0DHYohVpC6ltoywTu1lfCD5agWkE5+zXwdATM5RsK5tVoVRYW7B/110+W1tWcxiHRm/u
Crf0No1NOrlZUj2JUqAwn1sr7CvPP8xSpXculWZYCrEcmtxA9lbPbNtNMxziPrvuZl/HApEvbGQp
ghkCgwOmw+Y20W0zjFPNhtCpmPqSNH2Wp+5lIjhzcci48/Vy3PaAIQgZI+hsleRDbwtmXBforWI9
NCJ9r6UZUt5kfoRyiEKmX98EgKawV2YUFrOKN52tOVQr6msp8ZtME4YPUJbn6ADmjWlM23pxd1qK
lMuGvRACntCClA4Xo0Pn4Ef+WY8+f+PlBh6OJdIeZzOtA47a9lbWjReYapp2hhX7CP/L+WigRnog
rp7cFIY3IcnQZIdPwgaHoM2hnHQLmibgNduj8FEOufWmY219kX1ppsY6bzXvCOocwLJN3KGS3RiY
RbxniXbREZMBVpDhkGftQy2dR29aLjJjdIN4cKydVqX6lrZgsneb8nWxsy9Z21v7rI46zugjkDZU
3met4X+zANGF/cAojXti1VgHzsgt4XXxLbQB1PIxWiMDLykYPQawnlg2liQNTPT2kSaY+DJbJIvl
nTyftPzrMlvTduJYtc1S3O12FZcESlb4FwruBZJX2tCNG9jVi6VIhZmnDceXNsxF96zJHi+QOzFU
JzlkI8Gh74XHN1iDxN05SDt3kZl97vC1XdIrK3em9zVGsHHGQLHd2I2jPRBjSxw7IkUrdIs0vSuH
3NtUEq1alifzHmBH97BmF4aMJfK7hflEKOVyiXyx2Hnk2HOyTpzdkiN9shG+bKsJcERvaDqIiG7B
MpyXWwADCZQNQHEJ2X5gqjLnKAwi9dPYGw6GEUOmHIxzqekq1HD1f1bowXfKi8zQgGm9cWJ/DO0R
oppu1+lG2pn+GbAIOFZNODy5LXPvpHE3vloEIfB5dZ9r5gxhTelnopejHfjs0ulm1PJk6zTeiEKw
dDaqwP5qcr7f8VLVhYunih/ULipOp3uYv1ealX9N0bITZcO8bWhdTK+0YkJ34fNsFmkfXGitpPbr
36co8cJprO2zNU8oyJz+niDfI/Q+58xbQIkQy33n0NrcjkyLtwlwkmAZCye0aHHhFfL/UH1xl870
T4W6KRSQaz1LxX5OtW+ltcy7olvOu969SEd+XrrVnrKeRHeS+XdurHUbzh5NOK+1YkKcayCs9LWt
YwQL3nIvcbEc3IFqgXTE1Vmh+g2F1rw1kI2GHXjEjR473eVsuDtVGq9+u540SPkjUV3a95GRxJvS
9bdqhqTJo7afrPbbILEyuws5+naX4fUohDhjRJvvssIYSDNrqFr7HLeyX3oHTvHXdWF8cRx5kTEn
Pkp7evRG6QZu6vSbYjYdGDNp9eD7w1OB3Tuk1f4NwgLxcBEOsDEuHgyhzl2r764azzhLa0xmdl0X
lwXJZfTnboqEdktkJt4Gzcf3rlM69jK4afai6r1lkewTERizJa+R3E0mr+QKEqlmm5F/KNBkSDP5
AvzWf5gtyKVFJc4XB5/CYMztrveI+5w8rlgtywOyivRG5s5FJtiEaBdMyBFR6ID7LHadsu1AL+37
BkMKbcc2PZ9beYw7ImCI8ScYsVdgGxK2Fxz2zkuRT89jpBTZjO5brYwhSOIiwW/Tj/upmrRdXEFL
c8vBv+4LutSxS/iSZa0vfLxsWs5aPV3eTQmtJ1vqLROo3dSmtMNxxZEFqT0pv8mCVpvezLTBdlMo
dfSGBWx7mnZkDEXOgfU3PUNygOFQY5UDtYJdDpQLZ2DD3KcMznexO5o7JFBwGqxG7GM3exqH1MZ3
5j3MvTyXdNgDQjC/m1rjnhVVEe00t0Du0jhiZ9cuxEar1M+8huMBmoyKBmAd7eBkgGL2ZjKQvtKV
qfrPVtpHeNpiT2v96jBB7IJ5CI3Bq8dHzkGly6NIZzYrgpa7r/SuaeH4iFjcxMjXh4wGjy3NQ2vU
6YAatEFx/dlUY2XiI5vnTgInsmXN6p3jgGvGlEwrI7LvTAvtbvdSD9DCqrPOHKTrb7Kas4GNGL3g
mAw4remWrvtPnMb/yl2Olsv67UD86RVfeRX3dfVzcf3nr/1ZXMP++sT0msOZjSOcwTenxr+Ka8P6
5JrUtQgZfzKdrHU1o7N1wviDRP9zXU3ujCAZh8gzRCy8uv/zNNxinE4+9inkQ6BN+2Vou9RLCxNS
Obcldo9lU6WTugUYsSrlx1Z++enc8TcT4vdn1NPFEG6iA0V0jyzSZsT/8ykxtiercEnzuE20uXmp
rNrgkRz8xzzt6WOBCmheYibbr/6QdYf/w6WBA2CfJzqHD/X9pVMtF1MPxuaWvGsu7Xeaj511pN3u
KofGmTdxbJV6R+9P4m5IfxxO3zEGfmYKvJ9Sr+/cNThT6R5yPb64j5c3zBTtfVaYt0W5ig48baDv
ofdqadge1stNpedd/P4tG9ymP7U8/rwot4qF4BbR7ccTU9WgMIsb37ilT2s8VEwXjkbpMNCCSMhM
bO1Jg+1cmxRCdXJP46J/Q2qe7guNRv6mRdy0h4GYTQepdVBMloV+LmZ3IFaRPejifACiSCtyAc4a
MBxgF5mKijbz79/H+47Kj7fhmC6TdoOeiml9EDV4o0fdzbJ5K5TGvaIK60jufz4RNjdR0qZzfT6t
g5TfX/XjcXP9xtDw+kgZeDD49/sbBqG7m012J26ztWNfocDboxRMvuvZ1N6eFA1YRMUVKAu0kqc+
1++v/16mcnrXIDExpBG1zH3z8VlBrVXlbT6J2x+D1fWBwU7PUHNoxdXvLyX+5kYhF4sny9O5ILah
9+81mt2+0nUlbq3UZ2aMHjbH5i1ok0WmKd+m3CLQD8ADT6fONID2Lw+LRoDsDYW39g9f99+9cRM3
nWkjOTR/uWsNsBF+q0f6repbHhLLjYr6wsBCNCD4hM/5+/f+dw/JChTgueQ/qNc/9M1EkxGZZQ7G
LQ1xL6zmhBnZaTp80gqUXWYd2WQZH7Qpd7lP7/2KCgdH3ZwJcv4EpQxwdGZxUMhRHOc0Qy76fPC3
J4VBkuDg4a9mPGW2VxFaDl1UFbvfv4lTe+1/mpunmwV7lwt7wLLR2X/U/WRFHClv9sVtRDh+u1tc
Rh2n+4bDQ/PSdaW2KbyRdW/mAzxNPuJ0QY4AH749NCcNArgrhjfLuBRdKJgPvp30BL9/nX+zCro0
J2mLWrxYW//wJGs0sAcnssStvbh8IKePmVFZ8yKIynhgQPNPd/a6g75bAulncVez59KP1T0iCt/f
2WWPkws/ubwdmVCd231pv0b+tP7DZO6ldAKYOtNhxBSlEV1SfQAYGIyk4N+naIUBNVdz/2ZSbd1k
OiuArvEQQD5j4VzvidNHJNk1HPQe65ANUgkYRLRdeB6tI8kWiL5mVf8wtfx/NxPewce3xTvheyZa
xjIspHQfbtrFy31iIef4llMFRLpmXrowAyp+TWD93B8q3FbjJnMHcqsMmzEiId5llJC2Sh56UPC3
9c084Yc3Ms4/etm7u4HkhP6QOBJCVSXi2SSSwI6WUDcXn84trh0mCWXch7pbQ+YaY0CfG8t3ExnS
GOTJyBApbNkCHFCJGSMBi8zRW86GybknSzCLpVdfDVnkAnaoO8QLjVFoz2J2c8Tcc/GHnksRkvQK
xtuYF0DOM2b8t9muZ4emTFKFac/+fQaTtUTobWbNaqlABTMlPmE4Vi0ZVblIWQPGb1rzCO0SWYMZ
uS4gzRa7PXEzWAQ7Y2iZ/dpxhz7MQRqycWC0f221AtVNVco+J+BpQaXLkNXCR8kASztGaN0ujFjR
sW6G6IxuqH8/YzFTUNSHuLslEVdYDEP7yqb3BS5ww2yjaW5cfG7dZgKNGoVehmAlThTbbs49gnWK
E65Tz6hlmEzH2//H3nls141safpdety4Cy5gBj2o42lFURSvlBMsShThvYkIPH1/cajsSlFd1Kp5
TZRJdwAEwmzzG0KDeB86E706TAbE04gIab5tInYbQkA24sVATsZc82c6RDaY9LGxttGYVAiiO0UV
XtMaL2dOZidD7hWTsNkOu0sqZ4Wm6tj215YCT0/ds60zdLVyFV34aQ4jroyn71FTBi065xkeQDn4
2tir01to+KD+Y1KVvu2+Sttev1AdyS9RdlVAjSP3m57aFr+AfjxiiZscXMihfyEaLr6gTi/oQ3fZ
MxNF/Uihw02bFZfvnT3zejBcnZojhDtBJTFctkys2vaArTRKRRsN4hh30+nZ79ELQKcj7R4sgbbB
1dJEY+lfYlCIWkyIhJcNKTardBvuaiqXFlYBGn0cMih6hImRanbo7YpuW/q5hb15rqHkAZMunbj7
YmULIqo1dt7NsNO9rtELMLCIaqUn1JYlI91YS3tlpxHBEDu4/9RHMvT2pHOd3kDFrD6DEOGN6WTi
UNCa3soSmgZ73LJX5JpZuclAf5YHHyFUb4sfLhwkbCzAgTkrLzUH+7S17SGi8iCZXk068urLhS07
99OPcxjB9lw1oKZEQDZOc5t4FdQPu1ENIOsMqZSuOz6PADIugplmroXx5XXo1+ARB1AxsBuyMdqi
7sbH615wc2QcYOBwnXmcTZet1HV7hZKa+9DbwvxSW8XX07SwP7OdJUhX+DEsA8eZ+E66gvDET4HA
x7WxTNqsYdmWh0gwOIPLSQ0mCcVLpIyd4hYrDbaYM2jgFYkV4gbnCgoNdHPZUc97JDFcdJ0IDtEQ
B8FT0kbjc48ezLyNDchsHGf+93y39TyD3gIzpO5awk6UU0Su70DA879lFfjI3KBldEpT8IDzyhtZ
fCJD7UrnYXFA2oIk1/dzTrrhVYX7gCWCugMiB5zgDMPRLmOPbAMPxZLkSiViLs95y2QozP8tgykT
pQXRp10uwO0q8AOIdo3PnQEW9HHafy3KmuhX5aO+PwcKK5oZqLGYhpxrZOmLseLVGtgvpgPFM6KZ
lDbPMBwcUOxbeCrWFu1ddPqHqmyvmUa8O9fcbdOCCERRezidsXp2YROEt5Az9sIpu684kHKa69IF
45jQXngKxpUe/tIGur2g+8idL/zNsmlbqdV1byE0sD0HOLMJVcq1mJ5fk59ze04XMfAT4ALIFflW
2YM5glKGjYfQ0XVWCx9CjzdUR44dbrBzsfCBztvIggaMk3yrrIyLN+cl5KDvoQ6LGkwYxMkzATP6
GPkS4F888o66JCK448s4dTiAG1+wtyHy7F3AtMmPjnYIDOwAECRv+rYZvfCCx2mvvMUKqEHOFBYp
eXC36GEPJyk5cSczPUVTObc2CjqQYnwDOykWwlU/KvR808nUyk51lpADOgES29Ap1sjb0+PkZiCs
wFrwS8ZscqL4EYmy8KEoUTXZT70NquUMsqmySjxltWRMVVfz/OdNoKw8dY93GqNSYQhyHRiwFdJW
LLjAXL6WYCILs+qrCbwWfOb2KjYIQsL9/gRXj7eau2O0qzjIGQcJXPUMw6Sdr+4UTtJPQzSxXu2q
xikqX0FspoCWrodh5E7OM9FXhTNeyZwtQDjE6HsHlrFHTNun410MO0ZeRK15QUWP4+rBhUB8qgcn
fsynVcUwt1Zr3K/BZHA30UwM5OLe8gngonhCz9p5cK2IHCAuSEP8M5Ic+XpQlC7mzLgJF2AidR53
X4O0Y6H3jgTUap6Qk4gYeQzYgYYWVNs54V0Bh31dHY8lmpKiIppdItpASvsw93wTmSteC+rn6m6F
hUcL3TSPz8emXlGy33WV5V14Ucazr+j7XDcuajxQhGpYUTOZjBm1oVtUvCukAyloMLeTBTxFmSf+
Uzdj471tDBKhKht1b8N7TOjGrd5hHiuHyiWWFM99DmBh+9qyzsYBWlnGlMdKFh/x+yw3kHq5hD2s
Npzr9gKlAHGvBgkFq5EGgmMNtnjyldlZ+O34sTHmNVU1+wBbW6vdo7knq8sa4fN6X82Z239ybFcy
RZKSgUZ037nNi/Pep1x6jm0KMg8K2oKkx371J/IVTD3aq/MAvO5FJnFfDHz4vLEOKcoN2/PcxYSY
Yw2RzuGkwlx/GziGPp7np+/OybGgEHBE89cvb8I5YopE9oxRsSiXyyzVlKBfJ0RNOfOlo0i/UMoH
I2YVTbyvjLtPChv24TwrAlRM4b6jcnSLgx8LucckuxCm2lCOhq0VNI2Doado2ImQHLbQOXcpQgzC
YNNy80CWrJl98MKq7eBLfqYJhIYd+71z6/g8AlPOeRBZ0MqdU6WsrDDpOWFCkG6HtmPSAMRgt0eM
/AMCjyumxiuT2rYc4FKTZNM+74B+ieor3iEhgz0lljm+IeAjXhUCmduaA4g2ZOppue2WiU0BWVFc
yGneAeFrzki6Yp5YZl6vuW7aaXX/ikbuSNUeYwPnS0XKcyO/ETG7XX+ydgVSqfR/iIXWTwvkK3Wa
ULXLPjjGXewCaWXnFlQodyGiifFI85bZbjvJOjxMYiYISa0yfrSN61HTKfO8YSzv/NkNP82Rqj+4
nqAfnIA3BFJ5gomG3ZuBY8gyLV4A1bfgq7BS8wJSajQzPBYwEtT3gJs5kXQu1+1EyTMmQtHBI9b2
jHPe8UJbIVd1RIXLO+BjqxecepBOgAmHDUbXFTceuq3OllMTF1j6rafGwbwMaayuuUlahJNiVREv
BK5iMyTINKxCd4r2So2Tfdmbzf+ySFIKkXGWEVPNPj7gqEVXF1brUoWhZgN+pYL//SktUIzcDnXH
v33sMEieWNUdFUC5iVDfPnmD2fz7hRinNiFdn0XqniYnEZ7qre3cS9aMSZRLoGhX0otZqnHWN0hm
gf26S1YAdqXbEh8gncidqvNhkmTs26vI2/JHewYSlXEHAN9AaR0sjh6xNmcGnRPDFLGG7rKqCuTm
hok9rQW+kFxRTxtoxrWgn+LUv5Bd7NymSsTA66bxGVdfIOBeCYWP6eQdGkyq1WGAAXia65TdCjU8
98FIZ23P+2ZclGyOUIE8cA0Na6Iy8WaXxNF1PUDq2yUd5StJL+RrWaGk0+Jr/jT0LKEJpOcxT6zy
EnDiIUjNzryu+PJuye2ykyuy/Ie/BPZ4JbqZFTcZizdR9vE1fFATYfSguixO5hrxXqgn4WqHFyRs
ajqN5DeQvOfh2E7jfKiMSDS5yiSe7HJ1HgBQUbITMbsSdR6GJCwgf2ySxCWTqAMOlmDRwUNGxXq3
9nBVO8PgGNbUbAfnkFnY9Qs4TQVwGfOhA3qX9G0CPbkHrpw9ZMOsPqssWK8zX+efO5rcKFyGMbsz
2c6KFItLjz0Matvdar+z7sC/tWoLQ6mJ9t6ArKCbCuv73HniuaBT+6MiqnxpKzU+SlfCWiGucq/A
PdvXDkEZKjKR/II+VABTAvMx2l49rfA9LNj+Ungqv8VyArhuEeT/xr0g/YQY4qK2c41OYTkKY6cq
9G3sdcnnzArL722v+STR2PlIpNzE6d3aWGSslZ1KWkWTjagTciA/iUb/A6D6E4DKF+9THj8MP9Jf
uzvu65/8o7sDGYz0zaUmY1o5v3R3DAcwQpo1hnhrLJL+VssI/uVCWeHvYOvZNHOoXf0NnXKMn7GP
2NjfZsf/nRaP5/5ad4PniMdKQG1T2Oz7EfWYX6tg5TivpZzjnHItda94C9yInv5AReRDnHS+/9EP
es5XxD8bUBgJLRxwOksebMtkaaW6BbeCKE5IPXoDvL2cvPvsVYlbADEo7W2AhiwBSVOeoCjb8m7i
vHmu7Q7Fl004Nnm0HZyMs8+dnRZ3xpYWaLQc29hHiSjri8u6aJwXDxg7SpZjH32zDEBRBVF6GVKV
JGlJ0ceZ0HMVRIFHbP/WnRdXNnbzOdR9WqbzvCF6wPhyrbpBwCb2rc+hbX2LUG0HLY56LHpS4W2Q
LflFjlHCNSXt/CKEdPGXNIxyMEoglTAzy+6HMCozdgul79CUTeJd58p62HsdT8yetnJajTjG7KBN
ZFc9OkiY06dbZG+CbzkOC59HQBjFrXCVtRs5TT/kgw2aWecKUEdFPrCdoEBAhYlVvNBwmnL9KRQT
tBHehP6S6LbB/yhGNF6rJP0EJi6JN4BlgElrbv8iD5LsapVKfUGCyhHHwFf2RYp35j7GKAJZJKeo
nUM4BVkKXsHr/q0HBAfStAdpHoVLfWmNjQ1NR0TdTCt+jT5EpQxnuu0+U6JYc/jWocrQfi4Eagao
job6K3oZPfKoAzNr66KDoHZxlakdJvFUQ0z1s7aK7CUcQPNQYSxPY+7PB5l6wU4YeSfELMKP/Yog
B7SiMt251I3wlQMJp1tQD3bdOx8tEct9s9RA9v0Q7MYwiODZnI07AHLzLaDAFczca/Eq1aaS1TdW
d+2f61v2a7ELtUhJ6SsW5F+08YuajjxqDU1355d91l6sTU6hzvYonDYUZkDSbOZ6hHqQlIDENkgf
RBGlMcf3fEIGRu/jPKa8q9VZwk/g/3O5C6midY8wI0J0h03RUZ/rj8O5FgnezOg/uemIxRNQLPK/
Ls2e6z7U3ZYSXRlizKrxtl+oaY1os6r2drSi/HoxZdIgaeST+1pANbVU3TVgzNS50AoqphkAWQV2
dtKAVtoTiMwKg0hHT85Wnmu39lCHhybN87tc0Z/aZv2CWFaLzRArG/9dor1O5+TfhRGB7YgLlusV
17F+51o+6rH0Jbxdt9QLgi3n46Y4Hz0QyjiGhnquwxu11vK2MifWUIYzqEQvxcwLm1Ak18wJV1lh
fmtRk17Q1zfnIP08TrLaHI+uOSgnsETo6NojzKWpICKfre/W+dQdzycwwE0tbqfWG4FJ9aQ1h3TG
j1hR6fM3kTna1zVywcgk3dAc+aaJ1q1mmk7sRPoTKtKqvfhZYkLaLThWdka+G2J0dOG13fAi4WYJ
UyfzcjESepcuXqOyzBzExhJNWbOzkCigpH+zJoX70W8k6zHxKYfsi5TdTOAjuyl1XxxX5UWXhRXp
chdJS6lr5RBQht7YrDuuhKlQlIz7ykkJwnPeVUtqsBY7d/W9jxbmS4hUz1m1w7bSvUJDK957EVHQ
3so72qh+RmcTU6yc+nvl8p5LPy2+DX1YPBX2ZH2m+LJ8HW21DOjk+D5rzVcLOmiYTNZOYE0X4EL9
beXBL9kHmG0NV/yCP28cC0GNDRJOuFlugmgFiu6PlsCthbqp6ADS6QqhGMCK2dYFWEf+EQyp8SQF
4Gn1A3CwBLszxFuJ8CkItU03R5uIEsqDQ470iPHBv32mMJruo8k048Z2TwFV04+BQA0nnRK9m9wM
We0YORzUByd3j6xxkm5bJdV9k4z+bVXTJcImEgr7jRza9madgDcdo771vvST+pIqhePvhPmvs3Py
pIpgDtoT9J2lUPMNhhim5+KM95AdMBCm4KXSj46CwwPUza/0qk+1F04hlm7Yl6bJZT+ya9z6FIVf
u3L/E0/9IZ4CLk6A8V8rSPxH9dYG8vUv/o6m3Phf5HEYEOB2S8RkutGvWBniq3/59DjtGOhIbEKn
/xdMhYi0+hG/Tq9M0Dk2AIufwZTgRwLACbpYHh1S1/P/W8HUm145t0N9QfgAKgjncDwysdb3p3sQ
QOP/+V/O/+YM1TWkF/9HZq9d8QJoJoH2J6Vr9QCRp8LVj7Rj8+kwaq/CBWnUQnxXSdU1104LHNs9
dBZC4psS8/AWUFecGDoSYESUiwebg1RT7eiCNUBFRqWQaRdv6Y2oWTWDPttRCYL9D9u0ww4xtTtL
fga3QX2zokREA9tHkxn3hnW2RXTE/h362UblhYiHbSWNLvihWYqxo1g8AkL8U+/eMZHkPxrREAFi
D34NBlwYZnqon/06OiCVHVK+VfzoRrmQ09WAAFHiHtDjLW/iVMRcUjnINL3AJMr1AwKWUCG3bjYP
PE/jyFR9/sfcunu99j+RN+fg9pdbCsPYoQuMtshZjOPNLaEvpWpkKdJnBxZuedP5eWp0S2fov0cD
mQdqXoc5DQsq/h02mWWh6NFtCht1tifYo7rvN+FMDHlZ2Qh6ZPs1SXHpWSvFq9hP05qtj9kQJJba
w8/sg9t1Rc4z29exP4oeqfdxDuM/wIlMf/cfz0S6YOYghUHoGjgixW+AVElWKhBNVfPDlnS0Pokm
t9p7VDXb9e790XuDguFC6KQYOpEwWBSu9+v71FXdx2ugkmePt20cxShKAmZ2bYxelRcW/gc0hoSX
bTTmDda07Zw0XO7LXDTFy/t38qaTb+4EOXzTx4cEHfzGb0IxXNuxKoLnZYyG4FYg2Tsh2llbQEgu
qSuvAO3fv+KbyYzlVAgLRbBz2A6CNc5b4JHnSl6lkuUPIGV2uIklbudA1vVhbZvmBx5x4fM6zslF
0FjfYFZI6oTB0tV/uo1fd5zzbcCfQWzR4w2A93uDzgkoMeDNHVY/UC3T8y4YM30XrAQP1zmy7gd7
XTCDGJr5QIKQ7Dscqb5m0UBcQxTvPPxhTMxq+c+Z93oz8HBsZh4cut9m3lrPcmmp7f5IQzv41Acc
tDTywZkHOr/ynHq+nat+uuzQJbmolOfcTE04TpszeTenQc/CauRyDXfUe+EEYHeKqK9/+sNd/oqP
MHeJSAu7PghJklXgU79OW8AOuo57f/6Bx1yffvZcV0CbcX2cO+mT3CJ/WsqNHNcg2kWDaF8yalck
jziRy6MXtuOjQHTv2g5l+dkdwGNvZ5T2qMJBJECLBZi/34Pj+8OL/m1R42qIcBKYJwdfNfF2ullO
aoVtFXrfqxkfA73rdWctJWymNYGp/f4I/foafVYTB6XvxB4bbETq6/46QC6m7WWXC/cZCgTZ2g9X
A8zMLqAhsM+h0mKWdKXJq/8k1/P7QzJzQOUwd8C0gRL49cIErkjnFOX4XdnoZK4b/MWi5T5xrZzV
/P4zvlEJNQ8J5hYtywBUF8HCW/BP0WJ2gvRc/TxC+a/DE2ovzecKSnxvsvA0SbsPKl4Tu75uc3J/
ey+WrFwfixFXUA8RFA5gslPEAuOPRRGAbNpmS+NW1yWoj0ifZun7sCzfv+nfXgzanWw5YcTbYdt5
e4A6cRkh3WY33wEeDdwFONWyeFmwLANV0dZB6+2SeqGK+6fB+v3FoD4foKDAogGp+pbBmVjUhKid
WN9Q/XVcSuEhlm3jFn2jbLARnawwqz6xLZfhExg5+nC7fhgGXH5qYF3LQ16vcjBZNfCZb2njFPHB
o3atryA5+zQ0/zBK0dvjgBsMoRuyTHD7/B3YJVIo9PU8tN/I40n4NgVq5usdBMGBSbVqO9XLMR67
EWaMl+SsphEGN8FHAxWFwzkmodLfmYB18RKMhlZLuEWzDjaC47fFy+uBT5rJaSbUnAZfRmRacNEE
2F8yUxGINky9ZpgCwr7GcxbeCE1VExJYY5ZxQVerKvqYZN2kvq7ahKybXq0JY+HCuCeoAFAW9MXB
9VEIkBuY3rm66wK/qH8Ecnagz3kwDNY7ln8svjQ0atbHYYU6AeiwK+KGbK6ZnS8lzLSi2c8Q8dfH
dfLC5WEZ+mC5Hwu+I6lqFOwgm4w2Ge/MzYB196hfZDm8r8LrLBZ6EvEZ3qZF5jNLD4CtgkZsRlnA
ZNxw+kBUQW40HOvgKBaVTR8nGdYET7pXBUf+OJCFa9LjmEtbuYz5dWRBzNWsVHfBLZ2VvP/aR7lY
Tom/9PlNhVyGPkpnVM1V1uOUdTmrmcLKVkWJ2flywKf6KoLGT3BmJ5OJ0foocVltXdRPo7ttfVwI
ytPPBxAFpt6I8Yd2bOQ+7cRiQIXdMP1GlZpNrKopB9Z7SCgB/6Ecj1kf+rslOPOfn9F3oCL2Xp6I
PNsy5cgbN162CsZgpmLEpVWXsTkiw8kz4f1qRtVHK5+RM8U0fkHKKSsvG9RyrWrrZLG5omeFZAm6
o0tMz1aHPY/HRm+mSwuNtHjxyrZh0hQJFLj7ZoKBEh4Kz0DIN50oXNbU0sQxsyZ1AYXAYkTxmL9C
HiIJD1M6lZF3afnI63zvaxJjKKsKU6IKzwLwkMmnqMJft9it9HMreZFg7kBplSqtyRUKR3n8TAdk
JzxEEYMxu+mRMGvSfYtNE3ccugu7wB6dl4WHad3EzN8BEA5fpZHXe8tlPC6oKe9aanksBTqDqFDy
5if6w+Dt2olb0jw935QzkhzFzo8ztNW2QRiyBHUEyLndeSsuwKcF/15ur6jzyOQJCQbj+e0IeBcj
79nni23s6ZDbKnwqR8gILTUjOKNOz3CuEfiidleRcvinYlI+45PagZmiJpVbHrqo4d+eCI4FHBYA
HG5JVeii7X2Zs871oNFKB6YGpOkJYa/BLGk/Nh9KDdfhTYiRPIWmded4y0OYA7ep91kbdqM+IScw
FvXNAkeRD6SaDihiiwfpbGa1B4FpQlorXh1xUlElFHBN+yHORB4vO0SzQ7MzZVWGzmlgWwe6VGnn
HaZSp769Y26DBUlRglrvhNaK6R+NkWuopLXEVZJAQbYB6itiwWUps031fQt/z8s/tA6Ig3FDbmje
cJMv2oagzFrGYTMfbeMEDDJnasetqsbRklclBqvcY2JBrv7e+xGd3KdmdBoepkkKvEg+xUhK+81t
O7axiraBnfuy2rMRs93sJy8tNP3Dbm7jGFZBECGWDA5vwkoCJ3ljvhWVbLPB91UCGcvMZquNtiue
qCty9wPeFll6XbbZ7IRIFsajmTx5YbaUcJK67w4lPDC+Qj52ZA4lXo7g81VraCzdoXdR6qL6Izy2
yrEHLEjrt+R9NBtF13/ub0cZuGy5+JLPvKUGdC1nQatryWcBOje7INzPmJlr510yLQd76iS/Scrc
87MJXW/2pdKmBP4RlIDJQFBCQmkXergKGL8ps9gdFkaRteC408iEWqibAcPi7fcYVkSAePxTVI1o
+Vxlypq5tO/Qku4ObJccRwvyKpzydULbddxHfmUOWTxGe6ajoozWApWIBs3+oKPM8j8oWw90mNmi
0JjqepD82R6ILSDdlUoa17ctWervNbF2efMz72XXN4Mj295r42M5sKvG+zQrpGddzMW6DnAqIy/F
nUk2Cd2ROek/ga3g4fOWw1+fqTPccVhIVHgPQEpDFjY+FaRvpyifzQj+nNZ1Ls3PAEN6TNw1x9MR
qk9r6uhbit8cWo7FrESWMhxiKNBEoqnN+rRgi09bP0pEiP8CGk/drQuJptiNcYlAEHRORwd/ATqr
hk92raoHNGVjFMQHJHD6ywCBZnAG7TJ33ymo9tbVgOqZf5Nwp9S6my7v/8rZc9dDifxz9ewX1Trc
1y1NiSeJ24H8sMYWNGiJWi3gLU/IzrjbQOfutj39AbraUlJzvh36LFHthlZy7VyD2crLfRJN1NB7
3tHAJq+ifi04hZfBV6jxlIsJ6ddBatBMIXLaGNXiFTl9jeGM+p+CCgQrOtRAcNBHjitXozqD9lXm
JMzTJJ0upoyTrNqG6G2s6y7OkeaiZ+ciJAwLRifzBv04rBZspzsscZh6O0GAtj4Al8haDr5gCi9H
ranaev7kOluNDUCrN0E6QZgHZBFi8x2GLi0jzBhPQGmmXd/acr1KqOXaR0c6mYvJnHJg/dKRW3Ow
vJ6w7rqyrf3PqMfTXjjaHR2Pfh+3tlIPalLedGONU2Pd+5Y/ro+ICWAaIoYgGD6vIcivdlNNQYiy
cqQEENMNGkpdsIvVWpVHKLUAINYW80a6g2Xrudk2RKGZNqFTF1HznKEWvahdGUy6/xEDMcJiYw67
Nty43igm+zglTS8iyP62QKw9IXELbunlWmV5XIKOsDb7kUWNN8GLbaMS+7idIya94hLmTZ5lcNA8
THH3M/q2dZUEzj2YuBacoIS9ybHU1V7dic9Si67zd10ihwSsJSqzxCh6CQXRWGJLFsyAWx7zn/5K
QQQF0mAxx0rMRsLi7jF35KzlAGc5ZH5gdji8YEyEmaPP5yQHyvPQi82DdTK6WpHtIyQVdHo4ekRW
F5wyoNBTdz3qMOQzD7NoTZwC4MBkDmHhGM1I7S91FR/nvs6DLzTLMKk8Oh3IA6wCrYnaVjf3gm2S
BiCRfVRCenCPviuIglHtMlF0rGXHXlbgm8qml1gykZzhELDt/eI0weqdYh9xzuHUuNR1rAu6RzYP
SlwCAHMrRD2YDbGuXM5o6F0+oQmci4kB6prQnJxocSjudEizkGujJI20xqfFFyD1ty29Uz7MpsXG
WhpFO3D/Y1yYfbL0Qyyi4TU4MXfUJN3oDE/xEJt4NU4Qlnx0EVkPvknZNy04pCJscPUrILMdpq4z
sVTThSZkyeLJjBGsz2ByXqBIwpzZSeRsZ6huTkOdCkxsohjb2AazVt+wh2MxsIcyTHkxGGtzSv08
wdDYZByxRTQVsiCW5u4dL7EYyA6CedxCnUfw7aWC30bgGnGucAfzaGVMn79HYu1ZQkileSsRKUQ0
PrGtEaDyUVdodASG1cJlJd/mNnHAvahVIr5AqOFmXl8jB6bjPJL+zdND1CdgEA8ebXfe0QzO2xlu
m7RcZHa3ysJO4q9LSYcEi70uSGt54ROOLg8rjDmeik6sKXZCW1/y7ALZRBNU2BO4PWoqLi3GCQWT
nslSU9RyFOJg9hBOOx8wFYGzm5hofqFFNoiT3aXjEt2tUwYN+jpIQpv70atv1oHnDTaPupQEmQhX
+GaJYANlCqyAa/iFBHcNAjWHBtKXvHfMBPMSjC/cY++GFXE2+njmdM2WJeXQnFtJoLr1vI4oMPAG
E29OgZmPSVUYxx2bEShewH01fMH3zW8TlQzrnayikOPSybgvd5tloQkNscZITTDvdeZuX5dHCcOd
m51ly0sdRja++tpT3pL+teDvDoYLzlsZsqp75kK1zTUxQXHwB9/M3apx4+amlk66TLu0GvHjuuQD
ao+gFpkV3i2ahzXXataBR7C7JTfFCseE1jFQ7+U+xflseFqGOfdwxCznDp0ackvfu/alM5V0MnEi
KF6APZkksOgEGZvtKPNCRj8mvCTx5D1PWqz6yoNZoK+CEEnO5ahcry+flsxB2G6bvEY+Y2ovxBpj
GyGWd8xVXBIY/MyIo7XBF+Kg0tQm+2rS3uOrlJwFIr9lWeq7t8z9emdbSHFv4SZkpCNLNqSjdYqC
zpsfgpXupbW1pMP4W1lskm6IUCYKAzlpkvwwHkwgn+IQtzwkY2KETExvknBdRTSVkd9ECJkYJRbt
+siomx13dXpy3os+7BqJOuuCrgGBM5enlJysZqsEN7oEpy4UasKCI1RMfYwrnYxUpYyIo16XXrPg
5AUiy6oBoEGsQM+mR2ZlGc3EaKSpH1mJp82UpJYqmw+2r1TTMyCrybhFjFxRsMUSxSxxsuW0uwmC
0jetS1mkxyRr4GEDF1zHiwjZ3eoUjS45BQeb5RMfeGpa2DoDWAJ8TOyjcBIfi74xkShcX3bxrXzN
GunCojt00RcLeIgbAv4ZHVUqV261j9PFZIGviUWVrOam21XhM7xllWnAdlOE/sClv0QFE50kyWb2
y6xpeKW5M5tbn6E0pjWSMHMyTXtLNQY63FEc4RdXzYzSqB0w1yZeo5VtVYkrSrNBGG1c6URlXlM+
ebh68oH6deeI1WgCXeTLzax8v2r0/6kZQXCFf00DEVujtwVW4BbAh+JKflPJZPJMRAOrTOwsX2OF
vRnngef9wyXfVtUoU8E+FFAQfaOI/7bOCoajiewpmL6JQJpu4evUqCLLVHbff7rfL4WtEjGucUSi
WfO25o3wSYfAvNd+y/3E7E9t4HvQlxSbNXvX+9d6SzgNHUrHIRRdFAi84Pcu6Gg7sKCq0vumvBoq
29WcUV0PtmLyM5ZhNtQOZ+EatGwaM5yOkSLKUvVRte0mcAW3VCFMJy0m5TV7z+vO/LPX1gypSRGa
EPmL/DoMeslX79/+b0PlURYmsDVscsdxbfPzf/RwFZgYAFuheEJ+VnEfHFAmLeRwJYV6/1K/zTmP
wnBM6xEbACgCb+vdhFG52xBAPcUZNHZ9SjRUwEdnDc0SCRLcAf805d627BxeDPZbmE/RTXBB1v76
cEM/4nhL/f6p8zOzR03wkda7OWdnv09duBh6l8TE+wQTmq9/VLgJDB/Y7Wpx8f6zvx1muvQChI/p
4rPcfuvCyGZS6HSn3l/UJEgdQRVTpYqa0KTz71/p7Si7wrN5WtSvuRrFMVNV/8cLLQkMI89BrWpu
2rC8mbrKpOZ5QaZ2wtPZRI3vX/CNJkFoBAEoOwMqwJWCoOnNDMKBZmUz0cNfA9L1zKABrVu2OTZF
zXtNhr4C3p/lgLfibVgK2BP792/grKL/n4042jYBk9jIg4QhmnzCc399ZLLErHK6sPkLdit4tj29
07UEmthkMeCkc9iyDJkJjdEXMfv3z6K4JSZT8qoxhOZckK+DUxfClHgo/WtWcQs0n2xhraKGI2Es
JaS8XeRNVoRgsFNO7NahFOawRE63Re00S2wWPhwgMBuojYUzxSNHDgov5aWkRIfzS5m700UOlCEC
HlVaJrYal9GEXZYhDlJGzntznAddTmwTjp454ju44dwWppEmaRoJ7dk1y9I1QVMRgYPmeHURxsa8
s6gLdhJ7TCXjj/8AyjiX7qKgUFyhZkBZ9v3h/23ChRCv7QATvNjFq/DtZjuTWWQWdKGvbdZ7xKyQ
nUwKFK/4UdAzei1Zv39Js25/eeFstfSU6dHgQIFSwZs5TqNMT/0Yya9xGpgaI55uQXmDYKNbWrf2
aHMHG9QLZ5Io5SQmKLSw4OCb79/G2yf30Kiz2Tnx/uOf6C2WuAn6RvIus69lS/nzMq+Hqf7sltId
rt1x+oMyxdsdBPFIgfhh5AdeRL/yrQhGgBxvnnXj+NfSwz55FEVopkVRdCayev+53DdLmk9Ha4Ne
f4DzMkmp/QbqkGJCWlXN4n5GxB1x7YTy5ZQeUsqoZLp5ITkd0NVfa/4TUrBhXipD8CFZEzCjOsq6
lGBIeQxepJNeRRzqrNgRPth5SoaShWwC37O2yExZS1lmRkcTTK3sYokCUyYua7ojD4vleDycVQrO
ojS1TKfIWWDek1U5qJ70F5bFPlodmtZO/VeRp/9SWeDNeDMG+Fl7NuvUB8j+W8dUiHSK6wDyBGrQ
5mRGstksOUu2ZM7vj/fZh/Af89m8UzYv5HhRIKKu/3Y+y7ajpur4yUPkt+drzYLSabngRcrRxFbP
FvSK9agAhTEKDSJjTO6fXw3LbCoElrQZXOGHpp5JLtix07k1tHh5YZXFbK3XI0sVX2NwlaU8Qiwm
YdqXTUJ6nEP6JC352fijW2SaSBZ0W9bOGtkrP1va2rxwFBa5inXujoevpYnFkabGa4nMvEkcIFL+
OFzY+NvdhPmIyYxeW2isSOZuQc+Dcy9JqHJ4G+3UkhLI+0Ma/fr6QD0guODayAzFiC/b/5e989iO
G8m67qv8LwAteDNFIi2T3omcYKlECTZgAi6Ap/82qOruEqtbWv2PuyclVTWJhEnEjXvP2edvfI2W
Mxh9AjG/lqPlfc5l5Zg7k/HowS38xqbHnyKotVVwMftZGUeNHVcHYRbl04i1fAwrn5TooEPvGWiz
34UAptvHmP1rd4P1ZUw3qT+ahyzIbwWjtq9jY3dN6EpclhtmOe716BCIkyIXvmRFSpfVRz0WkUYA
7PPCHHk8AcvLHVyqiJfhFzjFk7ZoPZuDkgiDTRfIG5tVCbc8rs5Lb5Zj1Ddzu2UmXj6lzPDxUplM
CfIGchGLyMQIrzfKV1QTzsWs3i12S6sbERm/3oPJ+vylgYrvrBnGKS2MFWFv5lX1MHnW8JRZFtJu
X9fsKtLo270UQ4ApWWvkvWt3HWVRPBxQlOY7xgRzs6mYF6mNmoKM3DpbjKDj6m0/BSMNmzTPnwei
puiag2sFZS7rhyUfaInZhpbS7dPsje7qt3Y/63+gfu9eDW+xHwlSIwpFueKi8DrCsDMkNL9+In5+
WfNAMFbmZeZQKthk13+Ub9W0f7zWSao37hc+XJIliq1b1j1p51J3H399sJ8XqB8Hw2SCABAbDGKl
DxUJsH9KOxlUbwSTCjRpSn8wKvqroRDF5Wgjd94oQppvGRF6xW/qsb89+e+niTaMkQ0v8Y+yicHp
ghpYvHhrq4qNqwUWVu0EeqTfLX/vv+lfr633s8SuhvAAvw8L8sdNpDLJWRnRyrwh9+Y7Y5ksF6js
hZFFoCi8u8oEcJiRbNeEeukETWSNDYxOEIQudKwemSHiUPdaujI4VVrrPbLedtRJQ9k/CUHxYvaV
wHTdG/YtOJrquxjgyVS0Z28BPJrPQc4+NSQAk2AYghSuLYFVMtQ84dK9KZjFGVNAY00G81teg3TN
20HujMTRv+iqxz7I/ftNLfR3ndxaBlAGcV0s1uiPJYGheZ2yYSO+2cN68dPMSvdWnZcHtSgCUILy
xdICFQ1mwtCjxWt3sCsiKqNfP37Oz9pT7gw0vHVXh/gUoSKUt58rYhRagvFB6r0lA4MD2mmyCJUP
oAsjTrn00WgL0KKix7qdaY1g2lOLQ03f6hK4ytgTL5po1wvRkAdrmWmcyTh4FURnOhtZaJfZXHnn
2SKH0BLWAz3Q8rrWuGmhy2Bs3iy9YuyS11AuvSbw7igbx3o32dn32c2zK8vDbFnQKT5kSd1cC3Le
ezzH3fDHXKbDI2K74larfBYIFx/BzjL7CU+OzEiGKAPCbtMWcsKIKyAIiSRgBODlLQnjHmvive1o
/jlLZ/vZoKsdhwwdHPWb6mi9dj899Vxbm+6CxyKFLttcv39/2WANtIS5716MGd52rjQAPE9NZs34
F9tKvzIm9hK/OeIHKNn77aQ2YItjmLhXkav9fEg88KUULJ3f8ia3T7TNNBHGYF0vaFTmOwYRPW96
SD5vjaWXT1mi+nOWBfqtNgbW7teP1nsm4M+nT6nJ69P00YG6xke4vpxgdfoJos9EMWBg317HrySE
pmPUihnSjW4WdDjEGoqC0Tedozx1HfSXxErQJwkCqB4atg5Zu97nDDjq2vqlhV5pXXpZuFl3aC1L
XblDmhwTx0tsuMOBOYUdmJOUDqcuSG4z/JqMB1z+e43LssuLXrsMXIM0WloZ2vldFjorQrZwbmXN
LplYvTe1kRVnwZiXitISI1TdtqyQlEw5M1yGnk/OyNaUWqS7701VHVNRWjLEe+HpPImMizYuXb8b
K8gqRq4o6hQTTeZKvVuWyQZPbXM5NUGHKz5rXHTcmHMMgAwezFodg+5zL+vs81BN/Xc7M2GYdiCg
/mx8/c9n8RufBcv6+iD+Z6PFUyaTrMq+/Mwlff+hP70WnvOJthy/x1xblDQ0WLP/5JL61icUOPgp
EPohnaet+E+zhRV8stl9wCAj3gJoqE4L6k+zheV+4rdZvk5hz+vCdN3/xmxBR/Gn9w4fisNb3mqq
5VPoBGr8/BLwR7eu6zkxDr4/V0CcxxovKeUvfKu5BTBtbVUVv86VT3DZ4Cfpoz40ycaGW32Rpclw
ZdUw8QM5WjvHY4C6lZ7j36Rz0lxItyof6goAe0ib59jG/UNMTJ1PmmL7RbeaQmaR5AI/ouSpmBq6
iPPEyiAZgey8OXFVX9QrOMSewclVeguGQ5kghKwGOVVIkRI8sbvTvhXKU4+FVQv1jaop8HLSDe3p
CtnQVkIzJ/g7v9DzovH37hhTm1o2IP0wYXJ1NTCgN5Ds1dqDZjvNStCqxi2JaVg7Wxa3TmSg+ZnR
qytDKqKki9R/LYvSh0/ejz6Xhfjcg0GH/pw34MrA3bdIZ8zVxeUjX9gZLbY6KMZ/2GKpLhICopGy
LXbkSLv4zIS6giAT25HmuQ40Emt6emcoASgzkiMSiGxfN6K5iQPU08Qug6DCkaa99F2ZRUOn1GOq
d2lUZDCTYBjDJH8CLjr2G89VON0W3p9NqPIYYGEcJCBWqIl787rNGHHuNDzbD7L17S8DfUwm2EC3
XuwE8t7amHhQk7Ve5cLgWoBSMB6CAvNz+E57or5iMl82K82qtzBtAJyBodJRsYJsQ7dJPE5TAVvx
nRF2lJ8ywqEL1bLzmCpgfT94Oe9/LCGrLZuYVxvizeEdVZIKfsax5sI7NxUoWTNYhKDxLeKnHBNZ
tnFWe2E/2hA/CIXCpJascAe/LgBZEcAaPIExJVVIEhk08mgCucLrwWkIxqn7yauHZa/6AL9iCi+h
USVMBLv3iRySqlugAa3oq1lAUDATA2RFbi+cEDJ4fk+LFPOiL5CLnTAm8gEmo4VJCcKVq/seCgmJ
mpI4YXAOA3+WFvnsyivtCO2ca14xIJ/iHT0jHcz9Ol4MmY33b+/AogyFFoLHHxibuoX+xNR0XWG0
auxGRjorDsz211xy5a4nD7sMYMjC9nLZSKxHwMJWloPNyPqo1DuyZw22cxPGfLbWcBLxYOo3PhR7
IqkY2LreCnmF82QdGbzzbP4Irskn0GWTLOC9UI0mRHZM5rjspTTsL/o8g176QQnSZfPSYhseQ8Cc
dOgwQdm3SU7zsrBWN3BmZZIhsjsA1WjNjN+fWOUKtRJQoNK4dJ/tPp+1p2X9lOiUhuRQzgDBcc87
fFiaFTxlGmXxFYPIqoBX37HKdu7EfS5W0P99P61wtLpcb6mpr9eHqbLeXfWkWlwELgDJWdb8PZjX
XEo/SKDTaCs6rqjfMTRkaOy9qeQNRbUHh0foxrzLiB37viwOT2TuauszZZjgFuFV+GJfDyNNKM8Q
io0lW6CNQq08RX1gLgfcDtOdPgGPG3NgstgcBnLO6gHMUZlWZNsHjIDPvT9s6sbxZ1yiJD6GnUmi
5yCqBASe7LDQr7yO92w5bibmejx3BoA0xNdhKcnN7O2hi9GFkUU58hTv88kXuwX6wUYfE4eQ9L77
mmuWYWGF5mtBCJW699HkbtAc8WCbkr0zFWxNQaPbGmcnkPyES41MZWX2lOiZggpGCZdsXA6K9uFh
gjj9lULRs7ZGVQNCgdeCy9UEFXhMkpXf+p77Oas0fpJsks/u0IIN8EwxXU+GY2+hOJrJVust1Gdt
TIktcOAd4XZYIBH8NN1IVozbFWVzVzJnp3wqSC2Fh5CajzDaSBSZ5PzN9oRFh6PPDjkxGm+l4y1P
fgK5eIdwNT+30s2+Wa2aHsDuz8dGVGKLlTve1Jn2CKpGPqWm3UUV7S/kUIGPvhqgTAhHoDwbinjN
MlDVTvcFM/ZEX75hYif9wprK7sJ3Jo8w9tyb7XC1I77MRd5d9BOwzQ2TUOM4LLK4FExrSKaY1nhQ
1ZswQZE6nJ2kvWIvKr45TpDaW4KbxjJU4BBPTG/8q3LS7gyhkZyCE82SmwJRtgEsi7f57WJb9C51
RDKji0ILn2LUtQUFIUOYsNCG+AbRG2+T2UN5Su/szqiqz1aCvmHTB92S7EG2WeeG7EHzMQbP+jSl
aPnKyb5JnbG9Y3JMgnXSGXexYXj3lddjSRlU71+jS9UPmVc2W52Ysc+JOSkCIP2HJTHd56EjQq5W
qIL2zlTVAd+PpmwOo1TrF39CxR2AvmvMm64js9cVTUosnJ7q56leSpTKba/fdmldg+jDoVzm0ghp
YEkifEaCO7blpFfkIcTp9IoKTqDztgcn31GhD+LAHLkcNpphl9vRIl/IV3r/YFaF/5Kxz+lYCsmW
GHKM2ELXmiP8SZ7qycpfFcv7xUTgwVVv6q+T9NvLpltm9vmTaly2eXF/xuKWs4cNzPs50GwaXrlx
W9Cj/j6SDvE6M9hrv6heL8dbwAZxctGTLnJM4JptmlZ+Bqoa38JUihHKFTEgL0Odx94gErKjpPFc
eRo6S7uWGBq2nYnZDsyo+Fb2E7RA8kC3sTObt3nWjy9wE+IoweR9A/nIIW5zSjw0D0REEHmCStPT
4uJSj1uzitJB127tonYizx4IshOlFzL5UaemE9VrNvT2xqmbx3hoiPrT5VPPkrhNc55TMFgvBmEr
OYmzZ9pz9udpShC1eAXMViPujG2swd/oEpsOiF8Pl4MnD/4w9WHhmYhydWPgrVk3CrpD2tucoU8M
VApxMUoac+hZ/DTAZDwqepaeBcmnKznpOc5tEnZKl/g/s7bht/VFhLGijAwoSrwLGwAXyg1YKQLY
uIndMqd2WcJ3gW3pKjTNxrr1E9u9AQ7W39dYx1joKyZkxJ/2m2JRZE3042UtC9qgQ/Lo6q1xUUkt
Q0ak6OfQFtkhPBP3YI5G9HKUHzsTNkWkoEB220ZHFDr0LrZS7LvpjVDS2hWWPj/oUo4Xc2fpz5rk
B0c3qS95A42HTHVZF/VYmKxeH/dNNUDs7U27ubDE0t6ljijHzVx103ao1018OtXGaUCAdZtlrh7J
2D36TDvPNeKeR71D+xji/H9Kh/QzxqgYLZ/hU1CoMXkcmwBlWoc0JWQGfXIb2i1KT8wQwb+/cweX
+9DLfAIXIvRgAUcyuJJ8yNThmyD6YtMop93ZqIfrC0K2STr1RLlvJtt/asjiDcdGyfs4r70d8YVx
vmU5nA4+qp4I+UZB65XBm5LGXYrLAQRpTkzQMifdRW3PtgXCeB4ulLRpypimsnb8jLr0BGFGG4/3
zRt9Mve7jx5hmxWusxwQAJZfGw+uHz3NeFuupVUjOhmW44y/miiiekOqtLvNtJY4pGqE6j/4A9th
w4ziuew3M6xhEo8886LIxXi1kEttPbK+MZ+uSisFnhcocZP3GZS5wqnvBhJx3bsy0Kxl42iBpNOT
UxYAEfyjQMSQ7AKYeXyBdGrBwjWKawBY98lYqnNVdN0WpHCgNnnnx7cdZcAlGSgNb97ZSj6TyVLV
0WLl1Fh28JKA4blb4iknhTFJd20xzGenc5wrhseEowRtq8FscVCf1WV/oYx23vsEQ9wgi+0e0kmc
2qm9aPxFRW1gtteiq7uvGGj1/di38mQwBtjLxH+iUJt2HgyZ0ZP2bT7OJaLfESroLlciKU8d4xZj
lwXLMsN8lE2+IcumzkNhussdA6DmD4VElNjuwCxhW1YCSB2uJ6S68XIuBqmJr/OouhtEk8u1li4y
2yZ4Goc//L55aIa5KrxQ4huJ10hRXm7HWLn7NrW8u9oonxsmdOlFVbZefLYq/Qut/OZSORRymc+z
cCymLOY+53NBHHyerh09iObPmeBPcgolI6SbdYS1I4sWlx6Gm2Z6XlK7Jq5M+ol3k5hNe8Pqd+wF
K+h0+MtO/uZH7+mvtvafG3K43nTs0Ku/kWaUYUNJ+HljnATTMJvJSpKTEojcGt2Lccl8WKBDvwXS
yPa/Pp7z8yhhPaDNIBYnJYI1mrwfR7FlOmLx1rv6UAnANn1KUUzKmfOl0Ho6W2Y9fE1L3bavktEf
rKOUrhXPG0KkU3GZOzk5lBpf7C3TY0C9UCONK6G5S3OSNHOfxrQPtmNRUwDaSxVTtgmX5ONEtwI2
9Ha/3JvEYcttqwp5yIaBMrMBR1o749Tfd9Cqut3SGwaKvsolHfN1YT9BrKyv2NglMQjWDGMKNEre
GA+CDNAXbDPdG49M9Z08++rewm4D7fU9g/09hUQXyPXOCXsjbX136mywDC2+hYw6dLhV2Djs3yM8
Z/6P8tquG8KHYR67atvRpnt53wu/g+x+fRPWbse/2pDrPWDsTx92pYmhwv/YEi2okGPcivXBmdf9
skNON4nlcA2S300S/92BAtf+IXExPz5dGOxtrQWLeHjH3NKcEGLbVy33h++e/aXL1vjOpFZsQlBm
Ny+/Ps312f35NNccioC5MEoDK/g4GW602fD0WdUHmTfmgztNfpRBu6d+XJOllcZRsTGwCfhBCP31
wY2f7fbrRUbOgzkOw4VnMQ7/8M1iQklSMTbEQ2c0bArHKQF0A/vMfKjyjm2zbbic/LjCpf+MNcV7
z8avSrzywHT1T8v9/9qbv21vokP4y737W67p0zcp6qr/ubv5/jP/6G4an5AxWAGKBmPNcrG41X92
Nz3rE9ov1GK8PV0d9TpH+geXz/nEv0A3x86I/iONx392N23zEyMJpku0P/Ecoyr4b7qbH77NJkN6
g4Yfn5CDMLr62NvES7BktY9hCjQmecipH+YIpX8zR/n4ZUIsxJSZdiOrBZzsj0qleBhbGn5JfBgY
fRtUDwHAJoBar1U/qhuBevFYLi0h6fXCK/0v9+PfLFLr/frpm7we3EEfqjPHgUnzcW6SMiVQVkF0
aILLqNh5spuiURkc19GLu9ww6y9JIBrEt1VmRex4sm9K66tqS8PNirAvwNUGscsOE+mo1Wotoep1
et3hxCKEviRursf8tu2SZLkcOi++E/QJo/+Pk0DuBUQG9RUP0ocXgk4zwBL9EhzaRZlbZdfLTmg0
sTJvmh9bSx/JXChoPmjEeW8MXPQvE2iDyKmTlfZHos6NW8Gar4HS4WyivRMAIt6NflEeYQBCzx8n
liV2Q7sZIFYeagJe8q/P4ePivd4HH2oKADvMpCxh3Ke/jO86hu/D7E3BASLgFEl9YY8/ynnv4Qb4
9ZE+1iXvR+L1Tet+nRp8jBKio9qRY8uRRoDfBxRr3Dxk+yfZW+2t7pAX+uvjffgSoag1eK493147
6qv24OczM42OrqxWcjzsFbe8HTrYRxRDvz7Kv7l+62gZvZJv+Qy5P1y/QPK6oBXiH6Q5ZXufq9Yw
EjsUnf/w6wO9q3P/uvZxPg4TlXV+wnvhby+FPDHMYOIZPJi4EI+L15kEcPLMzPMaVCDgZ4QGKS0w
Mfvibh4d/9yUbhHZuRHfpUO1XAjHaW/ljMQ+dEenCxtjlfaMhrUckrKJT9TY8z7j2XwcEw82s7XQ
ZyPXYFokeHUOQjStuUVpnh060+2eJ3fJDr8+ScZBH98LPgZEXg2eSRpHQJPu57sWmzGg80Wqw5Rb
BpuQGkZfEndHEHM0TIvODF1g0aqUWuQUJZjG2csP7LYIuTSaflc0kmhNHAJZ2FdW1MIofDZghl45
wWy/evS4n53W3UJ7N+8NDMsU6HSQN0CaiObUi2CXLlmFXQPkFpkkZgQ1cd4Xyc7IcerwOisObu84
18mAdGrMYPSzuhAY0MTm1krc7AAYcd7UTob727SNfWfV/gNR8vkx10giqIw27cM2ib+mLDwbQQD6
0Uabf92UDOgxf3o2GUyELY2x62yb0bQ3rg2Nkx1yXaJoSupDIeviqQfnWbYVeY6kUlwjJZnfZvrb
sMLSfktks7V3YpstXe6mGGsLHJMaE5RbJ7V0tj+deCaqufjeGClD20IPZoKCZErBiG4Fo0eVqs8e
uS+RJ0x8SUFQHvM5V+elDdxrjCV+1PtZFYQWBt7rgeLvD+IlATi3AC5UgCIhLr5pheZfalWpRUTJ
0EH15EkIl0/tGu22MIMj4yCs4nFDw4kWJmYdKTW0KhUO0fy8Xs+oBo+9QXKgrS6ALjSE9QLRfQpt
JgRHuM7iDIRjftTKglQeQ+jLFeMTRj8zsu6tzvoCLWCy9mYd+LQ5besLHYvuJuc6Vcce79GmRUv8
UNiYTRqeiBEY2cCw/QsTjHpHA1dDLaYIEF0Bm4/V3NH9BvnErVF52Kk6OUzzsEtT69aMxbDl3TYe
e7xlhNTQicSwbr7BGSduwDWa21mWl/AjUupSdG9jUoI+jVdLvugHppb6qTGZ86DaJC0oUMl9lSeX
ceK+pphCD1iQdDqdCyQN6T4TR/vFFFUVTbLLN1ruMk10Yn9nMeY4e/TcThU+9bAeF7URa3TOkLda
2I86Xa9AS3lFwfg0kF5v0H6rC81PsHmD29jMIOBeSHib+TAq3kHihWrDeLIOcduNPFwjIegsQwQN
J76LlmDKGOYlromdrdMuCGqpz71GSLZUzvwlnzpy2rLO82k0gO9iuJg310utc4eMzmgvZvzFR8xM
5cGwMv3g1XxdXI2Q7YI2g0kU85aAHrpOXspeu0/jjdLz6qsc7YT2kjG8gSqYP1ujnE5MZcYjYSWw
V0iYPksaqPu2L+hAxfp4HJjzXGtz0YRDOc8oGPXc64xjlQXe0kZG6wraRYkIlbaoR3vUqx0q2JQk
l6TZ2iWtPnJB4jCwmGka7FHPmWK4U5GMBeWVv+bVQDxw5sLzDhqdnmA9zHvNRSPZdnqxi2lufB97
OdVXKB9LmOsUBZhxdCaPZgFBWLCDYby6J26BEAVm1CSNTeaWM5YnjwiqLQOEgkmvPl8svd49L8Fk
X5t8Ua/mTG+HqIgB+oY6RudvRk7iMPDjBRBsLr+mnkrwuWfeU4pU6Vw5nvGg6dQXZd2kAJInqpOR
kg8OJoqOJMj5dMAGUKsgsNkq3S3uSvqYn0HSFFGhLxNWY+pCzWnmfVkYjN7sFp58EgxPgP3KYws3
9Q0rl04Ssc27R3KSbUP5hawwPi2BzeeareYKdEp8ovnDyjUxItq4yD2jHOP9lmk8Z44p7XrNfI+c
wTK3bb8AYXZo5i64ajsiWxZ+xgzK7plIiTXjF77+hEKTHtPYc0qau0Z3W97CLKHIna0FS+OaLToe
htXN3PQMvPTcLcEYDfGJWsWBeEvjljpSnka0Cxhw0/k7NfD4lI2S93pttifs1Uw/qG3MvQGVeA8g
0aGPXmt3MwdIEdSz8i6MVfjYc+q8TmT6Mk1BJ3tH2BZ/KpLhTupmG0kvNT6T6kjcMBnUyILrfZdj
0ie6TLcuHIUrveWlYMjBumJUYO+atFWQ9BnLjGWe7morBkxRDQ9GrGGl63viA4vJ2XqZfiPjCnR0
kSbjXjbjnO65/FDjpe236Vl2ooXGOzvY81U1zGEvJG1ciwjzcxALp+HNOneAmH3TTq/UBBxx+dE8
+N+G9TcbVjBTJvqV/6zHuflWVR2P0JcPmpw/f/Afu1b7kxvQeMHNSrzNKsr5567V1z+xZcR7ZwLq
Wvezf9m1mtDk6ZjoqxAT8a0T/HPXilzHo6h0sQdSK7vsaf+bXav5QQxHYc9mdR3r6kQPrv7GD/vW
UkBnFo0+H5zVKR3RTAbt65STdWWCwgi2gZkzVxIik2I3wccKGMVKebR9NKu7pUUDvqFVqLE0d33p
RCkNIFZ/vjqRDL42kJGuJ9edL8Rs6BHTAIxUi4CbB2ScLnduzLT13dJsELTRXtwS644yxkxjw9zS
81/20MvqJ9nN0MXzNr3CXKJvPW1ZHoHMWUgUAN1tZUABArpHtPdJIVV10NugxeCtdO/LkluUMIVR
r/RsuEUT792giMSg4mhIKwaPS/ZNM4zk60Rw76XiZz47c50PUaAFNvFYZZyHhteRcUh/ieka3BsT
ntLk3AR+Ul6MVpBfg1HpL8ep0/ZGnKMw0WOIGDU78i0WVRrkSDbGjcNF2SjoRiEtLxQtgoFBGDSx
Dn7MsR59yWVGfFtwCJaOU4WUAscyvnbTbJOtGXDl7cw2TtMSiJtes1xke4u4ZfdX3+SDL6/TmH0V
LYGiOlGqwyiHNbYpptTbIczU+w3J6peVZyT6dvbcCbZKgfRyU9EGZ7Pfn4fa/txhGbk3uq7y9z6C
2RKYeJ4wVxj8Yl/xdntSZWHucjTMe9EQfbIZlzi+xLifRbOlFxs6PMslxILuznNrP9+6buycLFwd
3yGCV1tbGHfeeCOCsoo6lqI9wPcbexgIEIKJbl0ZdGRfjLlJHqWw1DWOMmeDg2WL5RUwhigQLaa9
2FtUIKegXN+BwNJuHexql4VtPmeT7UaAGQogWMO8qyja7+fBabeu5ojDpAsEEgaDuyLP7+KhZXir
dV4UK3s6Jm69L3LL3wp7mjZMOusoXmqB2mys40MexM5ucEXxPZimr0YcaDs43bBc0r407njIE6pL
vDwQOgWhBQHSBab4UYGOP4K+dlvztG0ML7iglEpDdgsU92n3eREZ6QZ0pSncXCMkjo1P2ZHEmQwJ
OjaocacSV/NnoiWSY1Om7Z3DFOhyxvdzwiHTRjlmDfZFatyUtkyv8OPx3PDYToh2GIY2c0pDuUoz
8FQ2kQONOzhbgIXqbp56h8ors+tk79oCSd6jTyGR7brAmCx0Y3id3IFyMU1S/25iaOqCbtICf7g3
zcKZ7p0OKqQdOi2w9Sfim5IcSUGeXbhS9257n4n6s7IXCq6BoSe5N0HNDrZ0s5njj9lV4K/ad6up
dWhWhhw3K55MbkFrYMxRgVXlx6k2acyW9ZJzNsS12kRMgjEb78cMSNV9X2Q4jEIsVbl1xdB0zF+K
giF5FS1jUXkg8hzU93PjBgu+I1PxZhuyJHlB2Z+wy0gN8P+FVgseT2gM+lbNaMWhYWSK08cL6iVR
mVcED7TC6ouE3odvvzBUnfqvkFWMwn3hGgWgzcuBIFOKNQuVdhWzj+MfblwcSX5yNBCKOjSzh6oY
XJAUrUVFYPbSjPliGWr7vvz8b6X+zUqNVWE1Mfznlfq+Hvr0/22+yLrMqp/1sz9+9B9rtf9p1cF6
rvujiUzf6F/yWTqfDh1X+m0UBvyXP/vLFppb+ojshlYrpUlL6V8rtflJR7vioHVd20D0f/6blRrv
3oc2C9JdXGArE53PYfzN0jhkZlERHVUfFISXCbs9ApgNBplgn5LNuaMtaaOwSnL/NkB0OYZgYbMr
vrt1NJapv4L+BoOgzMx6fleXIxGs7sfOjV8Dmx5uA7eiOXjT4hwaaaH7Q8qPU5LM1MgrKvKUQPiQ
ttpriiYFY9fAOvtEQ16xtMLOBclqnYalLclJCrJkCeU8T8aGx55kkWU1vnRiTR+EP2LvCq2zr1Mj
VzdFGtsbDUSSttVbzTqR2gCAg1sAGQyyBns6RsKMZ8gNvkSoG4NOMwl/GAjmZB30rWOgMr3aIqsc
X3SCAAIU/HH/jaMQXyjtCghUPBAzGfpNixzCc8t5G8yMEFWM0mMDZaouGPlPGDkYIXlb2mfiO24/
5+DEztrpdUjzNZYsfluQabRhwVTyuVk0tjMxn+zZbpzuuZrofgcFlqxYsQ+aBoS/TefX130nx/lC
Idp0Ihs1JH7BlPc2S39pxBvdAMWFCLjxb1XB52rdhgtJ5y8WIakmsQrtXHm36DSbVyPx/RuS06c6
VIvEFBcHHtYA6Bf1zvMF+sXFO5Jc2VwXRhvcQDZEB5PbWIc6rh++x5ZMRDdr90uaTud0CMydSkeU
rqC963vDaP1bnHPZFQHwhEESYHUQBs1dEUvjIcaKdcTgAJiyJAZbDV59Xch21O4XVo6tC4aK2AlW
zbYsBjsCQ+x0h0UTMIIGw9oh12v/mBbRvsihNp+pNIknAZRDL81J2H2ClvC3kgk0BlqoUbeKkJVw
nu3g3sQwc6usBc0riCgqTGe0XilK8Sfw5DkmKEVt+uIvCOeImw7OTWN5yW6AFnsiNbPKDmzt+uVI
r9ykRxoPGmmgGknak+lB8tSVX6VhR/nWH1OHNQ3jBao2j/lzcU4tFdw0Pubd0ABs9lhRp16mnaZP
0FpKW9NXrFO9OBsXEoq1T2j5BHGo5TkgrZBZK4PtGbaf/9KusmCtD6YWBSdDdO4P7SREENbQTltQ
AP4uYS5iDmTlSq0/9W4z6Meybefs2Wy6oD85/A+WPo/PZy9ONLKqZUdsT4zaRYwXCLC757QVV0Sg
J+dyEFnwlZFnPiK+tERta6dE6F4VeWapPzqWnu2yZab3QArHNqZLsdNd/trjuTm2SzKRGmpmkRak
9SUap3bbNf0dMZJplJWN6SJchVXCXjWdnqjsEvfA11t7QE0a72spaTkPDuS0DahS2isAZyO3oJ+h
AQlJ3pyKz3CY9QzD1jiYQzT3am1l6fmxHnQnmoPqrl7QWuddfMwZPGwCv1anKcuHraeycmv3OOPa
Wu1JfdHenIU3TRnLTRujsPbZls+ZaYTsHryrblb3/dIlkZdMe/ROzpMh5RzmA8FSa4D79eTrdwYC
8nCUC7etCwBy2m1CIR6z+DdusouR8lF9Vhd61XTf8tm70hczfqGhjeZwasv7yh3963yEtTnT3mAf
0o03qNRQItWoVScMXHvbXa6yFjRuaVN9p3hed7NRGHSt+CmjmAuYRrJuosJfXgisdDZQu6+XRl6i
NI43jYmmiFae3LcxOV45kuxLKePp2u1Kn0CW+o+At+2eECR/m8VzvKtlTzUfg0ZHedEeaO0RUTWO
2gkAq3Exl8Q7Dl7yWpNIGyWQRDeFB23UDIaV11fL5ylvp4OONf1x9STyYEzaPpHq+yBdZNQpFiNa
Ygbpy2b8ahUO/q13YYSb24IpF57CIx3vqThYwnYuqhbTElkQVH1NQn5pM5D07cerzV7D+zg0abDP
iJ+O8pXl1js2nqjRXbyrGebFKsn9P/bOY8luJkvSrzIvgDJosYW4Mm9qpuAGRjJJaCAQAALi6fsD
a2qmp23a2nrfu7KfZBaZeRE44cf9892lCEt+fA6GPn0LeodH1mlS+FRTfr8FPgJ2hx+b8bmoPoRX
NwdjUjJMC9M/wEkIjt2mxKeYU/09kJmWjGpqo25ut3u0Eqza/SxPYP78J9BV7Y0wsMYeMnvzsr6B
jx300yHDYg0tMDWWEJ9qZVycpczugqrxcQy2Tk/pbzF5UcU+lpJpCmywrjcYrUdMQ8o0rHsrZdin
lGeh64m6KdZzqX+k6YOKRomsCOaTnjNt0t5GgUjIJ67t42KaxVW35DPE1+4J+rZ+b5VVG/vj3ghe
8zGw54NONCVajHy/GgKlVIOt0Xfklb+twW5+T41sYjfHEBhx+54d3oMu/l96NSyUpN6J9/Keb0BZ
1TMgLv9r8aeMnoHev+tT87sWTH+AOmUfaBZLqK2tHg228w3qj3bjmaoi06r2BRTn3Lb26bdM2scF
zyvO+1++2TvHrbOJtkDfikAtfKxqDWIkdjP2PPmjbxDslaXTBr1UXFxM8TtLPdSvUgNm7VvlSZnY
jSNzWzEvu6nxWA+uTKphrjBsAxrKEEWbTU5Jg7N2DU3a2mBj5XJma2w02322jnQmNMPXVOavaxcz
SjFfFDjWw9lS9ckzyi1GYqZTBRrteKkcStVzq/ej0ZYDTmkNVGObFj/MqnrVTJfM99zr33PTK8iW
+t5vacjnSRl/UvyxpDhwZGveJ+XUetw7dJEule5dghVHm8DphGLQf9J2Jw7cFC4zDcN7KYlI6OSl
ZipTFon0tTkTKT47K3mX0jW+FfNa3YEfo3G7cI2DIYeAmPuYR0Ivjyw8xKUblxd7y4eDQYAI/yJ6
KqThr5H5MxqtqXvBKaUiKEF8r9PGWmOgwipxXJpdcYY2h2XqMMRq/q80Mz8M7sifOgUBD9QK1BHK
zFNvjHyunF+N2RjU60GoE3khrgLj63Xqzd9eM4PEMb4Gnxq2GBCUiAwcpydfoJQMNqbaokdsAYOR
H5lYvGeIsFmc1zO+aqbHB7P1UlTP7iL5oXe1PBa5fg9oB/ewJ/iIGn5GD9tixhIE0D08vm8L27Dn
FCoZ9lEcgWCsW/yV+dThj0QSUC7/OtzfNq/0O60f3Bhz9RsEw+M+bPZG+9B5IzGyObgCF/1DW9up
N7Efgnx5SOfhYav3bM9ILdpAn4Vovss6aMNtWF7nYXoUxvgwau2Naa2I+ML0347pEgFdxZOmpixa
Sx5zhzWeih16yAjM0F5z15bkTtymb6OcYjpz9VjealWzPcIAr/7JBfifi99/dfHj5sdN7D+/+L3+
Xn4M/4+j6J9/4n/f9wLrHw5eFnyXAeFIb7+g/evCZ+juP1zQB+D8WNHvuu3/vfG5/6B/gl/Co8BG
HzrC/7nxmc4/QJ/sOUfCjcCE9P9WXhJHwn+48hnUiOLaAwPCtZS7p4kM/O+dHjwvGsuGTj/PvSnf
lWZ74VBD3cJAfr8ZWp/kmsGx1XTVszf7t2EQ6sNVZf8iOu2l1+VwmaiRCXvf21DpJu28ghJKjwpu
zePU9tqPyfPg8Lqd3p+AM3t8kB0KDx/Bta3Wk20DRW9CVsKGd94M6Zv3bIT07ttQ9+bES7/aOuso
qhFRyhcoP9CG6YxbWFAHamwII6ZVaR+2LdM55MUsZf8NCtWIUuLh/zUuebC4ZtibaTAmXq7bwyGv
bVNcRhbQNechWQtdDxdzXUEUNuVmXLxuNd9sfOCUl24dFVwc3MQ8j9i/VueMkOiwM63WwitfU9CU
6DMgOlUf55R1/cBf6X9lNCN78WZyMeoTmXe6cgGws4l54WZVCi4VtT0codibV4wx2xBNuAWuKeFp
xeaGx/igaFZQCd0NdDtjHjlheBCfS1uMTVgDHj6V2uIDofOdTxwdFB1aWX4qhuIlq2t8qTBIbqQp
ulNpzm9lRyqpHGck5ibITtX8T9BKlr8XcDyzZKXh1POXW2fLaz5P0/uQNW001WS48bqz91EBt+PM
/TUuKS7maf7cSgZAsw+iarHO2VK9LQps6BoY5QUz0U+qx6lFSKvpZfMndqLc047cj940i5QP5+98
HDwEY99sj1R5PeNvekOdpyy5GK8bO32Yzdn9lvde1EzjZ9cMNN137akaCxFTsRkvUMoJugv3KgQc
WQkVNIetTHV89SbIzMUYvbuEQN1vusrdW+Nu6eMcdODA9jBEMLG2HSxSLZyuR1vZDMtsgk00/Fgp
SpYzOuM5yFV+l061vPkja1cPd+3Z64ri0EIjB5yb5dFfoHQxmerYKKf46bOOuyxIEonoHe05E0Sr
WNf/Tq20e3C08YV39/KCMaPGyoDoC/eiOLWV64ZTobuh1a2OFrbOdBix8p45F/KDlGZwyIC0R06u
BUflzr87p2oAeo9Ix5wdISsQ4oVIAj87ax8JHSJiWcaGkUXpEHfdDnVtR/jJm0YKQ1ewPjTQIRTG
vBq0RYf0Q7xpdXreNuJizSCoKB21d2dlYWBVS3nJeyeINArQ/liTI79Pm8e7cwzLarb3ZH7v2hht
dHgBqpquLtT+x2kiihRb9qb96Ua3tXhHowZDJ/D1jCJRxbttbRbtZFb69IyCMnsvtV2JR9p/mjbs
U1ncC990Dwy8fpJ6qcc1pp7K14G8RzTqBiEwki7mpZ0ySQelNfL/xger2sIU2ZQmKRKKqVKPsN2M
SCk+Flmg6D31l2X96gWHapJ59nqZxqI9wcxYZ9JofLSWiFo0fQHCbjhV2A3wB4y+xy6UzSm6F8DR
/M9aDgHP2hz0XMb0Xsz3NBYNn4PDp8UE688OHe6WDj4uaI5zQbEsGHnyQiaNoH2FYWkt3SM97pwS
rFEjaFxa4nA3IFy84fIQvZWQjK6PzEsFeavtY4Fd8uYVYrmvS+0Hj9S7uRV6SBNTlzR0Zo1ab9+X
oCRi+snLa6sVXyldZ3FhiuKtkSUpT1c4xc2UK2GkZqINkO2B8YiA9a2vqVSmDd1C1MDPcDGC8WB5
lrojYyee4dhoL5U9eHhKnCLOqqCPtiagRnzKch7jeTHNJO3a5cClT7+5tBAnYzpy6xvHkcJXyPF8
nfbQafp6lPtTW9mp+9SQ+TukpGsTBIz86NXqsc7tIinWgVAmzathSjse75LND6kAaZ9ma/0kYe2c
bNUEv6Q5PMHXzeFcVJY6Wf744a5lExa6riXgU852bfhxhSRE8wK2rz8pK5SEPg/tyo4mxzc5GXGr
b0EiuqUI18znFm4bnAf+el/MfvWwabq6rQCrcKdMXly0ixkuQ8mj5ZlTMtpmdswDewn1mX76oCyn
UBjyuGqZ5Aweb8HEqbVBOQl352Gks1A/08TqhO5MyXRmzM/wNc2wItsN95v2af5tuESX5aitfXCW
uiLdyU4RFTEgq4J7I9E1a6RMjMI0MVSsY5quRjf1zeE1oOYitnwWqj0Uv3gY+zP7ROJjmvizgAlq
Cq9L8IVMB32vb0T42iJYwB23jyU/kD5cLlrVf3EPvjFuTleD2FpIzQa3TtNrH0wmkzuWGl3S6iv4
lGLUzxsy9ElzaCfsBbkXhTIc+RnrRMLjNKVVJSFa4rcPTu9+3zZuTy2tM0lejd/NrqqujiBxZYBl
CEEDrJTblFiTajUcKRTLo7mq/kxuHRwWsX3PBF+12rhX0zDrpLe0M1K0lJKjn6qTn7tjNALoIh/T
ykwBdhvD/Wz7ipc7e15qaD/BeP3hxvnbHov6QH/KEqrFfm8kTKmmGvq32udLbdKWxOqW8Y+cbJNR
v8QYySFKKA2weefU5VNgduKs++Z2p6qRb4NXfZ+aVI85TDtO7UK9+ysmPHu0Xsi/tZHKEJ/Kxedc
d4v6p9mOZtSYkNsmu3EPpfLWqKWA+DCUW3NnGuac0Bxg09m5/qRfcwUW4XrhvDOiZ3DJic6l+W3Q
ze2xsij15m3K8hv304Qza64Ef32FneWTx74aEXVa/7X3HP4sEb8XuTcN1ssc4XbNnia4Mo/OmJaf
XkkBpOvOpKeye9vshpMFCcOKlrwUiTOkfKPRdu1vqJQzyELuFmymEntLXZMNPB08IWkx8KCQbKh5
UgjgWWcivi0tEhs/59AURvegjG086aweT97i+N/natA/J335VVKT8rDpllYmSuXqVIrRenAaVyGC
l0vLySrIAzog4gJTBejZjsMnQm+eez9wnmfi8HrEqakxYpjCjBx7qP8MEhrk/qCSHdw8nbry1ZPu
UQjD4ZEByE8yZAg2gBYA5mPcXi8CrnXkjfqdjzr4MUA2/Alz/FLPOTHNEk5H1GfWF+4dBxmuMH8Z
WUnknI0luUFySctZzJ3sw6KC8B4vzrr80mu/jkU3DS/bLPtzyuF5Y7NaH4PWfdzc9ppyRfRixetg
ORnaVvJxdpX3lWZeE+Xm4D0Eo1O8O0LaN2MqnFjS1ZM4+K8j0YkNMYd0Y9KNVvcsLVtSysC34n6p
TB+tNe2c0BsJiMab9McmZnGwPrQw+46ZIctD6s3jwfAwPAj+XsdRutqRjFXaHHuvLt45zap3XnHT
B42v+ktVjileKK84687MxJv27qVvFdnyQhuA8azuXL9lZlGuV6WtTRhsmNICbYcK5PpcJdDLggto
CRXlzWKA1KJ6K3YVpoBNH+TTSJP3u+5v0xcBOAWnvGNpDRniAUCt/NZZDqASbwAjEVsssatmp3Iw
XW1vJGQpPeD6MMyvGZYX1HrHnoJ4C4TlIo+KVSVFyfNwJY9B/oh1s/ttTv3N/cgqFJpYEWNg+pns
gAdRLogV0kX5tyvbvXetKv9U3oyzpPOmlxpcjBEPeavd6nYpPjFCtQeZ+rQnNNtSo/gT6i4Bq/ih
bWNqDYdmbt51+v+eFL/1tDQcr7IJXuaG2RjZbfrZNkQqtdwrD+64ZVfZMpKCD+3xXTWqeTVy/BJA
LM0jAITqDjBYf1ibMY+7rIeCrW01KxgpnMNstPMTyzApY2djkVMqKmRUaUx3TbtNoQ2x8DRh8nsk
W5yuz75Xyu5hyfLFiYNs0Xu3IkjrmgwLRNkD8BfhNJksAr4YNwuEOgLR/Wy/dGPmVvAlqFP3PTlg
UMibIAQDpbZrvdjQNobSSOpNtDK2hpxzFKApsKfBtU4jMKt30y8aWm8h1XsnfCDC+IkbKY11rUyz
u0KpgkzyqssyMf1sjl1zUhBNNW/m9MFBR9ZcE6cJs8Dz0o/cBYxeO4L5zmM1rhqBUinOks9kPI1W
cUe4r4hSc/L+NNSb/9LbXTAHxjOWx6URr0MVpMWnQfI+auxgRmWEyeBT5YVSScjid+eL7ORODSO4
wcYn6gvpveEK0JPC5XROMOVUB8AW2w+dwfo6r8IJa+7HnSf0Y8eXvWxmPz4J4l8f+WI3zzOYiMsm
ijkyG1vETm6w8jfyxsKGvdP/9JTpoK8G1DyafyQVOPc2DaEx5GD728AUmbC5CLAmGiURVWMfzvsV
wIAck6n2zmi9Ku64uD+PWREcZKWbPxz62k9NJQWmQk4m3Jx+6OEaOhYZnAXZYfy3isblx0tJ3k9C
w+pYm/aDteTBl97KB8XfJJSjbrIWMNdTb9Q9o9SU3ZFb9ZfQwPLBMsntD0SrnaRnJQGmcqPxyCgL
gOj0JCVBzWs8XbTq+8BMT12d15w02gBj+qRYI89uS5II1H8E+mXFZ2xZhy61GyqtPe1htLb1Wcz5
aWJVeVsqtHQ4lBad1bA5khoW+G9B2eEtTYuCg7bPWGdpPLsDB/9EFBgsHl5OCaUH0ovipTOvT/mo
B/dqySri1oV7ApzmJGypODCHDkeFbjz6fgOyZMC4DeIh+zF4bIXbDjM1g13v31fkC6Kl0avEqFNM
2PhuPjOCS6E1D0RFmyJv8EYPnz2AyhCU6tF2FkMPO6G+dAzBNFvp25kqQMzNXDyBNjrjFC4t9pAV
5w5dppkbU1zxA5pWnhAcyEOzXT6EzyUi8+N167/w0H8Mpdo/bziGEnz1FQtay0pw9plhXQTppSyg
SOHVpgQh0+mIsPDBRVq7lHUiARhNRAz7u84tWz4tg3c09MqLTGkXd3WWVY/oD7oeT/Yy+YnChnw/
jMzbpa7MuN/ln8UfxJmEd51sMwAVdv/677nlilaOpTo19jjFs9aDehg9FAEhf435Ml68pihDchF0
R3VTnOerOLP06nkBa9WF5ah62vCjHmgb/8l9jVFsbQsaI7ayObcTTVxRpob1neXCQAJqvlm4Bd4Y
pV7JzvcRbSreNXexJtCPyeDY0UM7b7vMPmkybtX0PTD622ysVggb4g2afhWVysYz60o/mh3LfweM
2IQWJcgx6U4VmVPqvG4dkAVnq8xru+YUDreEhr3hBDjhBbf+H/JSzH8r01GbifYl78xPKydyY6nW
/hqcWsZ6Jq1YaM3bQirojxCNth2y1ncpIhEzw/ciJrY1bvPsr6OehV1WGvEo/PS70ic2HotShB0o
9HnuDWNjZQagANlpnOeDM9grFqsGudyuF+dYTVbw3HJgjaGwnM7ln5d6JN1lPmo8CU3i6pW8IIOH
8wbokKtOGvOjEt4N77N4UK7NYG1gTgqx1BdG6Jpb3SZ4nY0hmfSc5jRsnGf+B79Utf4fMzOfyQVw
ePhF/tfRflkdXq6GNf9KKzH1x0qrsmRx942ER7zBqZfLVkBt1XTjTfJKimpjxGtv7lqgaJG0g8kL
PcNl0ePAaUkLwzmaDpNwNpgcCdSyqvlUdtMJK/T3zN8uCx/4qC4Em51Mu6VQh+HNY7wre+8iDDUe
ZqvyEq9y64twkP96QtgRnIM+YjKFsG/3dzJTT0FJTrwp+MSnq8PSv33qbdHGCDPemS4SE1T3mB+5
uyAgbo32MJv2e2HY0HEAtBKucCnDrK32mNNElBRdY5zoNNVi6UzDuR0zHeUCHI9eOV8sBoOnSSMT
XaYzrWfd+r3K2Dmb42odPGhxYTlaP1NHGS+zj9fdXdi7R0CA59/O4KkXzj5STa4jIw9H/0X2iFG6
UQIzoZaulr6GzlIUeFh1alUgPdzssR6idLPsKTZpVWWnnRnN3ksPzL7n/WgEGwmWYhU/BqPrPh2i
rA0GtW37VeGGXSJjrbQfHYV2Dx5lQ6eSF56kjcZbTvAM5J2H/zHCgFzm8VJkrFbsLLGadf3JnMWj
lYnmR8Fm5aGDtHbbxnz6pRXuH6wHqwiDXBsuPTL000bNJjl0b4YyU+jzNwrcpkcT0Mp2Lxe/E+Hs
Nd0RFbTJw2C0RLxtgXvYHcMeq/5iiQWeIxlhMRCHggU294VUuzcK6WB/5WVwKlL1umbONyYE56VP
s+6Q9et44jnASCIHtnSB/zb7Lid83povmc5yacitB98Y0h/NssdEm9THSmliU6i5pGvX2WSouatZ
04c9GbArM8S4HDJXdhFmKXe62C3nT+iOeISPWUoPLCJRnYc7lmentGO8bLncMN7NkLKg2XXyTQq7
v/Y9GRVwdF6gh5BvguMqyjRaORc+Kd8NrHt2Ufqr4gu4sd9P2/tUjQBDhUdrn4VADcmTBNLNmsR0
5/Hp6SNdzOMRqGtxtwkhZMwLKwhHOWVMTDgyQxomcUzKcZ+EOGU+m8r1vmPs9Hm0p3I8CT/v2Bgv
PUMrgP0WriC4F/jJy4sziRHxSWdTFnIN8/lJaMEbLc8YL/KszAjFpdkSo6mtz2ulliqyeNCSDdht
wUC/w5xNXtGMoI2IlSX+4EOlhrjtn1aNsX7D7nkR2KViR0zzMQOm8bRkynwvSybwGFcdvlfpGI9D
D6M0xI7lPw+O5H3KWdY91pum3jW7mC5W3qPLNCzwb3LVxvdKaPo9wZH1aAofVtekButpgO3/HGi0
vocSs+0VRL4JWbeoLuPgKxyoFmLoYk48pV3LsRo2jt+C/gOig/1oKHkoZ/Db8TSjCoaWDLLyHoV/
5H0SSKu+klSGzDO6s8NPuoGGNMqsjJdqeKTi1YamvQoiJMhQr/rmZRcoQlXU1gRMatEYn6kxMKht
LmVLKB3yPg8wvBG5LPr3yXUA0mi8dTMaDnnZUyLBZaeAbDWUR6HhOyE011xlunhnNetjIga3uhOg
tEjJeIZ+R/fp/G0soXVxyhZNjMOJPKG0U46TUXsSVS/u6QDzT01uZMmgNnEktGVHEC75lGhyHm8+
lv4P1FuNl9gsXnXmuzvZ9fMB1JB1Qs70UGm0/BlLh4rA1ClE+66k5nVobtMY/NKUYSQcTunJzR2Q
+Bhjb4Hi0bAonWS3a5273PAf28VdzvPqqItLUHEGnFzHIPYMPjSBF6E3S5AwwXTTpFfdERv92fqL
kah01Q+0e/+gHDWPTBvCYuqXyIpG2qCVyfVNKyyIc9LIE2FuxLD5oB9zJYaIhLN5ph8bzaar2tVE
aNtijFpGvNN+IfV2zLL6Jj+L2l4jrgpkl+TiUi1msMb1vQ4d2AigP8HRV/Xz4uCLXnNeNqWzG0mA
oFV3mtfHs8P6Bo0VlNPa5QcDe04IF+7eqTb+uw6Px1rWh5nCldBU1VswmGDQOKxx+yaFbW0xSsmP
oJVuGACxj2c81PFA+2jcelp3MI3KPs12g/W9fN7A6McdeIIomHTwjNn2QJU3ML2yfwdGUz6SAaC9
1zwxWI1Htdnqu7awBjEt7QNKgn7QNybkpdcw2MAzC7Fy/GiCsn+ap/4Jt129hnoHPycEdidZwWsP
YAVoyNvDcpCezTtbaV+25k23PTAZSs7/kEpXCivswP4YZ3btWbPcKSGWs6z79//xK7djMa7/1dqa
xD7r5P98bf3+exj/1/8X9/vPP/kvu7IHvwKvcsDF08FevDN9/+VXNv/hOuytbZeAEc02/86wbOss
tvls0DMESsN39xKzf+F+vX9Aw3D3uDp8IJo8gv+OYZnGpv9gWAbcT0rJdjyCRTga/2OPU7ZSJs2a
LT8PjTddO791aK1GzLhaK1JNbe9gV4Zl43kwNCCocNBxB/Je1yGBVblEhEzTyTvIMZAvgc/vCaw6
eCv8sUbo53izih0uBh2w38MZIMeWnT42AEKUh6mc0h28ZQMoo9Crdmh3h9mvApKZzs4yo/f60lIQ
i094ZUOQNX72DR8LNk4FKz6i+ugjmOc3mtFS9Kt0WL/RILKxfKyhdiqNIu8dq5btgDVqRTEXLzt2
jUGUV/KmpWQ11r6AHLvhhWQ1Dqyt056KVJRDnC/lfJIgBW/bDJp+2UFv2458K3f4GwFp67DKIX80
g8HFqMSin+5gpuXEbNwiLnaMnEsLLeGCeW1eshwRFmowgZ+BX2YeNa6BUXzDHsdawwdQ59sr6xUY
ZlpPriXDkkpepbDHlwrM5iPqvfWU2jvxrvtLv+toFUSxo3UxDqY0CH1P2YkpUCBckIiIRnwLrQHa
n90FTWhqnhemi8X4U4mTge+YFR6Jyyl/4GZA96W56nYde4pYu+3MCBN1ttmkjqVit4P8S73oNuJU
Gk8BHWPf7IEkbCiKzUg0RXOxXa5sSuXQOvw8nOlu883TCE8Qf6mD+4gtDHHat5Ta0kswy29rtdo4
mPX2O8m09WLkUNMaqrUhD6y81UaHWEeWPQ92a7Wx8rr65pdNf1//JR4GNYXSoaA4GlrA4CLra+mu
CqrPVKbmE8WQZUJv7nK3buL3+Jer2O7VwmlfZI8bcMPLEkAnKF0rotdvwXKN5as2ICxOLcApwxo/
sqFDOxm96owvCK7j/JfxuPzlPcosG75TLIwDDwPsEzRLSnlhyLxUro0f3mknwG5D70ajaviWzaKR
N3zB3+fFnu41Jj7i1/pvu22AJsx4TNE6+7PaAZV1AaoSe6kxxJT1+p+wtafXTdsdVCqtE7eH4MAO
cade6n8JmKnbtTWlC/P8Hepxp8fGyuoxGbBX4e7YMZobP+XE8cYmKdpB6U9qB25WO3pT9FDA8Seu
yK2QOWfH+NyG4FOXYO9hgCXSY8jkUlSIILK9vJdH5ARWsZnpvpOKf81S8Vvn0o9jd6eCSkx8Jwcn
q/+ANUMgSPkFAR7XPGWcOc98BQDaiJz3Q19cGTTm82K0WOI71vQLAsswm7fhL6HUTxeZkT4Wn02x
E0zlDjOV+nAod7wpPlBi8z3I0/Uv/FSBQZ3goeJXz8/VX0aquZlEtKYUswZ4wLW8EjwqCRAMAKgp
pe+c2+BYaeJZiB55kxpJL0YmI487qCFc/51KE/oFxu3a6p52ysYhP1Y+TDyWN9rBSXHoBvo6H1q7
ZLdN1O6DTqo1bjDmXv3CO9gtFhORrgZiAiJeWMnSeSL2iKrvIlGQ6WsiX4EAKPuG+HPFLNJNkzgq
KkkiZTTZbVYEGqK9E/4VIJhzdkBR3xZsRm8zFr2pvk5k6OOmHkQdUm3hJws9A4dSXN11+cB678bU
M5vnBX9n4vC7rrWjdzejtnoSzbaG07XvelMnBu5Y3rnCI81JJfsni7n71Xf8nMFQ+HFOq8JMOGtb
jyl4Li8K6qrCuhJwX1i8+cp9AneRVODPfdrW1ZQvmFMCeSB7+9cScl9v2foH6AgXNOV5h9zJSFyy
jZ8glw+/WGfjPfewt4a52xpxR0j/zIBJ2zQssLuinr7zYnHJs9bq1G79zFOKYEm7ophnGB/0hPwy
W942iWd7w53dpMFBZcZL5rn+ieYK/Vronohk65fH2sMJnW/yNKAMhqR9fVKbHQNoq6kTZj/9rK97
XCSo8rM72wuBCRREdyTAT8TIPwyCOWwidnBdWq9ARq6fKbKng2nIvOMsAlYAGC/+TOzE9s0Zq7RG
cPbOhqpjADr9uQ9wvsKaYgGtL9ajNLo9UWPuxhJ7veUiK+4LnJFRVQvkp60KYscsjAswn/TAnHhl
G9In7AKHLyi7WGwaMSclVqW70YJEsU12fpZb8NMPxoY6C/nVBwRTp2r+2TT2lOjGysg/8boxZH72
5ZCdphmuM9f0ewXFBuwJTujGRNKflPPEvaw5SG3AqVs+T/qgPc15+bjwfb2ki2PyNNb37Ny2w+JW
mDDRMhxAB6SUDs4Ge9Jmv0yXi5pIs5J8/2ZXrLbnie/rc0+8z71s5bhOt3XQsy6B5W5gvfyb6Bt1
ixKr0P6b9UPq3vQkT6keeUFtCrSP+W9CsAAnve03yB1v/TdEuFRGXduJB45wPeHWeHFYXVInpjZG
maGq7XtVAZiPOoekiFmSCQl1A/zyilHACXUCUQ8mxXp5LEq5vVtss9+bTl8uHhclzLTtcOxXbR4j
1XiLu2s86gLDYebor1u+ByofTyuUlMRoODH36vYfK3utmHmuvMD+miy43h6S5TYVl2a3FRElT3B6
z4eVxc0XLj3tODDHPw6r3x9mv6cmnL1LGzYtxytd3HyDCCIsh1zPMnx1KS6uctcgRIWzNmgsJBvJ
tSPWN+4CM3jxOeTtxnWvA6N1lWJiszCaUuBCNNcJMgVvLh1FlHdb6K+5X0aDh7S+VUDsV5rW0QX9
QU2ol/Bb67zSgAT1LoNfisoa6pYdPBiO5o5RN259ccCfHSSdH2zcXqyJhWPW63h6iG/GZELLJz+X
/XMZAC7BxLgW+DMCB8NCuhwkIbrTZuQL+NpqUXqor9ID/CjX8b0OgiBO2V7dNaXf7Or9sn5sVmEf
WCkfLfwWLI+3EdwCuFaLP1+k5JMxtWRExYjzFAPi2qI19zZtQNk+AbEEbGh6PBPQ1t+x/e/XaaK+
BHnxgBywm7UsMqpRJ/Exjh8c3htphsG90nXwE3WBta3n6MS+mLfYDlW7wBnQ/5DM41Su+PocMxpJ
e4vIdvPmoaU4EgZHleN6cfKbcGayFuwy7+bJc85u7gt8DBZW7qGWEy2iTlsfbfJuScAP7YLvD5Jt
3drr15L6+feAmfububreNbXzFpD4qry7QWc0i9PMyIJboztWZK7exwgr4H0FiwF6xLEPtQavw1wc
/SzhUUvyMqX7aQmbiBVwXNCeWJZ4l5jBrYbg89vUUvAefWH84DwtLsWsGcna2+6Hoj54jSrZeOlB
I6YHq4iwTZjBuoChNlrPMAksLN5zG3arVyWVTeQR2O6UOKjy181TM7GRbH4eEG4xjc5wcx3E4q4S
+Q+CHksfml1nH4wC1xurIyGT3lQjYXV8RlY69onm5u7BVLr3ZcJ2u6PXYrv3+028iNkgl8N5XuKY
M7D1tHr9kRl6nYEMKYMLZSbpBXa5fvk39s6st21k28J/Jeh3CpwH4HYDV7Y8xU5sx0k6T4JsKyJF
ihQHiRR//f2KpBKRHjppBifEwWX3Q3fslFilql17WGtt+vTFJI6N+K0cL8wbrcwgmiHxcq6WMh9Q
iuqlpa8n9J1S8P1lMOvGFHkidNB9TPMqPMnNtXG6DKTwvJDxxdeQ++4iJPJPJDmZZOsYmYEFua6l
UB9eCh1ijMT2mAPIYbEoCKW0b73SSF0fuULD2BdqxrtK2NgXGsdgNTnrle4xGZZJsALyuxCqyG4l
kGxVWskxqsnbLMofzUpKmd5+xdVWFQLLudBa/v/4/0fif0WDQvxa/H82y2eed4hbb/5KE/grhj6y
aY7M+TE0uMcmIXwT+CumLHoAISJcBd6yhtxIw1RW0RTRyIw7hozkB9bou6aIYo8c2uxQlATDoPAT
5WcCf4O8w4FOpNCmBAYL1AmxETDFyPF0UOumEwBDXqgfwKOvQeGVqxTsFN0ckqMyWAlM4yK5cb0g
eYAMpd65XAO36FvQjE2X6M0YeDYNatICGADKU/mxZCpHmSMBfyqgdFEQZRxTosnDGHKyd71MijW4
nzWs3gha0QlgMaA0ytK5VCU4ufSDQQWJ1sSnkbrzb9EDKc+cBVeBq0ibOQBoaIuujkCTJMi7RRgg
AO1yZ85QEd7NLHSFgFi6LNuRu9hCZ0v8pDzhxMcXiM6v79HqWM6yRb67lnxAKSo9Qb7sEqyhs6Zb
45G2K7P5Nlko4K4ClJBVWblZuOaNkkke2esgVT9utKL0jw/2yzNSnR3iQPUVmEJxRnZkJEAVm21w
SBxYlbq+lKap+aFMNOfcACFMOlUI/Doo7vpj/MbMGnvqyrkGJqFehjmQkzEhCoB6z0dZvhR8P8sy
onOQWdurEh20d+pGjx7pQCZ9DmMjvXVFzzNEi5dXGyNTXGBAWfApCKiKAhVan2zQ0Xtv28nHLNCg
U6/zS9iY6p3qqsBsHQTazfj+9UkL4kV73yGjLDYwsDC0qaFhtCe9pjHtYipT/tWj1fSLIr79RRQp
fyuqjgaWJSfnNKtMzlfLPJtw1VHYXklZeZJqy/Kq2BTy/Rp2LpIfRl68X1BvvMgBPH2Y7vgvlBvU
Oewh5e1CUvP37sZULrVFXFwb9vTTQi/UUwfkwyc/RKHL9AMaWoQ5dUgpkU79rYC1wc4EYYWc3lhD
uf+tXGqPobm5zBNVOcsocJ/t8J0zEk3asVegUl4YQNvlteOiSP4lWDvLC9Ch+YPn0j8loLfJwxrJ
DFDLaCgnGWT3qQtddL0Fou7lxS2H0n9nbSUOU+qjbKmJsuoyIUmP9MyxvyyNt7YOwdsDPbI59rw0
Bli1dE5Jn9Oy0kPv1ArD4rYI+ZYQZfSWVytYcpc7O1ARswvXczuIV7CS4SKDXTecmOaQloIqX5qe
OcXae0vzb/lq6u6KaztUtleGHzM5VdtQ/Y7dcklm3l0CodEpXUteVrxP8bAvNdVbwE+2y7PcEGcT
fsnNaptDs3fT+N6hP+alrifOkbwoin9oTd2xWQZ8HfKdNFdFWIGoCQBwe+/AJJxOF1tLugWWUt5k
Dr1zodYEn+jBh3KChfQgGU72ThKVD+CLy6M0S3Gz9HznPi4pFb1bm+r0gnYj8WeLovUxgBf5NLbX
qJno/jH36urjKmYUf5vQ3Gy5pUod8N1fRoIkKmeLEjdtUUx2q0i9LeQEAA8tcx3al0m7K92dcqlD
ozvZ6oYqDGrkXyTGOlMmUALUiSdvEMVcUhl4l/hReVNt2/USEgio191VEhvKpbKOptA4bPlvW1ql
n52lgnCBVMbvYKaAHAdthu67Bln/niLiaQwZnb4qhQMmQttszFOdwNGa+LZrv7flONpNXj+6lWTt
gVAqy4/8lQ3big50qDFbHQnRPFZSaVEm01tiCROVdvCQAABj6cOydJiBslTlIzNOpbvlzqNHokHf
F/T9E2QvT21aFO/GGmdwM1aDeHph+9v1zN+aUL6dOKeBHFW66ZdE3zEZ2lAqqN5tpNqXebHV9nMT
0MX1qpCi1yzV6OyfsPRTalYL6zYgmzkplkrxDiG9xUlMXSwRRI8SbH2OvVCFlmvoGhIgoXA9I/Ax
3iq5Of3K2dMwzLtophWWcmmit3HhquvNlOYW9vQusGAGjF3gSfb49cXv5unF4uskMmCbqZboe9B5
93wFGK/Uc+M22hhGOM7TdPqV3TxFIDdNgk/oX5RXyyIt3gfWNjzNVjYzUMOQXiJrb3sRrcjH5Y6a
nAdGnpxHVizdZeYKFz0H332U0GntPUGfd2mpzD9H/EkdZ2meft1yTfAVefp9Os0JCcsSsI8fl8X1
Rs/9EJ09KzkCPFhS6wU0l0EO+qwiG3Im2ZJ9kXoxLAdAbydBqi1OkEcqvtAFkNZh+XaKXgVyQmVo
hTB78V/ntIvGXoH3k7ZH6VpVJqW2doCD+PfKitSNq4UxrJr1+jzQt9MvocVRxycorqujh97T4jGh
Rc12Yvr84QYm70VZJOotBfbdhgSdtgUQHbuPMn1+TsB0TL+w87ZzHaUPLIhYmqU1vYB0AQ1PRmds
rK+wfGsvkcc7QPl3MrVOWmPAIqe7x/KB/oLReQwqlL4VUL2TRN3CDgjUS7fI02PDCop38NG4S17f
CDiJrRsUK+gQYcsO6lRG5Q523AZs9WqTwpe7dUEEWUek0cm8VbYZ8HF8Sj8lutS6UybgliDEcMXW
M1PNypsSTJQ/WazSc4IPi1LjMriIvSDNqevInn8EGNRbUeAMTzKQlRxXegLc72j7+hHzn92rub6d
bzxLl44d01hZgHttVANArQdXWwiDk5Ul79gHZO2DcaAFU2gDyhT5FNr1bc7shVSAx1sjgaKvPhaU
ZDTeMiXdJ6neqROb0g1iD7v8ON3Im8eYQu4N+0s0cI2js0IpacnHqT0DbS1cTvG9wjPOPqeFf2ZI
BE/HheqVE0fbfVbWwJHQB9bGvI8LgWvJgXAWaFMhjQGD2bRt60GzdCRkiWovImUpn5VOsJNQQC5R
X4lp/3iFUqvuHKGI4H7iHvA+pRLptnG5zjWEPaE5fgbc4dCAzY/NxZmL34IorIY1GKfu2n2UHEu5
RcZEODhJEV3I9MU4ldKVeZxQwaYo5m6ySVa4K5np+pi8IEpZqDSHXQGDB3WA8c5VUYazzVSnClcq
4d2CVPT5VAZrPS6VpXbvalNvB9nOXPtvpSwT7o+zu1lkHqDOkhTM/QoEqwjmUULdYdkForFULhdG
7l/s2Ag2uFB0liV950ZHpMa0vxUa4dGMk4zYzTJ0QMgo1rK4TfAtzyBXQ4xJAfx+VU3fPrc3pTRB
ycRHEAYJAMhXSZlP9O2WnDsFLlLIaB0A35HYhR6tiUBcLpLjDEKENIbEIh8jfhR8taz8Noti0VcD
txWZZN8C5pb7q3cW6KVrdWXBUVHpXT9OaThzUx2k/xpCdjMR0YNhUkWsN5t5srudp3S4Tv/6n/rW
Ez+9jrwwu4NFJMraP/tLrw/0Zv4jsTItcbrSXtU7Ve/y2hDBjFfePM7//EMTwa1uoZYJvTuIUP+u
/5y6JK0hTNw+0Z1EPPycovzB4rw0/ddnVq/j67/TevWHaBNmYv1h34aHYb8qGOktnMALk++McDB5
B4q7Zlj0pJCrh7v9cA0chzWgTq85+u9dg9njCpF2L80S7yE7XANFlnnnH1mEzhAHi0CjDxNxNtyb
9uxtcwRVH9svQ2aunt+0AzqvXh+N88c//wC531U4eGELdIY4mL0+IpyhpQEYjOrpLIKiKCNWx+Bi
BfrBw6X/W45BZwaHi2DU79QxTD9jBMiYOQ6EfQXte/GQG2idA5UOMvQEIfao1kCuV/0/bwteXgTR
0rvvQXBGjmhSY6jNLDvWgPPANqEyQo6wen6XRXxxFahd8c31sga6MjIssqaUwupJsrcOt4KFtaAt
iI32xtAOAl45Sdtes9eskWrogMYUMoPi6cyeAvXIJEtMtyR2iniGtgiWqXWz5z9tEnEJAH0hpqk+
vwiygRIoPBCzvnoGZAZs3Om+W4A7H3kaU0VWvH46B8AY6aZtigaB9Y8Hdw4UEnV9baGK2Kvo2QWw
7dk9YHMj2GgCITtW/3xwW0EhZdPXNdL1Ed4vxNX9ae/ciwA3QZI6GpiU4e0CDu8P+sed++TAOQIo
q2PsdQc/Uzwdc2jTWQ59fEuXv9+Yw3KOSDoqeHS9LgUwwaS9qQASqlcPh6t1JbIJLLqFys2V8Nsi
pc73eOAiAgLs7RiwCpwD4PZybfc6Z8F2RrQQpLUJndD2dnNYewEP3+69F1CttnSTkBG9HfF0fMRK
NE2WqZU0P68v4wFdkYqpqL3vSBvrr1Mst5q4uWMXHBu7SeRMbF1vhXrZB7UKHImedgFnEfyYBqCg
exQMAgWWBhxBPf3BBQpITNh9L0dNHlE7Z6/Dotgf+EOz6CgElfTOI5oa6CpomtxEMT1CZ4MkCfkR
sBy1QehcDgSNcE8IKgTWQDy1ZzakowARpu9R0A1mKdIkBwf+cC+YzgjaNVwba6iJNLA9Wu3D9dgL
zkgzTLAV2vNXJA2EcBfh6CNcXu2F2g4PaC+otGToe0WKjLKwi6Ir0+EesMyRJSMX+i2ZOriQgc4F
el+rSNtk8gO4xGBt9t9xaxVIJ8okndkEQ0sdaLTi6vvlM32MPdi2FzKJMOtGIqzURTW1eoa2Cio5
nr4ZFOJGGodZDmWVepJPHQS2h2M5It8onsF5iYiJiWbxveImmr8YwIWsb+aQzdU6CkQMNtZQNJSp
nuGtAmm+vpkUXTgA0Ezp6/qsQXB0QSvl9lEH5xkQPPdOJGn6SEfOn4Rp8yV3AiYhJa0AscGBGt5t
qBiNu9bDJyBfDqGZ/EB90kXG+PAQEDZTWeLeVZtk6wAPAY3g+5oCAkJIt/QTeD6F4pBOtCx2idoY
xMGl01QFxfKeq6BTUqeuotB9qDYFT84Cm0FntREzH9y1qEIO7Tt/akuUTtDdaWwB2+rwLFBuJ6Ak
rbA3lcPbBeLW7rsK2ggxAILmfYWtswssUYGj/lCh08U+Gdy9AAy4f91doYyCtKlNtaJ6uikkYimg
B2SYGvBBnb8cUqyEZENfF0m4yxqgUgGyqJ7uXjBG3A0yu6WJm4d3O3B58dK9HEUS7LZD0bVxkJ6U
GYAiQZqh0YP1Pa4eVmpZBd3cO4cij3QgFjiLz4ORKLkxf/Lr+zuyNscDOhEYtMaJ/ff+EqGTDAKD
f7pHgVoUcSVCq1rtSQ3vciAP2PcoiJgJvDkVhtoedCtuDuEz3jIiNASP1TM0R4G74Um/0Z9GIGiA
EskTEYs/axbpDW47FB0BZ9WLMDyzqGOz+5pFVoHomJpaU0bohA6KSot0g0VoMA8DsgSqQBT2nT6Z
MhXekdHgLLqgNOEnCTKbAOdVT332BrQK4ijUbksve6iTixEyUfUsO0kUDgjEVZkMQ7PgQ5o/PNr6
ZP77+Wv4gaRT8Ycbi9iJGSp8pkWVCa2vwZlCg6bHPU+BKDIKzjHhc/39d1KJlj0SjhPyZkONnPFY
BJOmn4do4RspILUh7VZP9xRUphCsyj7BUH/gkM4CfnxfW0BlpW6iTRXluVXgWjSJrsmlfb82h+Un
a9Cu+54IPEQA+aBxzCYa6FyLZNQoygNec34emvYDG+YbA+QIDv7jRNA0vHn6HPvjpV/Ycx+e/rzh
PQhouyA3tH5RyCbWn13jesT//9VC/FTcjIMf7rka1ec0f72Z4NOPbn3Wflb7Pzzz5skseXB31Q92
zWu+m60gkPxvMLufrWZPSQnf3+TPP1rveWAL/mHg1O+MKwrVvcdNvDJqN7qveQT9B/ZnYdpuqYii
Dqao78hHs8D7GiWh11qOGu/ce+woiJLZY7R/S7H5ahBx/5HDcP6QeQ+brDV4BVLvO/jxPEAHJJkf
jlyjf3uP3NBs3kRf39BHaLO6by97Tbrq+yknrLr32Po+G9xu35FP51GyaL8ykYLAgvYd+WXllZfJ
at+u/deO+vnjzG1twAa82/eFz4PACyMv3U+94gzVWMjeQ4eP3qxjRWoOSu+Ro7y9LWrYYt9h3z61
TTUSsPfADLB58HetRRau2P4PxNXz766Ay2iDwEJ3mWvsWt/Xvpp5Yct6UIX9FdfL1SzZBbPwcT/7
6jKvYTX9XzlNZw/uJp1nWWtPN8CV3uN7D663mLVJljUcov/Q3AWoj7d2tlqX1/uPnaYe/9KjqLXo
dfX2V4weIZbfGVqURHsPHYVZZ3M3Zca+I7+b3yezjvcEEFNU8PoPvZ21760GOtd/4PzN2Wy1Tl2v
fa0zvii6/YrxL+ZJOm9ZqoYg8CsGv5oX3kPrGmsAFL9i8C9R4u/XoDIpdfWp99AoK7lvjmYJPYrb
t1mDAPo1H3A887tnXzPVX+CSvHe99orXhZi+b/3eD/BI2lENNR6R3u89dDJfdHnsVa6478DXc/pg
7ILtrBMmoPorKnR9h791o8f5m/P0yd1Wp3r7Dv8h2rywEZuCwq/5gKcbsUnS9h3+jtWfp+m85VI0
APP+YxftqLIpwPcd92M2c/cbQ9gUINwiX9t32E/zZMXNth+oGrmuDPYe2SOy6WxvRB5FkrXv0J9n
3DvhgmYE+7Hq965yl70Hn/9Dy4qe8dNnL32IwtRrv3uda+v97rsI7YlFa1VqoPDrIz+XafomH/I0
/7SXBXnur7WTa+I3HoL5LPnr/wAAAP//</cx:binary>
              </cx:geoCache>
            </cx:geography>
          </cx:layoutPr>
        </cx:series>
      </cx:plotAreaRegion>
    </cx:plotArea>
    <cx:legend pos="b" align="ctr" overlay="0">
      <cx:spPr>
        <a:noFill/>
        <a:ln>
          <a:noFill/>
        </a:ln>
      </cx:spPr>
      <cx:txPr>
        <a:bodyPr spcFirstLastPara="1" vertOverflow="ellipsis" horzOverflow="overflow" wrap="square" lIns="0" tIns="0" rIns="0" bIns="0" anchor="ctr" anchorCtr="1"/>
        <a:lstStyle/>
        <a:p>
          <a:pPr algn="ctr" rtl="0">
            <a:defRPr>
              <a:solidFill>
                <a:srgbClr val="C6E0B4"/>
              </a:solidFill>
            </a:defRPr>
          </a:pPr>
          <a:endParaRPr lang="en-US" sz="900" b="0" i="0" u="none" strike="noStrike" baseline="0">
            <a:solidFill>
              <a:srgbClr val="C6E0B4"/>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84666</xdr:colOff>
      <xdr:row>3</xdr:row>
      <xdr:rowOff>63501</xdr:rowOff>
    </xdr:from>
    <xdr:to>
      <xdr:col>31</xdr:col>
      <xdr:colOff>63501</xdr:colOff>
      <xdr:row>48</xdr:row>
      <xdr:rowOff>169333</xdr:rowOff>
    </xdr:to>
    <xdr:sp macro="" textlink="">
      <xdr:nvSpPr>
        <xdr:cNvPr id="4" name="Rectangle: Rounded Corners 3">
          <a:extLst>
            <a:ext uri="{FF2B5EF4-FFF2-40B4-BE49-F238E27FC236}">
              <a16:creationId xmlns:a16="http://schemas.microsoft.com/office/drawing/2014/main" id="{8B0F3D18-9492-59E9-F767-ADF85785C751}"/>
            </a:ext>
          </a:extLst>
        </xdr:cNvPr>
        <xdr:cNvSpPr/>
      </xdr:nvSpPr>
      <xdr:spPr>
        <a:xfrm>
          <a:off x="3153833" y="603251"/>
          <a:ext cx="15938501" cy="8202082"/>
        </a:xfrm>
        <a:prstGeom prst="roundRect">
          <a:avLst>
            <a:gd name="adj" fmla="val 4113"/>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211666</xdr:colOff>
      <xdr:row>7</xdr:row>
      <xdr:rowOff>52916</xdr:rowOff>
    </xdr:from>
    <xdr:to>
      <xdr:col>7</xdr:col>
      <xdr:colOff>529167</xdr:colOff>
      <xdr:row>17</xdr:row>
      <xdr:rowOff>21166</xdr:rowOff>
    </xdr:to>
    <xdr:sp macro="" textlink="">
      <xdr:nvSpPr>
        <xdr:cNvPr id="5" name="Rectangle: Rounded Corners 4">
          <a:extLst>
            <a:ext uri="{FF2B5EF4-FFF2-40B4-BE49-F238E27FC236}">
              <a16:creationId xmlns:a16="http://schemas.microsoft.com/office/drawing/2014/main" id="{CDD6D5A7-8403-9D74-9A6F-B9F38E20DD7C}"/>
            </a:ext>
          </a:extLst>
        </xdr:cNvPr>
        <xdr:cNvSpPr/>
      </xdr:nvSpPr>
      <xdr:spPr>
        <a:xfrm>
          <a:off x="3280833" y="1312333"/>
          <a:ext cx="1545167" cy="1767416"/>
        </a:xfrm>
        <a:prstGeom prst="roundRect">
          <a:avLst>
            <a:gd name="adj" fmla="val 4167"/>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215897</xdr:colOff>
      <xdr:row>17</xdr:row>
      <xdr:rowOff>120649</xdr:rowOff>
    </xdr:from>
    <xdr:to>
      <xdr:col>7</xdr:col>
      <xdr:colOff>550334</xdr:colOff>
      <xdr:row>27</xdr:row>
      <xdr:rowOff>99482</xdr:rowOff>
    </xdr:to>
    <xdr:sp macro="" textlink="">
      <xdr:nvSpPr>
        <xdr:cNvPr id="6" name="Rectangle: Rounded Corners 5">
          <a:extLst>
            <a:ext uri="{FF2B5EF4-FFF2-40B4-BE49-F238E27FC236}">
              <a16:creationId xmlns:a16="http://schemas.microsoft.com/office/drawing/2014/main" id="{508D5AAB-AF7C-7E70-E569-911A0B173759}"/>
            </a:ext>
          </a:extLst>
        </xdr:cNvPr>
        <xdr:cNvSpPr/>
      </xdr:nvSpPr>
      <xdr:spPr>
        <a:xfrm>
          <a:off x="3285064" y="3179232"/>
          <a:ext cx="1562103" cy="1778000"/>
        </a:xfrm>
        <a:prstGeom prst="roundRect">
          <a:avLst>
            <a:gd name="adj" fmla="val 4763"/>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220127</xdr:colOff>
      <xdr:row>27</xdr:row>
      <xdr:rowOff>177799</xdr:rowOff>
    </xdr:from>
    <xdr:to>
      <xdr:col>7</xdr:col>
      <xdr:colOff>582084</xdr:colOff>
      <xdr:row>37</xdr:row>
      <xdr:rowOff>156632</xdr:rowOff>
    </xdr:to>
    <xdr:sp macro="" textlink="">
      <xdr:nvSpPr>
        <xdr:cNvPr id="7" name="Rectangle: Rounded Corners 6">
          <a:extLst>
            <a:ext uri="{FF2B5EF4-FFF2-40B4-BE49-F238E27FC236}">
              <a16:creationId xmlns:a16="http://schemas.microsoft.com/office/drawing/2014/main" id="{D7F05687-F167-58CE-1B7D-03A88DFD1540}"/>
            </a:ext>
          </a:extLst>
        </xdr:cNvPr>
        <xdr:cNvSpPr/>
      </xdr:nvSpPr>
      <xdr:spPr>
        <a:xfrm>
          <a:off x="3289294" y="5035549"/>
          <a:ext cx="1589623" cy="1778000"/>
        </a:xfrm>
        <a:prstGeom prst="roundRect">
          <a:avLst>
            <a:gd name="adj" fmla="val 2976"/>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234945</xdr:colOff>
      <xdr:row>38</xdr:row>
      <xdr:rowOff>86782</xdr:rowOff>
    </xdr:from>
    <xdr:to>
      <xdr:col>7</xdr:col>
      <xdr:colOff>571501</xdr:colOff>
      <xdr:row>48</xdr:row>
      <xdr:rowOff>65615</xdr:rowOff>
    </xdr:to>
    <xdr:sp macro="" textlink="">
      <xdr:nvSpPr>
        <xdr:cNvPr id="9" name="Rectangle: Rounded Corners 8">
          <a:extLst>
            <a:ext uri="{FF2B5EF4-FFF2-40B4-BE49-F238E27FC236}">
              <a16:creationId xmlns:a16="http://schemas.microsoft.com/office/drawing/2014/main" id="{24E9E643-1AAD-60D9-5FF2-1895812E5D23}"/>
            </a:ext>
          </a:extLst>
        </xdr:cNvPr>
        <xdr:cNvSpPr/>
      </xdr:nvSpPr>
      <xdr:spPr>
        <a:xfrm>
          <a:off x="3304112" y="6923615"/>
          <a:ext cx="1564222" cy="1778000"/>
        </a:xfrm>
        <a:prstGeom prst="roundRect">
          <a:avLst>
            <a:gd name="adj" fmla="val 4762"/>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40216</xdr:colOff>
      <xdr:row>28</xdr:row>
      <xdr:rowOff>0</xdr:rowOff>
    </xdr:from>
    <xdr:to>
      <xdr:col>15</xdr:col>
      <xdr:colOff>391583</xdr:colOff>
      <xdr:row>48</xdr:row>
      <xdr:rowOff>52916</xdr:rowOff>
    </xdr:to>
    <xdr:sp macro="" textlink="">
      <xdr:nvSpPr>
        <xdr:cNvPr id="11" name="Rectangle: Rounded Corners 10">
          <a:extLst>
            <a:ext uri="{FF2B5EF4-FFF2-40B4-BE49-F238E27FC236}">
              <a16:creationId xmlns:a16="http://schemas.microsoft.com/office/drawing/2014/main" id="{0F4BFDD3-5B69-3749-5BDF-86BC19D7F7DE}"/>
            </a:ext>
          </a:extLst>
        </xdr:cNvPr>
        <xdr:cNvSpPr/>
      </xdr:nvSpPr>
      <xdr:spPr>
        <a:xfrm>
          <a:off x="4950883" y="5037667"/>
          <a:ext cx="4648200" cy="3651249"/>
        </a:xfrm>
        <a:prstGeom prst="roundRect">
          <a:avLst>
            <a:gd name="adj" fmla="val 4167"/>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10583</xdr:colOff>
      <xdr:row>7</xdr:row>
      <xdr:rowOff>57151</xdr:rowOff>
    </xdr:from>
    <xdr:to>
      <xdr:col>15</xdr:col>
      <xdr:colOff>357716</xdr:colOff>
      <xdr:row>27</xdr:row>
      <xdr:rowOff>110067</xdr:rowOff>
    </xdr:to>
    <xdr:sp macro="" textlink="">
      <xdr:nvSpPr>
        <xdr:cNvPr id="13" name="Rectangle: Rounded Corners 12">
          <a:extLst>
            <a:ext uri="{FF2B5EF4-FFF2-40B4-BE49-F238E27FC236}">
              <a16:creationId xmlns:a16="http://schemas.microsoft.com/office/drawing/2014/main" id="{8D4A5D0E-2AB3-375D-E856-4F311B2258F0}"/>
            </a:ext>
          </a:extLst>
        </xdr:cNvPr>
        <xdr:cNvSpPr/>
      </xdr:nvSpPr>
      <xdr:spPr>
        <a:xfrm>
          <a:off x="4921250" y="1316568"/>
          <a:ext cx="4643966" cy="3651249"/>
        </a:xfrm>
        <a:prstGeom prst="roundRect">
          <a:avLst>
            <a:gd name="adj" fmla="val 2428"/>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15</xdr:col>
      <xdr:colOff>493180</xdr:colOff>
      <xdr:row>7</xdr:row>
      <xdr:rowOff>42334</xdr:rowOff>
    </xdr:from>
    <xdr:to>
      <xdr:col>23</xdr:col>
      <xdr:colOff>118530</xdr:colOff>
      <xdr:row>48</xdr:row>
      <xdr:rowOff>84668</xdr:rowOff>
    </xdr:to>
    <xdr:sp macro="" textlink="">
      <xdr:nvSpPr>
        <xdr:cNvPr id="14" name="Rectangle: Rounded Corners 13">
          <a:extLst>
            <a:ext uri="{FF2B5EF4-FFF2-40B4-BE49-F238E27FC236}">
              <a16:creationId xmlns:a16="http://schemas.microsoft.com/office/drawing/2014/main" id="{30D1410E-04CF-41FE-A71D-42A816BCB05A}"/>
            </a:ext>
          </a:extLst>
        </xdr:cNvPr>
        <xdr:cNvSpPr/>
      </xdr:nvSpPr>
      <xdr:spPr>
        <a:xfrm>
          <a:off x="9700680" y="1301751"/>
          <a:ext cx="4536017" cy="7418917"/>
        </a:xfrm>
        <a:prstGeom prst="roundRect">
          <a:avLst>
            <a:gd name="adj" fmla="val 1834"/>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232833</xdr:colOff>
      <xdr:row>7</xdr:row>
      <xdr:rowOff>40217</xdr:rowOff>
    </xdr:from>
    <xdr:to>
      <xdr:col>30</xdr:col>
      <xdr:colOff>563032</xdr:colOff>
      <xdr:row>27</xdr:row>
      <xdr:rowOff>93133</xdr:rowOff>
    </xdr:to>
    <xdr:sp macro="" textlink="">
      <xdr:nvSpPr>
        <xdr:cNvPr id="16" name="Rectangle: Rounded Corners 15">
          <a:extLst>
            <a:ext uri="{FF2B5EF4-FFF2-40B4-BE49-F238E27FC236}">
              <a16:creationId xmlns:a16="http://schemas.microsoft.com/office/drawing/2014/main" id="{650792D6-F788-5840-3C81-529A12FA4D60}"/>
            </a:ext>
          </a:extLst>
        </xdr:cNvPr>
        <xdr:cNvSpPr/>
      </xdr:nvSpPr>
      <xdr:spPr>
        <a:xfrm>
          <a:off x="14351000" y="1299634"/>
          <a:ext cx="4627032" cy="3651249"/>
        </a:xfrm>
        <a:prstGeom prst="roundRect">
          <a:avLst>
            <a:gd name="adj" fmla="val 4167"/>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38</xdr:col>
      <xdr:colOff>296333</xdr:colOff>
      <xdr:row>7</xdr:row>
      <xdr:rowOff>55034</xdr:rowOff>
    </xdr:from>
    <xdr:to>
      <xdr:col>45</xdr:col>
      <xdr:colOff>535517</xdr:colOff>
      <xdr:row>27</xdr:row>
      <xdr:rowOff>107950</xdr:rowOff>
    </xdr:to>
    <xdr:sp macro="" textlink="">
      <xdr:nvSpPr>
        <xdr:cNvPr id="17" name="Rectangle: Rounded Corners 16">
          <a:extLst>
            <a:ext uri="{FF2B5EF4-FFF2-40B4-BE49-F238E27FC236}">
              <a16:creationId xmlns:a16="http://schemas.microsoft.com/office/drawing/2014/main" id="{1AEE08C4-465A-5838-E66A-20458677892B}"/>
            </a:ext>
          </a:extLst>
        </xdr:cNvPr>
        <xdr:cNvSpPr/>
      </xdr:nvSpPr>
      <xdr:spPr>
        <a:xfrm>
          <a:off x="23622000" y="1314451"/>
          <a:ext cx="4536017" cy="3651249"/>
        </a:xfrm>
        <a:prstGeom prst="roundRect">
          <a:avLst>
            <a:gd name="adj" fmla="val 4167"/>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222250</xdr:colOff>
      <xdr:row>28</xdr:row>
      <xdr:rowOff>12702</xdr:rowOff>
    </xdr:from>
    <xdr:to>
      <xdr:col>30</xdr:col>
      <xdr:colOff>556683</xdr:colOff>
      <xdr:row>48</xdr:row>
      <xdr:rowOff>65618</xdr:rowOff>
    </xdr:to>
    <xdr:sp macro="" textlink="">
      <xdr:nvSpPr>
        <xdr:cNvPr id="18" name="Rectangle: Rounded Corners 17">
          <a:extLst>
            <a:ext uri="{FF2B5EF4-FFF2-40B4-BE49-F238E27FC236}">
              <a16:creationId xmlns:a16="http://schemas.microsoft.com/office/drawing/2014/main" id="{81175E72-77F3-D75D-8ED8-8787EF7A90FA}"/>
            </a:ext>
          </a:extLst>
        </xdr:cNvPr>
        <xdr:cNvSpPr/>
      </xdr:nvSpPr>
      <xdr:spPr>
        <a:xfrm>
          <a:off x="14340417" y="5050369"/>
          <a:ext cx="4631266" cy="3651249"/>
        </a:xfrm>
        <a:prstGeom prst="roundRect">
          <a:avLst>
            <a:gd name="adj" fmla="val 4167"/>
          </a:avLst>
        </a:prstGeom>
        <a:solidFill>
          <a:srgbClr val="2121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412751</xdr:colOff>
      <xdr:row>7</xdr:row>
      <xdr:rowOff>137588</xdr:rowOff>
    </xdr:from>
    <xdr:to>
      <xdr:col>7</xdr:col>
      <xdr:colOff>275169</xdr:colOff>
      <xdr:row>9</xdr:row>
      <xdr:rowOff>116422</xdr:rowOff>
    </xdr:to>
    <xdr:sp macro="" textlink="">
      <xdr:nvSpPr>
        <xdr:cNvPr id="19" name="TextBox 18">
          <a:extLst>
            <a:ext uri="{FF2B5EF4-FFF2-40B4-BE49-F238E27FC236}">
              <a16:creationId xmlns:a16="http://schemas.microsoft.com/office/drawing/2014/main" id="{78899537-8220-6A21-8CEB-BA807CF7CAC7}"/>
            </a:ext>
          </a:extLst>
        </xdr:cNvPr>
        <xdr:cNvSpPr txBox="1"/>
      </xdr:nvSpPr>
      <xdr:spPr>
        <a:xfrm>
          <a:off x="3481918" y="1397005"/>
          <a:ext cx="1090084"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Sales</a:t>
          </a:r>
        </a:p>
      </xdr:txBody>
    </xdr:sp>
    <xdr:clientData/>
  </xdr:twoCellAnchor>
  <xdr:twoCellAnchor>
    <xdr:from>
      <xdr:col>5</xdr:col>
      <xdr:colOff>438154</xdr:colOff>
      <xdr:row>18</xdr:row>
      <xdr:rowOff>78315</xdr:rowOff>
    </xdr:from>
    <xdr:to>
      <xdr:col>7</xdr:col>
      <xdr:colOff>300572</xdr:colOff>
      <xdr:row>20</xdr:row>
      <xdr:rowOff>57149</xdr:rowOff>
    </xdr:to>
    <xdr:sp macro="" textlink="">
      <xdr:nvSpPr>
        <xdr:cNvPr id="20" name="TextBox 19">
          <a:extLst>
            <a:ext uri="{FF2B5EF4-FFF2-40B4-BE49-F238E27FC236}">
              <a16:creationId xmlns:a16="http://schemas.microsoft.com/office/drawing/2014/main" id="{ADA0EE29-D564-4C28-AE29-43B3383D8D83}"/>
            </a:ext>
          </a:extLst>
        </xdr:cNvPr>
        <xdr:cNvSpPr txBox="1"/>
      </xdr:nvSpPr>
      <xdr:spPr>
        <a:xfrm>
          <a:off x="3507321" y="3316815"/>
          <a:ext cx="1090084"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Profit</a:t>
          </a:r>
        </a:p>
      </xdr:txBody>
    </xdr:sp>
    <xdr:clientData/>
  </xdr:twoCellAnchor>
  <xdr:twoCellAnchor>
    <xdr:from>
      <xdr:col>5</xdr:col>
      <xdr:colOff>402166</xdr:colOff>
      <xdr:row>29</xdr:row>
      <xdr:rowOff>10588</xdr:rowOff>
    </xdr:from>
    <xdr:to>
      <xdr:col>7</xdr:col>
      <xdr:colOff>264584</xdr:colOff>
      <xdr:row>30</xdr:row>
      <xdr:rowOff>169338</xdr:rowOff>
    </xdr:to>
    <xdr:sp macro="" textlink="">
      <xdr:nvSpPr>
        <xdr:cNvPr id="21" name="TextBox 20">
          <a:extLst>
            <a:ext uri="{FF2B5EF4-FFF2-40B4-BE49-F238E27FC236}">
              <a16:creationId xmlns:a16="http://schemas.microsoft.com/office/drawing/2014/main" id="{8FDCCD2D-7965-4D8E-917B-39466DB61D84}"/>
            </a:ext>
          </a:extLst>
        </xdr:cNvPr>
        <xdr:cNvSpPr txBox="1"/>
      </xdr:nvSpPr>
      <xdr:spPr>
        <a:xfrm>
          <a:off x="3471333" y="5228171"/>
          <a:ext cx="1090084"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Quantity</a:t>
          </a:r>
        </a:p>
      </xdr:txBody>
    </xdr:sp>
    <xdr:clientData/>
  </xdr:twoCellAnchor>
  <xdr:twoCellAnchor>
    <xdr:from>
      <xdr:col>5</xdr:col>
      <xdr:colOff>391584</xdr:colOff>
      <xdr:row>38</xdr:row>
      <xdr:rowOff>127001</xdr:rowOff>
    </xdr:from>
    <xdr:to>
      <xdr:col>7</xdr:col>
      <xdr:colOff>254002</xdr:colOff>
      <xdr:row>40</xdr:row>
      <xdr:rowOff>105834</xdr:rowOff>
    </xdr:to>
    <xdr:sp macro="" textlink="">
      <xdr:nvSpPr>
        <xdr:cNvPr id="22" name="TextBox 21">
          <a:extLst>
            <a:ext uri="{FF2B5EF4-FFF2-40B4-BE49-F238E27FC236}">
              <a16:creationId xmlns:a16="http://schemas.microsoft.com/office/drawing/2014/main" id="{4A44F8D0-C8A8-45BD-A6C5-E82924B23DA6}"/>
            </a:ext>
          </a:extLst>
        </xdr:cNvPr>
        <xdr:cNvSpPr txBox="1"/>
      </xdr:nvSpPr>
      <xdr:spPr>
        <a:xfrm>
          <a:off x="3460751" y="6963834"/>
          <a:ext cx="1090084"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Product</a:t>
          </a:r>
        </a:p>
      </xdr:txBody>
    </xdr:sp>
    <xdr:clientData/>
  </xdr:twoCellAnchor>
  <xdr:twoCellAnchor>
    <xdr:from>
      <xdr:col>8</xdr:col>
      <xdr:colOff>268815</xdr:colOff>
      <xdr:row>7</xdr:row>
      <xdr:rowOff>57154</xdr:rowOff>
    </xdr:from>
    <xdr:to>
      <xdr:col>12</xdr:col>
      <xdr:colOff>306915</xdr:colOff>
      <xdr:row>9</xdr:row>
      <xdr:rowOff>127000</xdr:rowOff>
    </xdr:to>
    <xdr:sp macro="" textlink="">
      <xdr:nvSpPr>
        <xdr:cNvPr id="23" name="TextBox 22">
          <a:extLst>
            <a:ext uri="{FF2B5EF4-FFF2-40B4-BE49-F238E27FC236}">
              <a16:creationId xmlns:a16="http://schemas.microsoft.com/office/drawing/2014/main" id="{E04C059D-668C-4DCC-B06E-F875E627AA0F}"/>
            </a:ext>
          </a:extLst>
        </xdr:cNvPr>
        <xdr:cNvSpPr txBox="1"/>
      </xdr:nvSpPr>
      <xdr:spPr>
        <a:xfrm>
          <a:off x="5179482" y="1316571"/>
          <a:ext cx="24934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Monthly</a:t>
          </a:r>
          <a:r>
            <a:rPr lang="en-US" sz="1600" baseline="0">
              <a:solidFill>
                <a:srgbClr val="C6E0B4"/>
              </a:solidFill>
              <a:latin typeface="Aptos Narrow" panose="020B0004020202020204" pitchFamily="34" charset="0"/>
              <a:cs typeface="Segoe UI" panose="020B0502040204020203" pitchFamily="34" charset="0"/>
            </a:rPr>
            <a:t> Sales Trend</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9</xdr:col>
      <xdr:colOff>131231</xdr:colOff>
      <xdr:row>28</xdr:row>
      <xdr:rowOff>52920</xdr:rowOff>
    </xdr:from>
    <xdr:to>
      <xdr:col>12</xdr:col>
      <xdr:colOff>42332</xdr:colOff>
      <xdr:row>30</xdr:row>
      <xdr:rowOff>99492</xdr:rowOff>
    </xdr:to>
    <xdr:sp macro="" textlink="">
      <xdr:nvSpPr>
        <xdr:cNvPr id="24" name="TextBox 23">
          <a:extLst>
            <a:ext uri="{FF2B5EF4-FFF2-40B4-BE49-F238E27FC236}">
              <a16:creationId xmlns:a16="http://schemas.microsoft.com/office/drawing/2014/main" id="{9312861C-0600-448A-8403-4B4CD5551175}"/>
            </a:ext>
          </a:extLst>
        </xdr:cNvPr>
        <xdr:cNvSpPr txBox="1"/>
      </xdr:nvSpPr>
      <xdr:spPr>
        <a:xfrm>
          <a:off x="5655731" y="5090587"/>
          <a:ext cx="1752601" cy="406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16</xdr:col>
      <xdr:colOff>114300</xdr:colOff>
      <xdr:row>7</xdr:row>
      <xdr:rowOff>135474</xdr:rowOff>
    </xdr:from>
    <xdr:to>
      <xdr:col>20</xdr:col>
      <xdr:colOff>152399</xdr:colOff>
      <xdr:row>10</xdr:row>
      <xdr:rowOff>25403</xdr:rowOff>
    </xdr:to>
    <xdr:sp macro="" textlink="">
      <xdr:nvSpPr>
        <xdr:cNvPr id="25" name="TextBox 24">
          <a:extLst>
            <a:ext uri="{FF2B5EF4-FFF2-40B4-BE49-F238E27FC236}">
              <a16:creationId xmlns:a16="http://schemas.microsoft.com/office/drawing/2014/main" id="{2D33C16A-B0F1-4339-B0A1-5DCBCB9D61F6}"/>
            </a:ext>
          </a:extLst>
        </xdr:cNvPr>
        <xdr:cNvSpPr txBox="1"/>
      </xdr:nvSpPr>
      <xdr:spPr>
        <a:xfrm>
          <a:off x="9935633" y="1394891"/>
          <a:ext cx="24934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Sales</a:t>
          </a:r>
          <a:r>
            <a:rPr lang="en-US" sz="1600" baseline="0">
              <a:solidFill>
                <a:srgbClr val="C6E0B4"/>
              </a:solidFill>
              <a:latin typeface="Aptos Narrow" panose="020B0004020202020204" pitchFamily="34" charset="0"/>
              <a:cs typeface="Segoe UI" panose="020B0502040204020203" pitchFamily="34" charset="0"/>
            </a:rPr>
            <a:t> by State</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8</xdr:col>
      <xdr:colOff>222250</xdr:colOff>
      <xdr:row>28</xdr:row>
      <xdr:rowOff>31749</xdr:rowOff>
    </xdr:from>
    <xdr:to>
      <xdr:col>11</xdr:col>
      <xdr:colOff>169333</xdr:colOff>
      <xdr:row>30</xdr:row>
      <xdr:rowOff>101595</xdr:rowOff>
    </xdr:to>
    <xdr:sp macro="" textlink="">
      <xdr:nvSpPr>
        <xdr:cNvPr id="27" name="TextBox 26">
          <a:extLst>
            <a:ext uri="{FF2B5EF4-FFF2-40B4-BE49-F238E27FC236}">
              <a16:creationId xmlns:a16="http://schemas.microsoft.com/office/drawing/2014/main" id="{2390B216-7DAF-4A73-A205-E55A24DC078A}"/>
            </a:ext>
          </a:extLst>
        </xdr:cNvPr>
        <xdr:cNvSpPr txBox="1"/>
      </xdr:nvSpPr>
      <xdr:spPr>
        <a:xfrm>
          <a:off x="5132917" y="5069416"/>
          <a:ext cx="178858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Shipping</a:t>
          </a:r>
          <a:r>
            <a:rPr lang="en-US" sz="1600" baseline="0">
              <a:solidFill>
                <a:srgbClr val="C6E0B4"/>
              </a:solidFill>
              <a:latin typeface="Aptos Narrow" panose="020B0004020202020204" pitchFamily="34" charset="0"/>
              <a:cs typeface="Segoe UI" panose="020B0502040204020203" pitchFamily="34" charset="0"/>
            </a:rPr>
            <a:t> Mode</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23</xdr:col>
      <xdr:colOff>300567</xdr:colOff>
      <xdr:row>7</xdr:row>
      <xdr:rowOff>141816</xdr:rowOff>
    </xdr:from>
    <xdr:to>
      <xdr:col>27</xdr:col>
      <xdr:colOff>338667</xdr:colOff>
      <xdr:row>10</xdr:row>
      <xdr:rowOff>31745</xdr:rowOff>
    </xdr:to>
    <xdr:sp macro="" textlink="">
      <xdr:nvSpPr>
        <xdr:cNvPr id="28" name="TextBox 27">
          <a:extLst>
            <a:ext uri="{FF2B5EF4-FFF2-40B4-BE49-F238E27FC236}">
              <a16:creationId xmlns:a16="http://schemas.microsoft.com/office/drawing/2014/main" id="{AB8FA4ED-BB6E-4ACB-A384-CA3CD20F5609}"/>
            </a:ext>
          </a:extLst>
        </xdr:cNvPr>
        <xdr:cNvSpPr txBox="1"/>
      </xdr:nvSpPr>
      <xdr:spPr>
        <a:xfrm>
          <a:off x="14418734" y="1401233"/>
          <a:ext cx="24934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Monthly</a:t>
          </a:r>
          <a:r>
            <a:rPr lang="en-US" sz="1600" baseline="0">
              <a:solidFill>
                <a:srgbClr val="C6E0B4"/>
              </a:solidFill>
              <a:latin typeface="Aptos Narrow" panose="020B0004020202020204" pitchFamily="34" charset="0"/>
              <a:cs typeface="Segoe UI" panose="020B0502040204020203" pitchFamily="34" charset="0"/>
            </a:rPr>
            <a:t>  Profit Trend</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23</xdr:col>
      <xdr:colOff>389467</xdr:colOff>
      <xdr:row>28</xdr:row>
      <xdr:rowOff>93133</xdr:rowOff>
    </xdr:from>
    <xdr:to>
      <xdr:col>27</xdr:col>
      <xdr:colOff>427567</xdr:colOff>
      <xdr:row>30</xdr:row>
      <xdr:rowOff>162979</xdr:rowOff>
    </xdr:to>
    <xdr:sp macro="" textlink="">
      <xdr:nvSpPr>
        <xdr:cNvPr id="29" name="TextBox 28">
          <a:extLst>
            <a:ext uri="{FF2B5EF4-FFF2-40B4-BE49-F238E27FC236}">
              <a16:creationId xmlns:a16="http://schemas.microsoft.com/office/drawing/2014/main" id="{2F626064-32B7-4B07-946C-A1099D0731E1}"/>
            </a:ext>
          </a:extLst>
        </xdr:cNvPr>
        <xdr:cNvSpPr txBox="1"/>
      </xdr:nvSpPr>
      <xdr:spPr>
        <a:xfrm>
          <a:off x="14507634" y="5130800"/>
          <a:ext cx="24934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Highest</a:t>
          </a:r>
          <a:r>
            <a:rPr lang="en-US" sz="1600" baseline="0">
              <a:solidFill>
                <a:srgbClr val="C6E0B4"/>
              </a:solidFill>
              <a:latin typeface="Aptos Narrow" panose="020B0004020202020204" pitchFamily="34" charset="0"/>
              <a:cs typeface="Segoe UI" panose="020B0502040204020203" pitchFamily="34" charset="0"/>
            </a:rPr>
            <a:t> Sales by Category</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16</xdr:col>
      <xdr:colOff>55036</xdr:colOff>
      <xdr:row>28</xdr:row>
      <xdr:rowOff>12701</xdr:rowOff>
    </xdr:from>
    <xdr:to>
      <xdr:col>19</xdr:col>
      <xdr:colOff>116418</xdr:colOff>
      <xdr:row>30</xdr:row>
      <xdr:rowOff>82547</xdr:rowOff>
    </xdr:to>
    <xdr:sp macro="" textlink="">
      <xdr:nvSpPr>
        <xdr:cNvPr id="30" name="TextBox 29">
          <a:extLst>
            <a:ext uri="{FF2B5EF4-FFF2-40B4-BE49-F238E27FC236}">
              <a16:creationId xmlns:a16="http://schemas.microsoft.com/office/drawing/2014/main" id="{1DE1E824-4C42-4B9D-B540-E0C37885F651}"/>
            </a:ext>
          </a:extLst>
        </xdr:cNvPr>
        <xdr:cNvSpPr txBox="1"/>
      </xdr:nvSpPr>
      <xdr:spPr>
        <a:xfrm>
          <a:off x="9876369" y="5050368"/>
          <a:ext cx="1902882"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C6E0B4"/>
              </a:solidFill>
              <a:latin typeface="Aptos Narrow" panose="020B0004020202020204" pitchFamily="34" charset="0"/>
              <a:cs typeface="Segoe UI" panose="020B0502040204020203" pitchFamily="34" charset="0"/>
            </a:rPr>
            <a:t>Top</a:t>
          </a:r>
          <a:r>
            <a:rPr lang="en-US" sz="1600" baseline="0">
              <a:solidFill>
                <a:srgbClr val="C6E0B4"/>
              </a:solidFill>
              <a:latin typeface="Aptos Narrow" panose="020B0004020202020204" pitchFamily="34" charset="0"/>
              <a:cs typeface="Segoe UI" panose="020B0502040204020203" pitchFamily="34" charset="0"/>
            </a:rPr>
            <a:t> City by Sales</a:t>
          </a:r>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5</xdr:col>
      <xdr:colOff>423337</xdr:colOff>
      <xdr:row>10</xdr:row>
      <xdr:rowOff>120651</xdr:rowOff>
    </xdr:from>
    <xdr:to>
      <xdr:col>7</xdr:col>
      <xdr:colOff>190504</xdr:colOff>
      <xdr:row>13</xdr:row>
      <xdr:rowOff>10580</xdr:rowOff>
    </xdr:to>
    <xdr:sp macro="" textlink="Pivot_Table!B16">
      <xdr:nvSpPr>
        <xdr:cNvPr id="31" name="TextBox 30">
          <a:extLst>
            <a:ext uri="{FF2B5EF4-FFF2-40B4-BE49-F238E27FC236}">
              <a16:creationId xmlns:a16="http://schemas.microsoft.com/office/drawing/2014/main" id="{557E6618-8583-43AA-BFBC-2FEEB70B54B9}"/>
            </a:ext>
          </a:extLst>
        </xdr:cNvPr>
        <xdr:cNvSpPr txBox="1"/>
      </xdr:nvSpPr>
      <xdr:spPr>
        <a:xfrm>
          <a:off x="3492504" y="1919818"/>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C8BA9D-0828-4EEF-ADB2-4A601A2415C6}" type="TxLink">
            <a:rPr lang="en-US" sz="1600" b="1" i="0" u="none" strike="noStrike">
              <a:solidFill>
                <a:srgbClr val="C6E0B4"/>
              </a:solidFill>
              <a:latin typeface="Aptos Narrow" panose="020B0004020202020204" pitchFamily="34" charset="0"/>
              <a:ea typeface="Calibri"/>
              <a:cs typeface="Calibri"/>
            </a:rPr>
            <a:pPr/>
            <a:t>$215.4 K</a:t>
          </a:fld>
          <a:endParaRPr lang="en-US" sz="1600" b="1">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5</xdr:col>
      <xdr:colOff>385233</xdr:colOff>
      <xdr:row>13</xdr:row>
      <xdr:rowOff>177800</xdr:rowOff>
    </xdr:from>
    <xdr:to>
      <xdr:col>7</xdr:col>
      <xdr:colOff>152400</xdr:colOff>
      <xdr:row>16</xdr:row>
      <xdr:rowOff>67729</xdr:rowOff>
    </xdr:to>
    <xdr:sp macro="" textlink="Pivot_Table!E16">
      <xdr:nvSpPr>
        <xdr:cNvPr id="32" name="TextBox 31">
          <a:extLst>
            <a:ext uri="{FF2B5EF4-FFF2-40B4-BE49-F238E27FC236}">
              <a16:creationId xmlns:a16="http://schemas.microsoft.com/office/drawing/2014/main" id="{375F3A3B-5587-4D8D-AF02-EEDD47BB712C}"/>
            </a:ext>
          </a:extLst>
        </xdr:cNvPr>
        <xdr:cNvSpPr txBox="1"/>
      </xdr:nvSpPr>
      <xdr:spPr>
        <a:xfrm>
          <a:off x="3454400" y="2516717"/>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CC65E5-C51F-4699-9553-1C7DF722E64C}" type="TxLink">
            <a:rPr lang="en-US" sz="1400" b="0" i="0" u="none" strike="noStrike">
              <a:solidFill>
                <a:srgbClr val="C6E0B4"/>
              </a:solidFill>
              <a:latin typeface="Calibri"/>
              <a:ea typeface="Calibri"/>
              <a:cs typeface="Calibri"/>
            </a:rPr>
            <a:pPr/>
            <a:t>▲8%YoY</a:t>
          </a:fld>
          <a:endParaRPr lang="en-US" sz="1400" b="1" i="0" u="none" strike="noStrike">
            <a:solidFill>
              <a:srgbClr val="C6E0B4"/>
            </a:solidFill>
            <a:latin typeface="Aptos Narrow" panose="020B0004020202020204" pitchFamily="34" charset="0"/>
            <a:ea typeface="Calibri"/>
            <a:cs typeface="Segoe UI" panose="020B0502040204020203" pitchFamily="34" charset="0"/>
          </a:endParaRPr>
        </a:p>
      </xdr:txBody>
    </xdr:sp>
    <xdr:clientData/>
  </xdr:twoCellAnchor>
  <xdr:twoCellAnchor>
    <xdr:from>
      <xdr:col>5</xdr:col>
      <xdr:colOff>465668</xdr:colOff>
      <xdr:row>21</xdr:row>
      <xdr:rowOff>31750</xdr:rowOff>
    </xdr:from>
    <xdr:to>
      <xdr:col>7</xdr:col>
      <xdr:colOff>232835</xdr:colOff>
      <xdr:row>23</xdr:row>
      <xdr:rowOff>101596</xdr:rowOff>
    </xdr:to>
    <xdr:sp macro="" textlink="Pivot_Table!B17">
      <xdr:nvSpPr>
        <xdr:cNvPr id="34" name="TextBox 33">
          <a:extLst>
            <a:ext uri="{FF2B5EF4-FFF2-40B4-BE49-F238E27FC236}">
              <a16:creationId xmlns:a16="http://schemas.microsoft.com/office/drawing/2014/main" id="{F72A933C-5B71-4687-9382-FEC88B6FBB57}"/>
            </a:ext>
          </a:extLst>
        </xdr:cNvPr>
        <xdr:cNvSpPr txBox="1"/>
      </xdr:nvSpPr>
      <xdr:spPr>
        <a:xfrm>
          <a:off x="3534835" y="3810000"/>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0E631E-22B5-415C-B412-6BCF00D8C926}" type="TxLink">
            <a:rPr lang="en-US" sz="1600" b="1" i="0" u="none" strike="noStrike">
              <a:solidFill>
                <a:srgbClr val="C6E0B4"/>
              </a:solidFill>
              <a:latin typeface="Aptos Narrow" panose="020B0004020202020204" pitchFamily="34" charset="0"/>
              <a:ea typeface="Calibri"/>
              <a:cs typeface="Calibri"/>
            </a:rPr>
            <a:pPr marL="0" indent="0"/>
            <a:t>$3.0 K</a:t>
          </a:fld>
          <a:endParaRPr lang="en-US" sz="1600" b="1" i="0" u="none" strike="noStrike">
            <a:solidFill>
              <a:srgbClr val="C6E0B4"/>
            </a:solidFill>
            <a:latin typeface="Aptos Narrow" panose="020B0004020202020204" pitchFamily="34" charset="0"/>
            <a:ea typeface="Calibri"/>
            <a:cs typeface="Calibri"/>
          </a:endParaRPr>
        </a:p>
      </xdr:txBody>
    </xdr:sp>
    <xdr:clientData/>
  </xdr:twoCellAnchor>
  <xdr:twoCellAnchor>
    <xdr:from>
      <xdr:col>5</xdr:col>
      <xdr:colOff>444499</xdr:colOff>
      <xdr:row>24</xdr:row>
      <xdr:rowOff>42333</xdr:rowOff>
    </xdr:from>
    <xdr:to>
      <xdr:col>7</xdr:col>
      <xdr:colOff>211666</xdr:colOff>
      <xdr:row>26</xdr:row>
      <xdr:rowOff>112179</xdr:rowOff>
    </xdr:to>
    <xdr:sp macro="" textlink="Pivot_Table!E17">
      <xdr:nvSpPr>
        <xdr:cNvPr id="35" name="TextBox 34">
          <a:extLst>
            <a:ext uri="{FF2B5EF4-FFF2-40B4-BE49-F238E27FC236}">
              <a16:creationId xmlns:a16="http://schemas.microsoft.com/office/drawing/2014/main" id="{CAF2B737-7FB5-4735-B0A7-99C9569EB49E}"/>
            </a:ext>
          </a:extLst>
        </xdr:cNvPr>
        <xdr:cNvSpPr txBox="1"/>
      </xdr:nvSpPr>
      <xdr:spPr>
        <a:xfrm>
          <a:off x="3513666" y="4360333"/>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758A45-BE68-4C17-BFC9-8C0FE590372F}" type="TxLink">
            <a:rPr lang="en-US" sz="1400" b="0" i="0" u="none" strike="noStrike">
              <a:solidFill>
                <a:srgbClr val="C6E0B4"/>
              </a:solidFill>
              <a:latin typeface="Calibri"/>
              <a:ea typeface="Calibri"/>
              <a:cs typeface="Calibri"/>
            </a:rPr>
            <a:pPr marL="0" indent="0"/>
            <a:t>▼57%YoY</a:t>
          </a:fld>
          <a:endParaRPr lang="en-US" sz="1400" b="0" i="0" u="none" strike="noStrike">
            <a:solidFill>
              <a:srgbClr val="C6E0B4"/>
            </a:solidFill>
            <a:latin typeface="Calibri"/>
            <a:ea typeface="Calibri"/>
            <a:cs typeface="Calibri"/>
          </a:endParaRPr>
        </a:p>
      </xdr:txBody>
    </xdr:sp>
    <xdr:clientData/>
  </xdr:twoCellAnchor>
  <xdr:twoCellAnchor>
    <xdr:from>
      <xdr:col>5</xdr:col>
      <xdr:colOff>412752</xdr:colOff>
      <xdr:row>31</xdr:row>
      <xdr:rowOff>127000</xdr:rowOff>
    </xdr:from>
    <xdr:to>
      <xdr:col>7</xdr:col>
      <xdr:colOff>179919</xdr:colOff>
      <xdr:row>34</xdr:row>
      <xdr:rowOff>16929</xdr:rowOff>
    </xdr:to>
    <xdr:sp macro="" textlink="Pivot_Table!B18">
      <xdr:nvSpPr>
        <xdr:cNvPr id="36" name="TextBox 35">
          <a:extLst>
            <a:ext uri="{FF2B5EF4-FFF2-40B4-BE49-F238E27FC236}">
              <a16:creationId xmlns:a16="http://schemas.microsoft.com/office/drawing/2014/main" id="{29336267-A8FF-408D-BD03-AF1EF8FB8B93}"/>
            </a:ext>
          </a:extLst>
        </xdr:cNvPr>
        <xdr:cNvSpPr txBox="1"/>
      </xdr:nvSpPr>
      <xdr:spPr>
        <a:xfrm>
          <a:off x="3481919" y="5704417"/>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0F935BA-56B9-412D-B25C-4C20D7A4CA94}" type="TxLink">
            <a:rPr lang="en-US" sz="1600" b="1" i="0" u="none" strike="noStrike">
              <a:solidFill>
                <a:srgbClr val="C6E0B4"/>
              </a:solidFill>
              <a:latin typeface="Aptos Narrow" panose="020B0004020202020204" pitchFamily="34" charset="0"/>
              <a:ea typeface="Calibri"/>
              <a:cs typeface="Calibri"/>
            </a:rPr>
            <a:pPr marL="0" indent="0"/>
            <a:t>2437</a:t>
          </a:fld>
          <a:endParaRPr lang="en-US" sz="1600" b="1" i="0" u="none" strike="noStrike">
            <a:solidFill>
              <a:srgbClr val="C6E0B4"/>
            </a:solidFill>
            <a:latin typeface="Aptos Narrow" panose="020B0004020202020204" pitchFamily="34" charset="0"/>
            <a:ea typeface="Calibri"/>
            <a:cs typeface="Calibri"/>
          </a:endParaRPr>
        </a:p>
      </xdr:txBody>
    </xdr:sp>
    <xdr:clientData/>
  </xdr:twoCellAnchor>
  <xdr:twoCellAnchor>
    <xdr:from>
      <xdr:col>5</xdr:col>
      <xdr:colOff>395815</xdr:colOff>
      <xdr:row>34</xdr:row>
      <xdr:rowOff>116417</xdr:rowOff>
    </xdr:from>
    <xdr:to>
      <xdr:col>7</xdr:col>
      <xdr:colOff>169332</xdr:colOff>
      <xdr:row>37</xdr:row>
      <xdr:rowOff>6346</xdr:rowOff>
    </xdr:to>
    <xdr:sp macro="" textlink="Pivot_Table!E18">
      <xdr:nvSpPr>
        <xdr:cNvPr id="37" name="TextBox 36">
          <a:extLst>
            <a:ext uri="{FF2B5EF4-FFF2-40B4-BE49-F238E27FC236}">
              <a16:creationId xmlns:a16="http://schemas.microsoft.com/office/drawing/2014/main" id="{9300AEA3-C66B-4194-B73A-38CF4C7827C4}"/>
            </a:ext>
          </a:extLst>
        </xdr:cNvPr>
        <xdr:cNvSpPr txBox="1"/>
      </xdr:nvSpPr>
      <xdr:spPr>
        <a:xfrm>
          <a:off x="3464982" y="6233584"/>
          <a:ext cx="100118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3CE9B3-6A2B-4B9A-9469-6248A3C5B60F}" type="TxLink">
            <a:rPr lang="en-US" sz="1400" b="0" i="0" u="none" strike="noStrike">
              <a:solidFill>
                <a:srgbClr val="C6E0B4"/>
              </a:solidFill>
              <a:latin typeface="Calibri"/>
              <a:ea typeface="Calibri"/>
              <a:cs typeface="Calibri"/>
            </a:rPr>
            <a:pPr marL="0" indent="0"/>
            <a:t>▲11%YoY</a:t>
          </a:fld>
          <a:endParaRPr lang="en-US" sz="1400" b="0" i="0" u="none" strike="noStrike">
            <a:solidFill>
              <a:srgbClr val="C6E0B4"/>
            </a:solidFill>
            <a:latin typeface="Calibri"/>
            <a:ea typeface="Calibri"/>
            <a:cs typeface="Calibri"/>
          </a:endParaRPr>
        </a:p>
      </xdr:txBody>
    </xdr:sp>
    <xdr:clientData/>
  </xdr:twoCellAnchor>
  <xdr:twoCellAnchor>
    <xdr:from>
      <xdr:col>5</xdr:col>
      <xdr:colOff>423336</xdr:colOff>
      <xdr:row>41</xdr:row>
      <xdr:rowOff>105834</xdr:rowOff>
    </xdr:from>
    <xdr:to>
      <xdr:col>7</xdr:col>
      <xdr:colOff>190503</xdr:colOff>
      <xdr:row>43</xdr:row>
      <xdr:rowOff>175679</xdr:rowOff>
    </xdr:to>
    <xdr:sp macro="" textlink="Pivot_Table!B19">
      <xdr:nvSpPr>
        <xdr:cNvPr id="38" name="TextBox 37">
          <a:extLst>
            <a:ext uri="{FF2B5EF4-FFF2-40B4-BE49-F238E27FC236}">
              <a16:creationId xmlns:a16="http://schemas.microsoft.com/office/drawing/2014/main" id="{C8D26E38-B64B-42A5-A7E5-E4E677B4A62E}"/>
            </a:ext>
          </a:extLst>
        </xdr:cNvPr>
        <xdr:cNvSpPr txBox="1"/>
      </xdr:nvSpPr>
      <xdr:spPr>
        <a:xfrm>
          <a:off x="3492503" y="7482417"/>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97682C-776A-4439-9206-AB42FEC623CE}" type="TxLink">
            <a:rPr lang="en-US" sz="1600" b="1" i="0" u="none" strike="noStrike">
              <a:solidFill>
                <a:srgbClr val="C6E0B4"/>
              </a:solidFill>
              <a:latin typeface="Aptos Narrow" panose="020B0004020202020204" pitchFamily="34" charset="0"/>
              <a:ea typeface="Calibri"/>
              <a:cs typeface="Calibri"/>
            </a:rPr>
            <a:pPr marL="0" indent="0"/>
            <a:t>686</a:t>
          </a:fld>
          <a:endParaRPr lang="en-US" sz="1600" b="1" i="0" u="none" strike="noStrike">
            <a:solidFill>
              <a:srgbClr val="C6E0B4"/>
            </a:solidFill>
            <a:latin typeface="Aptos Narrow" panose="020B0004020202020204" pitchFamily="34" charset="0"/>
            <a:ea typeface="Calibri"/>
            <a:cs typeface="Calibri"/>
          </a:endParaRPr>
        </a:p>
      </xdr:txBody>
    </xdr:sp>
    <xdr:clientData/>
  </xdr:twoCellAnchor>
  <xdr:twoCellAnchor>
    <xdr:from>
      <xdr:col>5</xdr:col>
      <xdr:colOff>391582</xdr:colOff>
      <xdr:row>44</xdr:row>
      <xdr:rowOff>63500</xdr:rowOff>
    </xdr:from>
    <xdr:to>
      <xdr:col>7</xdr:col>
      <xdr:colOff>158749</xdr:colOff>
      <xdr:row>46</xdr:row>
      <xdr:rowOff>133345</xdr:rowOff>
    </xdr:to>
    <xdr:sp macro="" textlink="Pivot_Table!E19">
      <xdr:nvSpPr>
        <xdr:cNvPr id="39" name="TextBox 38">
          <a:extLst>
            <a:ext uri="{FF2B5EF4-FFF2-40B4-BE49-F238E27FC236}">
              <a16:creationId xmlns:a16="http://schemas.microsoft.com/office/drawing/2014/main" id="{CB7F2153-5E75-466B-9B74-0D5EC7BC292A}"/>
            </a:ext>
          </a:extLst>
        </xdr:cNvPr>
        <xdr:cNvSpPr txBox="1"/>
      </xdr:nvSpPr>
      <xdr:spPr>
        <a:xfrm>
          <a:off x="3460749" y="7979833"/>
          <a:ext cx="994833"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F4BE29-6E78-46C8-B9A2-6FC9B12C4017}" type="TxLink">
            <a:rPr lang="en-US" sz="1400" b="0" i="0" u="none" strike="noStrike">
              <a:solidFill>
                <a:srgbClr val="C6E0B4"/>
              </a:solidFill>
              <a:latin typeface="Calibri"/>
              <a:ea typeface="Calibri"/>
              <a:cs typeface="Calibri"/>
            </a:rPr>
            <a:pPr marL="0" indent="0"/>
            <a:t>▲22%YoY</a:t>
          </a:fld>
          <a:endParaRPr lang="en-US" sz="1400" b="0" i="0" u="none" strike="noStrike">
            <a:solidFill>
              <a:srgbClr val="C6E0B4"/>
            </a:solidFill>
            <a:latin typeface="Calibri"/>
            <a:ea typeface="Calibri"/>
            <a:cs typeface="Calibri"/>
          </a:endParaRPr>
        </a:p>
      </xdr:txBody>
    </xdr:sp>
    <xdr:clientData/>
  </xdr:twoCellAnchor>
  <xdr:twoCellAnchor>
    <xdr:from>
      <xdr:col>5</xdr:col>
      <xdr:colOff>294217</xdr:colOff>
      <xdr:row>3</xdr:row>
      <xdr:rowOff>114305</xdr:rowOff>
    </xdr:from>
    <xdr:to>
      <xdr:col>14</xdr:col>
      <xdr:colOff>158752</xdr:colOff>
      <xdr:row>6</xdr:row>
      <xdr:rowOff>4234</xdr:rowOff>
    </xdr:to>
    <xdr:sp macro="" textlink="">
      <xdr:nvSpPr>
        <xdr:cNvPr id="40" name="TextBox 39">
          <a:extLst>
            <a:ext uri="{FF2B5EF4-FFF2-40B4-BE49-F238E27FC236}">
              <a16:creationId xmlns:a16="http://schemas.microsoft.com/office/drawing/2014/main" id="{2329C04B-8B26-42C9-BBF3-DC8421683EC4}"/>
            </a:ext>
          </a:extLst>
        </xdr:cNvPr>
        <xdr:cNvSpPr txBox="1"/>
      </xdr:nvSpPr>
      <xdr:spPr>
        <a:xfrm>
          <a:off x="3363384" y="654055"/>
          <a:ext cx="5389035"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rgbClr val="C6E0B4"/>
              </a:solidFill>
              <a:latin typeface="Aptos Narrow" panose="020B0004020202020204" pitchFamily="34" charset="0"/>
              <a:cs typeface="Segoe UI" panose="020B0502040204020203" pitchFamily="34" charset="0"/>
            </a:rPr>
            <a:t>Sales Performance Analysis (2017 </a:t>
          </a:r>
          <a:r>
            <a:rPr lang="en-US" sz="1800" b="1" baseline="0">
              <a:solidFill>
                <a:srgbClr val="71AE48"/>
              </a:solidFill>
              <a:latin typeface="Aptos Narrow" panose="020B0004020202020204" pitchFamily="34" charset="0"/>
              <a:cs typeface="Segoe UI" panose="020B0502040204020203" pitchFamily="34" charset="0"/>
            </a:rPr>
            <a:t>vs</a:t>
          </a:r>
          <a:r>
            <a:rPr lang="en-US" sz="1800" b="1" baseline="0">
              <a:solidFill>
                <a:srgbClr val="C6E0B4"/>
              </a:solidFill>
              <a:latin typeface="Aptos Narrow" panose="020B0004020202020204" pitchFamily="34" charset="0"/>
              <a:cs typeface="Segoe UI" panose="020B0502040204020203" pitchFamily="34" charset="0"/>
            </a:rPr>
            <a:t> 2016)</a:t>
          </a:r>
          <a:endParaRPr lang="en-US" sz="1800" b="1">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5</xdr:col>
      <xdr:colOff>309032</xdr:colOff>
      <xdr:row>5</xdr:row>
      <xdr:rowOff>129121</xdr:rowOff>
    </xdr:from>
    <xdr:to>
      <xdr:col>12</xdr:col>
      <xdr:colOff>131234</xdr:colOff>
      <xdr:row>8</xdr:row>
      <xdr:rowOff>19050</xdr:rowOff>
    </xdr:to>
    <xdr:sp macro="" textlink="">
      <xdr:nvSpPr>
        <xdr:cNvPr id="42" name="TextBox 41">
          <a:extLst>
            <a:ext uri="{FF2B5EF4-FFF2-40B4-BE49-F238E27FC236}">
              <a16:creationId xmlns:a16="http://schemas.microsoft.com/office/drawing/2014/main" id="{E30B1201-13A1-4F53-8C85-119694E20822}"/>
            </a:ext>
          </a:extLst>
        </xdr:cNvPr>
        <xdr:cNvSpPr txBox="1"/>
      </xdr:nvSpPr>
      <xdr:spPr>
        <a:xfrm>
          <a:off x="3378199" y="1028704"/>
          <a:ext cx="4119035" cy="429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a:solidFill>
              <a:srgbClr val="C6E0B4"/>
            </a:solidFill>
            <a:latin typeface="Aptos Narrow" panose="020B0004020202020204" pitchFamily="34" charset="0"/>
            <a:cs typeface="Segoe UI" panose="020B0502040204020203" pitchFamily="34" charset="0"/>
          </a:endParaRPr>
        </a:p>
      </xdr:txBody>
    </xdr:sp>
    <xdr:clientData/>
  </xdr:twoCellAnchor>
  <xdr:twoCellAnchor>
    <xdr:from>
      <xdr:col>8</xdr:col>
      <xdr:colOff>0</xdr:colOff>
      <xdr:row>30</xdr:row>
      <xdr:rowOff>1</xdr:rowOff>
    </xdr:from>
    <xdr:to>
      <xdr:col>15</xdr:col>
      <xdr:colOff>402167</xdr:colOff>
      <xdr:row>47</xdr:row>
      <xdr:rowOff>169334</xdr:rowOff>
    </xdr:to>
    <xdr:graphicFrame macro="">
      <xdr:nvGraphicFramePr>
        <xdr:cNvPr id="8" name="Chart 7">
          <a:extLst>
            <a:ext uri="{FF2B5EF4-FFF2-40B4-BE49-F238E27FC236}">
              <a16:creationId xmlns:a16="http://schemas.microsoft.com/office/drawing/2014/main" id="{584B08CC-B9DB-4063-9113-8784AC275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359834</xdr:colOff>
      <xdr:row>9</xdr:row>
      <xdr:rowOff>21167</xdr:rowOff>
    </xdr:from>
    <xdr:to>
      <xdr:col>22</xdr:col>
      <xdr:colOff>333376</xdr:colOff>
      <xdr:row>24</xdr:row>
      <xdr:rowOff>78317</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39F2A62-969A-4351-8F56-C0E94C5DBD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03834" y="1678517"/>
              <a:ext cx="4240742" cy="2819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10584</xdr:colOff>
      <xdr:row>11</xdr:row>
      <xdr:rowOff>42334</xdr:rowOff>
    </xdr:from>
    <xdr:to>
      <xdr:col>23</xdr:col>
      <xdr:colOff>31750</xdr:colOff>
      <xdr:row>27</xdr:row>
      <xdr:rowOff>31749</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BCCE57CD-E2BA-47A4-B140-1D38AE0D76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64184" y="2067984"/>
              <a:ext cx="4288366" cy="29358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423333</xdr:colOff>
      <xdr:row>30</xdr:row>
      <xdr:rowOff>137583</xdr:rowOff>
    </xdr:from>
    <xdr:to>
      <xdr:col>23</xdr:col>
      <xdr:colOff>148166</xdr:colOff>
      <xdr:row>48</xdr:row>
      <xdr:rowOff>74082</xdr:rowOff>
    </xdr:to>
    <xdr:graphicFrame macro="">
      <xdr:nvGraphicFramePr>
        <xdr:cNvPr id="15" name="Chart 14">
          <a:extLst>
            <a:ext uri="{FF2B5EF4-FFF2-40B4-BE49-F238E27FC236}">
              <a16:creationId xmlns:a16="http://schemas.microsoft.com/office/drawing/2014/main" id="{FABAD4A6-EC4F-40A4-B6C4-405DD77BD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31748</xdr:colOff>
      <xdr:row>9</xdr:row>
      <xdr:rowOff>116416</xdr:rowOff>
    </xdr:from>
    <xdr:to>
      <xdr:col>15</xdr:col>
      <xdr:colOff>412748</xdr:colOff>
      <xdr:row>27</xdr:row>
      <xdr:rowOff>95249</xdr:rowOff>
    </xdr:to>
    <xdr:graphicFrame macro="">
      <xdr:nvGraphicFramePr>
        <xdr:cNvPr id="2" name="Chart 1">
          <a:extLst>
            <a:ext uri="{FF2B5EF4-FFF2-40B4-BE49-F238E27FC236}">
              <a16:creationId xmlns:a16="http://schemas.microsoft.com/office/drawing/2014/main" id="{660F300F-0C2D-44CD-B396-125D7215A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254000</xdr:colOff>
      <xdr:row>10</xdr:row>
      <xdr:rowOff>84666</xdr:rowOff>
    </xdr:from>
    <xdr:to>
      <xdr:col>31</xdr:col>
      <xdr:colOff>0</xdr:colOff>
      <xdr:row>25</xdr:row>
      <xdr:rowOff>129116</xdr:rowOff>
    </xdr:to>
    <xdr:graphicFrame macro="">
      <xdr:nvGraphicFramePr>
        <xdr:cNvPr id="26" name="Chart 25">
          <a:extLst>
            <a:ext uri="{FF2B5EF4-FFF2-40B4-BE49-F238E27FC236}">
              <a16:creationId xmlns:a16="http://schemas.microsoft.com/office/drawing/2014/main" id="{A36D28F0-C698-489E-827F-133F2B590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232833</xdr:colOff>
      <xdr:row>30</xdr:row>
      <xdr:rowOff>148167</xdr:rowOff>
    </xdr:from>
    <xdr:to>
      <xdr:col>31</xdr:col>
      <xdr:colOff>455084</xdr:colOff>
      <xdr:row>48</xdr:row>
      <xdr:rowOff>105834</xdr:rowOff>
    </xdr:to>
    <xdr:graphicFrame macro="">
      <xdr:nvGraphicFramePr>
        <xdr:cNvPr id="33" name="Chart 32">
          <a:extLst>
            <a:ext uri="{FF2B5EF4-FFF2-40B4-BE49-F238E27FC236}">
              <a16:creationId xmlns:a16="http://schemas.microsoft.com/office/drawing/2014/main" id="{D6B75F41-1E4F-4F9E-8985-FFD008A34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262469</xdr:colOff>
      <xdr:row>5</xdr:row>
      <xdr:rowOff>63500</xdr:rowOff>
    </xdr:from>
    <xdr:to>
      <xdr:col>11</xdr:col>
      <xdr:colOff>433921</xdr:colOff>
      <xdr:row>7</xdr:row>
      <xdr:rowOff>57149</xdr:rowOff>
    </xdr:to>
    <xdr:sp macro="" textlink="">
      <xdr:nvSpPr>
        <xdr:cNvPr id="41" name="TextBox 40">
          <a:extLst>
            <a:ext uri="{FF2B5EF4-FFF2-40B4-BE49-F238E27FC236}">
              <a16:creationId xmlns:a16="http://schemas.microsoft.com/office/drawing/2014/main" id="{B9BEB1BA-2375-946B-38B4-9714FF3F8DFE}"/>
            </a:ext>
          </a:extLst>
        </xdr:cNvPr>
        <xdr:cNvSpPr txBox="1"/>
      </xdr:nvSpPr>
      <xdr:spPr>
        <a:xfrm>
          <a:off x="3331636" y="963083"/>
          <a:ext cx="3854452" cy="353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i="1">
              <a:solidFill>
                <a:schemeClr val="bg1">
                  <a:lumMod val="65000"/>
                </a:schemeClr>
              </a:solidFill>
              <a:latin typeface="Aptos Narrow" panose="020B0004020202020204" pitchFamily="34" charset="0"/>
              <a:cs typeface="Segoe UI" panose="020B0502040204020203" pitchFamily="34" charset="0"/>
            </a:rPr>
            <a:t>An</a:t>
          </a:r>
          <a:r>
            <a:rPr lang="en-US" sz="1600" i="1" baseline="0">
              <a:solidFill>
                <a:schemeClr val="bg1">
                  <a:lumMod val="65000"/>
                </a:schemeClr>
              </a:solidFill>
              <a:latin typeface="Aptos Narrow" panose="020B0004020202020204" pitchFamily="34" charset="0"/>
              <a:cs typeface="Segoe UI" panose="020B0502040204020203" pitchFamily="34" charset="0"/>
            </a:rPr>
            <a:t> Analysis covering sales, profit and trends</a:t>
          </a:r>
          <a:endParaRPr lang="en-US" sz="1600" i="1">
            <a:solidFill>
              <a:schemeClr val="bg1">
                <a:lumMod val="65000"/>
              </a:schemeClr>
            </a:solidFill>
            <a:latin typeface="Aptos Narrow" panose="020B0004020202020204" pitchFamily="34" charset="0"/>
            <a:cs typeface="Segoe UI" panose="020B0502040204020203" pitchFamily="34" charset="0"/>
          </a:endParaRPr>
        </a:p>
      </xdr:txBody>
    </xdr:sp>
    <xdr:clientData/>
  </xdr:twoCellAnchor>
  <xdr:twoCellAnchor editAs="oneCell">
    <xdr:from>
      <xdr:col>25</xdr:col>
      <xdr:colOff>25398</xdr:colOff>
      <xdr:row>4</xdr:row>
      <xdr:rowOff>52916</xdr:rowOff>
    </xdr:from>
    <xdr:to>
      <xdr:col>30</xdr:col>
      <xdr:colOff>423331</xdr:colOff>
      <xdr:row>6</xdr:row>
      <xdr:rowOff>84667</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8A789150-EEBD-4192-AD50-213BB0B663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71231" y="772583"/>
              <a:ext cx="3467100" cy="391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46.525788888888" createdVersion="8" refreshedVersion="8" minRefreshableVersion="3" recordCount="2121" xr:uid="{F09703F1-133F-4174-BEE2-22FD29479A49}">
  <cacheSource type="worksheet">
    <worksheetSource name="Furniture_data"/>
  </cacheSource>
  <cacheFields count="22">
    <cacheField name="Order ID" numFmtId="0">
      <sharedItems count="1764">
        <s v="CA-2016-152156"/>
        <s v="US-2015-108966"/>
        <s v="CA-2014-115812"/>
        <s v="US-2017-156909"/>
        <s v="CA-2015-106320"/>
        <s v="US-2015-150630"/>
        <s v="CA-2016-117590"/>
        <s v="CA-2015-117415"/>
        <s v="CA-2015-115742"/>
        <s v="CA-2016-111682"/>
        <s v="CA-2015-135545"/>
        <s v="US-2015-164175"/>
        <s v="US-2015-134026"/>
        <s v="US-2017-118038"/>
        <s v="US-2014-147606"/>
        <s v="CA-2017-140088"/>
        <s v="CA-2015-149587"/>
        <s v="CA-2017-161018"/>
        <s v="US-2015-156867"/>
        <s v="CA-2017-146780"/>
        <s v="CA-2015-110457"/>
        <s v="CA-2016-103730"/>
        <s v="US-2014-152030"/>
        <s v="US-2014-134614"/>
        <s v="US-2016-125969"/>
        <s v="CA-2016-145583"/>
        <s v="CA-2016-110366"/>
        <s v="CA-2014-110072"/>
        <s v="CA-2016-114489"/>
        <s v="CA-2014-104269"/>
        <s v="CA-2014-139892"/>
        <s v="CA-2014-118962"/>
        <s v="US-2015-101511"/>
        <s v="CA-2015-102281"/>
        <s v="CA-2014-133690"/>
        <s v="CA-2017-126382"/>
        <s v="CA-2015-146262"/>
        <s v="CA-2015-169397"/>
        <s v="CA-2015-163055"/>
        <s v="US-2015-145436"/>
        <s v="US-2017-100930"/>
        <s v="CA-2016-157749"/>
        <s v="CA-2014-131926"/>
        <s v="CA-2016-154739"/>
        <s v="US-2015-159982"/>
        <s v="CA-2015-155334"/>
        <s v="CA-2015-130890"/>
        <s v="CA-2016-110772"/>
        <s v="CA-2014-111451"/>
        <s v="CA-2016-142545"/>
        <s v="US-2017-152380"/>
        <s v="CA-2015-144253"/>
        <s v="CA-2016-142902"/>
        <s v="CA-2014-120887"/>
        <s v="CA-2014-164973"/>
        <s v="CA-2017-153339"/>
        <s v="US-2016-141544"/>
        <s v="CA-2014-129924"/>
        <s v="CA-2016-138520"/>
        <s v="CA-2017-144904"/>
        <s v="CA-2016-155516"/>
        <s v="US-2017-134481"/>
        <s v="US-2015-168935"/>
        <s v="CA-2015-122756"/>
        <s v="CA-2016-108987"/>
        <s v="CA-2017-117457"/>
        <s v="CA-2017-142636"/>
        <s v="CA-2016-148796"/>
        <s v="CA-2017-125388"/>
        <s v="CA-2017-155705"/>
        <s v="CA-2017-149160"/>
        <s v="CA-2017-157252"/>
        <s v="CA-2016-115756"/>
        <s v="CA-2017-154214"/>
        <s v="CA-2017-147277"/>
        <s v="US-2014-110674"/>
        <s v="US-2016-157945"/>
        <s v="CA-2016-109869"/>
        <s v="US-2015-101399"/>
        <s v="CA-2017-154907"/>
        <s v="CA-2014-144666"/>
        <s v="CA-2016-152632"/>
        <s v="CA-2017-140963"/>
        <s v="US-2016-120929"/>
        <s v="CA-2016-126158"/>
        <s v="US-2016-105578"/>
        <s v="CA-2017-135307"/>
        <s v="CA-2017-145142"/>
        <s v="CA-2017-113558"/>
        <s v="CA-2015-102848"/>
        <s v="US-2017-129441"/>
        <s v="CA-2015-134894"/>
        <s v="CA-2014-103849"/>
        <s v="CA-2016-136406"/>
        <s v="CA-2017-112774"/>
        <s v="CA-2016-113243"/>
        <s v="CA-2017-118731"/>
        <s v="CA-2014-145576"/>
        <s v="CA-2017-156951"/>
        <s v="CA-2017-118640"/>
        <s v="CA-2015-128139"/>
        <s v="CA-2014-131450"/>
        <s v="CA-2014-149958"/>
        <s v="CA-2017-117947"/>
        <s v="CA-2015-138009"/>
        <s v="CA-2017-163020"/>
        <s v="CA-2015-168004"/>
        <s v="CA-2016-115917"/>
        <s v="CA-2016-147067"/>
        <s v="CA-2016-160745"/>
        <s v="US-2016-156097"/>
        <s v="CA-2015-146563"/>
        <s v="CA-2014-156314"/>
        <s v="US-2017-106663"/>
        <s v="US-2017-119438"/>
        <s v="CA-2017-161480"/>
        <s v="US-2014-117135"/>
        <s v="CA-2017-114552"/>
        <s v="CA-2016-163755"/>
        <s v="CA-2015-142027"/>
        <s v="CA-2014-112158"/>
        <s v="CA-2014-130092"/>
        <s v="CA-2017-108910"/>
        <s v="CA-2014-104472"/>
        <s v="CA-2016-142335"/>
        <s v="CA-2014-117429"/>
        <s v="US-2016-150861"/>
        <s v="CA-2017-131954"/>
        <s v="CA-2014-124429"/>
        <s v="CA-2017-126074"/>
        <s v="CA-2015-135272"/>
        <s v="CA-2016-140928"/>
        <s v="CA-2014-106810"/>
        <s v="CA-2016-157245"/>
        <s v="CA-2017-104220"/>
        <s v="CA-2015-144267"/>
        <s v="US-2015-157014"/>
        <s v="CA-2015-154620"/>
        <s v="CA-2015-115938"/>
        <s v="CA-2015-101910"/>
        <s v="CA-2017-105809"/>
        <s v="CA-2017-135783"/>
        <s v="CA-2015-140921"/>
        <s v="CA-2014-151995"/>
        <s v="CA-2017-143686"/>
        <s v="CA-2014-140858"/>
        <s v="CA-2017-129462"/>
        <s v="CA-2015-100454"/>
        <s v="CA-2015-114300"/>
        <s v="CA-2017-107503"/>
        <s v="CA-2016-123274"/>
        <s v="CA-2014-149020"/>
        <s v="CA-2016-116736"/>
        <s v="CA-2017-111689"/>
        <s v="CA-2016-165148"/>
        <s v="CA-2014-134061"/>
        <s v="CA-2017-143259"/>
        <s v="CA-2015-133627"/>
        <s v="CA-2017-102519"/>
        <s v="US-2014-141215"/>
        <s v="CA-2016-142958"/>
        <s v="US-2015-140200"/>
        <s v="US-2017-110576"/>
        <s v="CA-2017-131156"/>
        <s v="CA-2017-136539"/>
        <s v="CA-2015-112571"/>
        <s v="CA-2017-152142"/>
        <s v="CA-2014-115791"/>
        <s v="CA-2016-144939"/>
        <s v="CA-2014-163419"/>
        <s v="CA-2017-167899"/>
        <s v="CA-2015-153549"/>
        <s v="CA-2015-162537"/>
        <s v="CA-2015-124891"/>
        <s v="CA-2014-158540"/>
        <s v="CA-2017-118437"/>
        <s v="US-2015-126214"/>
        <s v="CA-2015-108665"/>
        <s v="CA-2015-124450"/>
        <s v="CA-2014-163552"/>
        <s v="CA-2016-113061"/>
        <s v="CA-2016-127670"/>
        <s v="CA-2016-102981"/>
        <s v="CA-2017-152702"/>
        <s v="CA-2016-169103"/>
        <s v="US-2015-153500"/>
        <s v="CA-2015-110667"/>
        <s v="US-2015-125374"/>
        <s v="CA-2016-157686"/>
        <s v="CA-2015-110016"/>
        <s v="US-2016-143819"/>
        <s v="CA-2017-158407"/>
        <s v="CA-2014-159338"/>
        <s v="CA-2016-107216"/>
        <s v="US-2016-110156"/>
        <s v="CA-2017-140585"/>
        <s v="US-2014-147627"/>
        <s v="CA-2016-112102"/>
        <s v="CA-2014-146969"/>
        <s v="CA-2015-113971"/>
        <s v="CA-2014-136567"/>
        <s v="CA-2016-149314"/>
        <s v="CA-2017-145226"/>
        <s v="CA-2016-113621"/>
        <s v="CA-2017-117212"/>
        <s v="US-2015-130519"/>
        <s v="CA-2016-130946"/>
        <s v="CA-2016-114727"/>
        <s v="CA-2016-137050"/>
        <s v="US-2017-118087"/>
        <s v="CA-2016-126004"/>
        <s v="CA-2017-100013"/>
        <s v="CA-2016-144344"/>
        <s v="CA-2014-127012"/>
        <s v="CA-2014-168494"/>
        <s v="CA-2017-115602"/>
        <s v="CA-2017-144638"/>
        <s v="CA-2016-155992"/>
        <s v="US-2014-167738"/>
        <s v="CA-2017-121412"/>
        <s v="CA-2016-119186"/>
        <s v="CA-2016-154711"/>
        <s v="CA-2016-137043"/>
        <s v="CA-2015-115847"/>
        <s v="US-2017-126179"/>
        <s v="CA-2016-141397"/>
        <s v="US-2016-134488"/>
        <s v="CA-2016-145919"/>
        <s v="CA-2015-120439"/>
        <s v="CA-2016-142762"/>
        <s v="US-2017-123281"/>
        <s v="CA-2017-100524"/>
        <s v="CA-2014-153976"/>
        <s v="CA-2017-162978"/>
        <s v="CA-2017-160045"/>
        <s v="US-2014-151925"/>
        <s v="US-2017-155425"/>
        <s v="CA-2017-133249"/>
        <s v="US-2015-103471"/>
        <s v="CA-2015-120362"/>
        <s v="US-2016-100566"/>
        <s v="US-2016-108504"/>
        <s v="US-2017-117247"/>
        <s v="US-2016-161396"/>
        <s v="US-2014-118486"/>
        <s v="CA-2016-130407"/>
        <s v="US-2016-122245"/>
        <s v="CA-2016-136329"/>
        <s v="CA-2017-115994"/>
        <s v="CA-2015-126697"/>
        <s v="CA-2014-120768"/>
        <s v="CA-2015-139731"/>
        <s v="CA-2017-102337"/>
        <s v="CA-2017-148474"/>
        <s v="CA-2014-155271"/>
        <s v="US-2016-128902"/>
        <s v="CA-2016-152289"/>
        <s v="CA-2014-151708"/>
        <s v="CA-2017-139199"/>
        <s v="US-2015-105676"/>
        <s v="CA-2015-140410"/>
        <s v="CA-2017-166436"/>
        <s v="CA-2017-139661"/>
        <s v="CA-2016-100468"/>
        <s v="CA-2015-153388"/>
        <s v="CA-2017-103611"/>
        <s v="US-2017-160759"/>
        <s v="CA-2017-148446"/>
        <s v="CA-2015-144806"/>
        <s v="CA-2016-122392"/>
        <s v="CA-2017-124086"/>
        <s v="CA-2017-121888"/>
        <s v="CA-2014-166884"/>
        <s v="CA-2014-150245"/>
        <s v="CA-2015-112116"/>
        <s v="US-2017-102890"/>
        <s v="US-2014-157385"/>
        <s v="CA-2014-101602"/>
        <s v="CA-2015-131338"/>
        <s v="CA-2015-118423"/>
        <s v="CA-2017-149181"/>
        <s v="CA-2017-132234"/>
        <s v="CA-2017-158876"/>
        <s v="CA-2016-164672"/>
        <s v="CA-2014-156349"/>
        <s v="CA-2017-108560"/>
        <s v="CA-2015-143119"/>
        <s v="CA-2017-101049"/>
        <s v="CA-2016-157266"/>
        <s v="CA-2014-127159"/>
        <s v="US-2015-157154"/>
        <s v="CA-2015-143077"/>
        <s v="CA-2014-122882"/>
        <s v="CA-2016-147585"/>
        <s v="CA-2017-143798"/>
        <s v="CA-2014-142839"/>
        <s v="US-2016-154361"/>
        <s v="CA-2014-135657"/>
        <s v="CA-2015-114069"/>
        <s v="CA-2017-123491"/>
        <s v="US-2017-124968"/>
        <s v="CA-2017-104003"/>
        <s v="CA-2016-169943"/>
        <s v="US-2015-123218"/>
        <s v="US-2017-164056"/>
        <s v="CA-2017-152807"/>
        <s v="CA-2015-139094"/>
        <s v="CA-2017-168837"/>
        <s v="CA-2015-130785"/>
        <s v="CA-2016-110254"/>
        <s v="CA-2014-120474"/>
        <s v="CA-2016-100965"/>
        <s v="CA-2016-149461"/>
        <s v="CA-2016-165484"/>
        <s v="CA-2014-132612"/>
        <s v="US-2017-161193"/>
        <s v="CA-2015-131597"/>
        <s v="US-2014-130379"/>
        <s v="CA-2016-168956"/>
        <s v="CA-2016-167507"/>
        <s v="CA-2017-145884"/>
        <s v="CA-2015-131422"/>
        <s v="CA-2014-117345"/>
        <s v="CA-2016-157763"/>
        <s v="CA-2015-135391"/>
        <s v="US-2017-158512"/>
        <s v="CA-2017-128370"/>
        <s v="US-2017-121251"/>
        <s v="US-2016-100839"/>
        <s v="CA-2017-118857"/>
        <s v="CA-2014-116932"/>
        <s v="CA-2017-142888"/>
        <s v="US-2016-112977"/>
        <s v="CA-2017-118885"/>
        <s v="CA-2015-109512"/>
        <s v="CA-2016-147578"/>
        <s v="CA-2014-142587"/>
        <s v="CA-2014-169775"/>
        <s v="CA-2017-167094"/>
        <s v="CA-2015-157959"/>
        <s v="CA-2017-105886"/>
        <s v="US-2017-111423"/>
        <s v="CA-2017-161200"/>
        <s v="CA-2015-141768"/>
        <s v="CA-2016-112109"/>
        <s v="CA-2017-157987"/>
        <s v="CA-2014-110408"/>
        <s v="CA-2016-112669"/>
        <s v="CA-2014-164721"/>
        <s v="CA-2015-127509"/>
        <s v="US-2017-147221"/>
        <s v="CA-2017-163510"/>
        <s v="CA-2017-165386"/>
        <s v="CA-2016-145905"/>
        <s v="CA-2016-168354"/>
        <s v="CA-2015-114237"/>
        <s v="CA-2017-162481"/>
        <s v="CA-2015-122287"/>
        <s v="CA-2015-142237"/>
        <s v="CA-2016-136434"/>
        <s v="CA-2017-120376"/>
        <s v="CA-2014-106439"/>
        <s v="CA-2015-133452"/>
        <s v="US-2017-110996"/>
        <s v="CA-2014-131051"/>
        <s v="CA-2015-120103"/>
        <s v="CA-2017-166142"/>
        <s v="CA-2014-145926"/>
        <s v="CA-2014-123295"/>
        <s v="CA-2015-164882"/>
        <s v="CA-2015-159786"/>
        <s v="CA-2017-158246"/>
        <s v="CA-2017-167381"/>
        <s v="CA-2015-134859"/>
        <s v="US-2014-114188"/>
        <s v="CA-2015-156377"/>
        <s v="CA-2014-159520"/>
        <s v="US-2016-152051"/>
        <s v="CA-2014-141607"/>
        <s v="US-2017-139969"/>
        <s v="US-2016-120460"/>
        <s v="CA-2016-141019"/>
        <s v="CA-2016-154018"/>
        <s v="US-2017-137491"/>
        <s v="CA-2016-128818"/>
        <s v="CA-2017-143063"/>
        <s v="US-2014-165659"/>
        <s v="CA-2015-138002"/>
        <s v="CA-2015-128860"/>
        <s v="CA-2017-107874"/>
        <s v="CA-2017-129378"/>
        <s v="CA-2015-131884"/>
        <s v="CA-2016-106383"/>
        <s v="CA-2016-139157"/>
        <s v="CA-2017-157091"/>
        <s v="CA-2017-166849"/>
        <s v="CA-2016-164091"/>
        <s v="CA-2017-105214"/>
        <s v="CA-2017-122994"/>
        <s v="CA-2015-142944"/>
        <s v="CA-2014-157882"/>
        <s v="CA-2014-104283"/>
        <s v="CA-2017-142622"/>
        <s v="CA-2017-115154"/>
        <s v="CA-2015-149342"/>
        <s v="CA-2017-127929"/>
        <s v="CA-2015-113145"/>
        <s v="CA-2017-157931"/>
        <s v="CA-2016-115574"/>
        <s v="US-2017-120418"/>
        <s v="CA-2017-122035"/>
        <s v="CA-2015-105102"/>
        <s v="US-2015-147739"/>
        <s v="US-2014-143231"/>
        <s v="CA-2016-159373"/>
        <s v="CA-2015-111514"/>
        <s v="US-2014-148838"/>
        <s v="US-2016-108637"/>
        <s v="CA-2014-102295"/>
        <s v="US-2016-129469"/>
        <s v="CA-2016-159940"/>
        <s v="CA-2016-118052"/>
        <s v="US-2015-127040"/>
        <s v="US-2016-110170"/>
        <s v="CA-2017-155985"/>
        <s v="CA-2014-151295"/>
        <s v="CA-2016-156300"/>
        <s v="CA-2015-146087"/>
        <s v="US-2017-147669"/>
        <s v="CA-2016-169922"/>
        <s v="CA-2017-129805"/>
        <s v="CA-2014-148586"/>
        <s v="CA-2017-140053"/>
        <s v="CA-2014-164210"/>
        <s v="CA-2017-139948"/>
        <s v="CA-2016-146934"/>
        <s v="CA-2016-119165"/>
        <s v="US-2016-135923"/>
        <s v="CA-2016-114972"/>
        <s v="CA-2017-102750"/>
        <s v="CA-2017-126067"/>
        <s v="CA-2016-146206"/>
        <s v="CA-2014-136644"/>
        <s v="CA-2014-143917"/>
        <s v="CA-2016-124506"/>
        <s v="CA-2017-123134"/>
        <s v="CA-2015-168746"/>
        <s v="CA-2015-113404"/>
        <s v="CA-2016-144792"/>
        <s v="US-2016-114174"/>
        <s v="CA-2017-108070"/>
        <s v="CA-2017-101042"/>
        <s v="US-2016-126844"/>
        <s v="CA-2015-147788"/>
        <s v="CA-2017-123967"/>
        <s v="CA-2017-145128"/>
        <s v="US-2014-155502"/>
        <s v="CA-2017-131695"/>
        <s v="US-2016-115455"/>
        <s v="CA-2016-165848"/>
        <s v="CA-2014-127446"/>
        <s v="CA-2016-137204"/>
        <s v="CA-2014-147298"/>
        <s v="US-2017-110604"/>
        <s v="CA-2015-116750"/>
        <s v="CA-2017-108441"/>
        <s v="CA-2016-149111"/>
        <s v="CA-2014-131002"/>
        <s v="US-2016-146794"/>
        <s v="CA-2017-112515"/>
        <s v="CA-2015-135538"/>
        <s v="CA-2016-164784"/>
        <s v="US-2015-139759"/>
        <s v="CA-2014-126403"/>
        <s v="CA-2016-138079"/>
        <s v="CA-2014-143182"/>
        <s v="CA-2014-145317"/>
        <s v="CA-2015-121797"/>
        <s v="CA-2017-132430"/>
        <s v="CA-2014-110030"/>
        <s v="CA-2017-149888"/>
        <s v="CA-2017-104801"/>
        <s v="CA-2015-115798"/>
        <s v="CA-2014-149244"/>
        <s v="CA-2015-140144"/>
        <s v="CA-2014-155887"/>
        <s v="US-2014-141257"/>
        <s v="CA-2014-158029"/>
        <s v="CA-2016-146171"/>
        <s v="CA-2017-158967"/>
        <s v="CA-2015-138534"/>
        <s v="CA-2017-108322"/>
        <s v="CA-2015-149972"/>
        <s v="US-2014-117744"/>
        <s v="CA-2014-154599"/>
        <s v="CA-2017-143329"/>
        <s v="CA-2015-122623"/>
        <s v="CA-2015-148635"/>
        <s v="CA-2015-135685"/>
        <s v="CA-2015-104626"/>
        <s v="CA-2016-160500"/>
        <s v="US-2014-112914"/>
        <s v="US-2014-125521"/>
        <s v="US-2016-162852"/>
        <s v="CA-2017-157854"/>
        <s v="CA-2016-136371"/>
        <s v="CA-2016-128594"/>
        <s v="CA-2016-154690"/>
        <s v="CA-2017-138975"/>
        <s v="CA-2017-143861"/>
        <s v="CA-2014-148040"/>
        <s v="US-2016-167339"/>
        <s v="CA-2016-130799"/>
        <s v="US-2016-159856"/>
        <s v="CA-2014-142727"/>
        <s v="CA-2017-139913"/>
        <s v="US-2015-114839"/>
        <s v="CA-2016-153577"/>
        <s v="CA-2016-160129"/>
        <s v="CA-2014-157721"/>
        <s v="CA-2017-128629"/>
        <s v="CA-2017-143434"/>
        <s v="CA-2015-168564"/>
        <s v="CA-2017-155880"/>
        <s v="CA-2017-126242"/>
        <s v="CA-2016-166443"/>
        <s v="CA-2017-169859"/>
        <s v="CA-2017-134915"/>
        <s v="CA-2017-123638"/>
        <s v="CA-2017-137428"/>
        <s v="CA-2014-162866"/>
        <s v="CA-2017-167941"/>
        <s v="CA-2015-137512"/>
        <s v="CA-2017-139773"/>
        <s v="CA-2014-109232"/>
        <s v="CA-2015-139850"/>
        <s v="CA-2014-131310"/>
        <s v="US-2014-112872"/>
        <s v="CA-2016-139269"/>
        <s v="CA-2014-138317"/>
        <s v="CA-2016-124772"/>
        <s v="US-2015-138919"/>
        <s v="US-2016-160528"/>
        <s v="CA-2015-123568"/>
        <s v="CA-2017-124674"/>
        <s v="CA-2017-169054"/>
        <s v="CA-2017-116855"/>
        <s v="CA-2015-168480"/>
        <s v="US-2016-114293"/>
        <s v="US-2015-123960"/>
        <s v="CA-2017-101749"/>
        <s v="US-2016-147991"/>
        <s v="CA-2017-149559"/>
        <s v="CA-2017-121419"/>
        <s v="US-2017-148054"/>
        <s v="CA-2017-131492"/>
        <s v="CA-2014-119375"/>
        <s v="CA-2015-126137"/>
        <s v="CA-2014-143903"/>
        <s v="CA-2017-118773"/>
        <s v="US-2017-159205"/>
        <s v="CA-2017-135692"/>
        <s v="CA-2017-131233"/>
        <s v="CA-2017-119578"/>
        <s v="CA-2016-150350"/>
        <s v="CA-2015-121720"/>
        <s v="CA-2014-136399"/>
        <s v="CA-2014-107916"/>
        <s v="CA-2017-164168"/>
        <s v="US-2016-148110"/>
        <s v="CA-2017-131828"/>
        <s v="CA-2015-147830"/>
        <s v="CA-2015-139584"/>
        <s v="CA-2016-146682"/>
        <s v="CA-2016-138695"/>
        <s v="US-2016-133879"/>
        <s v="US-2017-132059"/>
        <s v="CA-2017-105235"/>
        <s v="CA-2014-164224"/>
        <s v="CA-2014-158372"/>
        <s v="CA-2017-131625"/>
        <s v="CA-2016-140746"/>
        <s v="US-2016-127971"/>
        <s v="CA-2017-113355"/>
        <s v="CA-2016-159730"/>
        <s v="CA-2017-119389"/>
        <s v="US-2016-161844"/>
        <s v="CA-2015-146038"/>
        <s v="CA-2014-159478"/>
        <s v="CA-2014-106264"/>
        <s v="US-2014-159926"/>
        <s v="CA-2016-162747"/>
        <s v="US-2014-133130"/>
        <s v="CA-2017-169978"/>
        <s v="CA-2017-161739"/>
        <s v="CA-2014-134551"/>
        <s v="CA-2015-120810"/>
        <s v="CA-2017-122595"/>
        <s v="US-2017-109253"/>
        <s v="CA-2016-145982"/>
        <s v="US-2014-134733"/>
        <s v="US-2014-150434"/>
        <s v="US-2015-142020"/>
        <s v="CA-2016-130050"/>
        <s v="CA-2014-115161"/>
        <s v="CA-2015-115511"/>
        <s v="CA-2015-161718"/>
        <s v="CA-2017-103156"/>
        <s v="CA-2015-130659"/>
        <s v="CA-2017-148404"/>
        <s v="CA-2015-129700"/>
        <s v="CA-2017-168739"/>
        <s v="US-2014-150119"/>
        <s v="CA-2015-150791"/>
        <s v="CA-2015-153381"/>
        <s v="US-2017-111024"/>
        <s v="CA-2017-148264"/>
        <s v="US-2015-100531"/>
        <s v="CA-2017-152583"/>
        <s v="CA-2017-136448"/>
        <s v="US-2015-147242"/>
        <s v="CA-2016-146143"/>
        <s v="US-2016-150035"/>
        <s v="CA-2017-111815"/>
        <s v="CA-2016-131289"/>
        <s v="CA-2014-124023"/>
        <s v="CA-2014-124688"/>
        <s v="CA-2015-157322"/>
        <s v="CA-2017-142034"/>
        <s v="CA-2016-107328"/>
        <s v="CA-2014-166863"/>
        <s v="CA-2017-140326"/>
        <s v="CA-2015-124975"/>
        <s v="CA-2016-157511"/>
        <s v="CA-2017-155292"/>
        <s v="CA-2016-152555"/>
        <s v="CA-2016-137176"/>
        <s v="CA-2016-104157"/>
        <s v="CA-2015-121650"/>
        <s v="CA-2014-102869"/>
        <s v="CA-2014-159835"/>
        <s v="CA-2017-112956"/>
        <s v="CA-2017-112529"/>
        <s v="CA-2014-159184"/>
        <s v="CA-2017-113530"/>
        <s v="CA-2016-145177"/>
        <s v="CA-2015-128083"/>
        <s v="CA-2017-154109"/>
        <s v="CA-2015-156440"/>
        <s v="CA-2015-132626"/>
        <s v="US-2015-131359"/>
        <s v="CA-2015-151680"/>
        <s v="CA-2017-169411"/>
        <s v="CA-2016-126543"/>
        <s v="CA-2014-120544"/>
        <s v="CA-2017-113670"/>
        <s v="CA-2017-166198"/>
        <s v="CA-2014-135608"/>
        <s v="CA-2016-151155"/>
        <s v="CA-2017-168193"/>
        <s v="CA-2016-149979"/>
        <s v="CA-2017-161956"/>
        <s v="CA-2016-116799"/>
        <s v="CA-2015-167745"/>
        <s v="CA-2016-156251"/>
        <s v="CA-2016-163153"/>
        <s v="CA-2014-153913"/>
        <s v="CA-2016-155530"/>
        <s v="CA-2015-107937"/>
        <s v="US-2014-117163"/>
        <s v="CA-2017-147760"/>
        <s v="CA-2016-156503"/>
        <s v="CA-2015-113628"/>
        <s v="CA-2015-102582"/>
        <s v="CA-2017-141873"/>
        <s v="CA-2017-141733"/>
        <s v="US-2015-111927"/>
        <s v="CA-2014-105984"/>
        <s v="CA-2014-126760"/>
        <s v="US-2014-109162"/>
        <s v="CA-2014-101931"/>
        <s v="CA-2015-127593"/>
        <s v="US-2017-131849"/>
        <s v="CA-2017-154039"/>
        <s v="CA-2015-157133"/>
        <s v="CA-2015-132486"/>
        <s v="CA-2015-129896"/>
        <s v="US-2016-163881"/>
        <s v="CA-2015-167010"/>
        <s v="CA-2017-148068"/>
        <s v="US-2017-142573"/>
        <s v="CA-2014-103940"/>
        <s v="CA-2016-162082"/>
        <s v="CA-2015-118955"/>
        <s v="US-2016-143448"/>
        <s v="CA-2017-117863"/>
        <s v="CA-2016-119963"/>
        <s v="CA-2014-133228"/>
        <s v="CA-2016-114951"/>
        <s v="CA-2016-156573"/>
        <s v="CA-2017-134838"/>
        <s v="CA-2016-167556"/>
        <s v="US-2016-116400"/>
        <s v="CA-2014-114517"/>
        <s v="CA-2017-119564"/>
        <s v="CA-2016-135265"/>
        <s v="CA-2016-108735"/>
        <s v="US-2016-159415"/>
        <s v="CA-2014-122588"/>
        <s v="CA-2015-161998"/>
        <s v="CA-2015-105627"/>
        <s v="US-2015-149629"/>
        <s v="CA-2014-116834"/>
        <s v="CA-2016-145730"/>
        <s v="CA-2017-144463"/>
        <s v="CA-2014-154963"/>
        <s v="CA-2017-130764"/>
        <s v="CA-2017-124296"/>
        <s v="CA-2014-110786"/>
        <s v="CA-2015-137750"/>
        <s v="CA-2017-136350"/>
        <s v="CA-2014-122931"/>
        <s v="CA-2015-124058"/>
        <s v="CA-2016-145303"/>
        <s v="CA-2017-108112"/>
        <s v="US-2014-156559"/>
        <s v="CA-2017-137456"/>
        <s v="CA-2015-105599"/>
        <s v="CA-2015-153717"/>
        <s v="CA-2017-123239"/>
        <s v="CA-2017-127313"/>
        <s v="CA-2017-112725"/>
        <s v="CA-2015-136196"/>
        <s v="CA-2014-157924"/>
        <s v="CA-2016-143749"/>
        <s v="CA-2015-150875"/>
        <s v="CA-2016-124233"/>
        <s v="CA-2014-145387"/>
        <s v="CA-2017-149881"/>
        <s v="CA-2017-134565"/>
        <s v="US-2014-102631"/>
        <s v="CA-2015-154970"/>
        <s v="CA-2017-100223"/>
        <s v="CA-2017-117702"/>
        <s v="CA-2016-157336"/>
        <s v="CA-2014-168130"/>
        <s v="CA-2017-163160"/>
        <s v="CA-2016-124793"/>
        <s v="US-2016-131611"/>
        <s v="US-2017-124821"/>
        <s v="CA-2015-166975"/>
        <s v="CA-2016-123806"/>
        <s v="US-2016-107440"/>
        <s v="CA-2014-166989"/>
        <s v="CA-2015-105690"/>
        <s v="CA-2017-102407"/>
        <s v="CA-2017-101581"/>
        <s v="CA-2017-169124"/>
        <s v="CA-2017-129021"/>
        <s v="CA-2014-162278"/>
        <s v="CA-2014-125829"/>
        <s v="US-2017-136189"/>
        <s v="CA-2015-154795"/>
        <s v="CA-2016-120355"/>
        <s v="CA-2017-162565"/>
        <s v="CA-2014-166954"/>
        <s v="CA-2015-152891"/>
        <s v="US-2015-122784"/>
        <s v="CA-2017-111556"/>
        <s v="US-2014-138758"/>
        <s v="CA-2016-131737"/>
        <s v="CA-2014-160157"/>
        <s v="CA-2017-159464"/>
        <s v="CA-2017-119452"/>
        <s v="CA-2016-168893"/>
        <s v="CA-2015-121965"/>
        <s v="CA-2016-147137"/>
        <s v="US-2015-146745"/>
        <s v="US-2017-125717"/>
        <s v="CA-2017-168641"/>
        <s v="CA-2017-156895"/>
        <s v="CA-2017-121300"/>
        <s v="CA-2017-130211"/>
        <s v="CA-2017-105921"/>
        <s v="CA-2014-150798"/>
        <s v="CA-2017-112753"/>
        <s v="US-2014-138247"/>
        <s v="CA-2017-167003"/>
        <s v="CA-2016-119935"/>
        <s v="CA-2016-120873"/>
        <s v="CA-2014-109491"/>
        <s v="CA-2014-107454"/>
        <s v="US-2017-105046"/>
        <s v="CA-2016-118759"/>
        <s v="CA-2014-140403"/>
        <s v="CA-2017-138464"/>
        <s v="CA-2015-104129"/>
        <s v="CA-2015-126557"/>
        <s v="US-2014-165862"/>
        <s v="US-2014-106334"/>
        <s v="CA-2014-110219"/>
        <s v="CA-2015-118871"/>
        <s v="CA-2017-129490"/>
        <s v="CA-2014-169460"/>
        <s v="CA-2016-139395"/>
        <s v="CA-2016-120250"/>
        <s v="US-2017-163790"/>
        <s v="CA-2016-129868"/>
        <s v="CA-2015-146948"/>
        <s v="US-2017-141852"/>
        <s v="CA-2015-117800"/>
        <s v="CA-2017-147228"/>
        <s v="US-2015-126235"/>
        <s v="CA-2017-168396"/>
        <s v="CA-2015-130456"/>
        <s v="CA-2017-130141"/>
        <s v="CA-2016-143910"/>
        <s v="CA-2016-139556"/>
        <s v="CA-2015-112130"/>
        <s v="CA-2016-116547"/>
        <s v="US-2017-133200"/>
        <s v="CA-2016-133550"/>
        <s v="CA-2017-139416"/>
        <s v="CA-2016-159912"/>
        <s v="CA-2014-138681"/>
        <s v="US-2015-138121"/>
        <s v="CA-2017-140298"/>
        <s v="CA-2016-158435"/>
        <s v="CA-2014-108273"/>
        <s v="CA-2017-143126"/>
        <s v="CA-2014-106229"/>
        <s v="CA-2014-119151"/>
        <s v="US-2015-103996"/>
        <s v="CA-2016-120530"/>
        <s v="CA-2015-105725"/>
        <s v="CA-2016-120005"/>
        <s v="CA-2017-103499"/>
        <s v="CA-2017-119746"/>
        <s v="CA-2014-150301"/>
        <s v="CA-2014-159310"/>
        <s v="CA-2015-104346"/>
        <s v="CA-2015-144722"/>
        <s v="US-2016-148901"/>
        <s v="CA-2017-136364"/>
        <s v="CA-2016-121370"/>
        <s v="CA-2016-140018"/>
        <s v="CA-2017-154123"/>
        <s v="CA-2014-107818"/>
        <s v="CA-2014-113320"/>
        <s v="CA-2015-137526"/>
        <s v="CA-2017-122490"/>
        <s v="CA-2017-143567"/>
        <s v="CA-2016-163167"/>
        <s v="US-2014-122021"/>
        <s v="US-2014-161613"/>
        <s v="CA-2017-163125"/>
        <s v="CA-2016-160304"/>
        <s v="CA-2017-117653"/>
        <s v="CA-2017-143245"/>
        <s v="CA-2014-157147"/>
        <s v="CA-2015-156482"/>
        <s v="CA-2017-107125"/>
        <s v="CA-2014-160262"/>
        <s v="CA-2014-156587"/>
        <s v="CA-2015-122406"/>
        <s v="US-2016-153815"/>
        <s v="CA-2016-149279"/>
        <s v="CA-2015-153038"/>
        <s v="US-2017-139647"/>
        <s v="CA-2014-153850"/>
        <s v="CA-2014-127558"/>
        <s v="CA-2016-133795"/>
        <s v="US-2017-130953"/>
        <s v="CA-2016-155166"/>
        <s v="CA-2015-103954"/>
        <s v="CA-2014-169803"/>
        <s v="CA-2015-136469"/>
        <s v="CA-2016-158694"/>
        <s v="CA-2015-141243"/>
        <s v="CA-2015-136798"/>
        <s v="CA-2017-142090"/>
        <s v="CA-2014-124478"/>
        <s v="CA-2014-134572"/>
        <s v="US-2017-133312"/>
        <s v="US-2014-140452"/>
        <s v="CA-2014-116568"/>
        <s v="CA-2015-153073"/>
        <s v="CA-2014-160766"/>
        <s v="CA-2017-146626"/>
        <s v="CA-2016-128972"/>
        <s v="CA-2016-111213"/>
        <s v="CA-2017-161333"/>
        <s v="CA-2017-128734"/>
        <s v="US-2015-124219"/>
        <s v="CA-2017-163006"/>
        <s v="CA-2014-111192"/>
        <s v="CA-2016-115378"/>
        <s v="CA-2015-161627"/>
        <s v="CA-2014-121006"/>
        <s v="CA-2016-122903"/>
        <s v="CA-2017-106432"/>
        <s v="US-2015-120502"/>
        <s v="CA-2015-115567"/>
        <s v="CA-2014-101560"/>
        <s v="CA-2015-142454"/>
        <s v="CA-2017-145653"/>
        <s v="CA-2014-140487"/>
        <s v="CA-2016-119865"/>
        <s v="CA-2017-124436"/>
        <s v="CA-2014-115084"/>
        <s v="CA-2017-131037"/>
        <s v="CA-2014-166744"/>
        <s v="CA-2016-156265"/>
        <s v="CA-2015-125185"/>
        <s v="CA-2014-105165"/>
        <s v="CA-2017-144484"/>
        <s v="CA-2017-125913"/>
        <s v="CA-2015-162887"/>
        <s v="CA-2014-113859"/>
        <s v="CA-2015-105158"/>
        <s v="CA-2017-105991"/>
        <s v="CA-2014-146283"/>
        <s v="CA-2015-111073"/>
        <s v="CA-2017-108791"/>
        <s v="CA-2016-113831"/>
        <s v="US-2014-139500"/>
        <s v="US-2014-166310"/>
        <s v="US-2016-168410"/>
        <s v="CA-2017-131254"/>
        <s v="CA-2017-137876"/>
        <s v="CA-2016-154060"/>
        <s v="US-2017-162558"/>
        <s v="CA-2015-119508"/>
        <s v="CA-2016-123120"/>
        <s v="CA-2014-103331"/>
        <s v="CA-2014-113768"/>
        <s v="US-2017-126060"/>
        <s v="CA-2016-122017"/>
        <s v="US-2017-136721"/>
        <s v="CA-2015-118738"/>
        <s v="US-2014-123183"/>
        <s v="US-2016-147340"/>
        <s v="CA-2016-117681"/>
        <s v="CA-2016-153598"/>
        <s v="US-2016-108497"/>
        <s v="CA-2014-136861"/>
        <s v="CA-2014-103317"/>
        <s v="US-2014-119081"/>
        <s v="CA-2017-130631"/>
        <s v="CA-2017-116680"/>
        <s v="CA-2017-101574"/>
        <s v="CA-2014-146591"/>
        <s v="CA-2016-122448"/>
        <s v="CA-2014-132451"/>
        <s v="CA-2017-116946"/>
        <s v="CA-2017-148999"/>
        <s v="CA-2017-134495"/>
        <s v="CA-2014-105249"/>
        <s v="CA-2017-164378"/>
        <s v="CA-2017-127782"/>
        <s v="CA-2015-168529"/>
        <s v="CA-2017-117667"/>
        <s v="US-2017-150595"/>
        <s v="CA-2016-134936"/>
        <s v="CA-2017-151008"/>
        <s v="US-2014-159618"/>
        <s v="CA-2017-116113"/>
        <s v="CA-2015-125066"/>
        <s v="CA-2017-157966"/>
        <s v="CA-2016-136686"/>
        <s v="CA-2017-137498"/>
        <s v="CA-2017-163818"/>
        <s v="CA-2014-116673"/>
        <s v="CA-2014-164742"/>
        <s v="CA-2016-134516"/>
        <s v="CA-2017-125745"/>
        <s v="US-2016-124163"/>
        <s v="CA-2014-126683"/>
        <s v="CA-2017-148810"/>
        <s v="US-2016-146066"/>
        <s v="CA-2014-127614"/>
        <s v="CA-2017-113208"/>
        <s v="CA-2014-154893"/>
        <s v="CA-2016-127985"/>
        <s v="CA-2017-127117"/>
        <s v="CA-2015-104241"/>
        <s v="CA-2017-142342"/>
        <s v="CA-2016-145261"/>
        <s v="CA-2016-108875"/>
        <s v="CA-2015-141012"/>
        <s v="CA-2014-126802"/>
        <s v="CA-2014-131541"/>
        <s v="CA-2015-119550"/>
        <s v="US-2015-138093"/>
        <s v="CA-2016-126165"/>
        <s v="US-2014-123519"/>
        <s v="US-2015-160857"/>
        <s v="CA-2017-117324"/>
        <s v="CA-2017-143574"/>
        <s v="CA-2014-148614"/>
        <s v="US-2017-147886"/>
        <s v="CA-2014-145800"/>
        <s v="CA-2016-118514"/>
        <s v="CA-2015-119634"/>
        <s v="CA-2017-158169"/>
        <s v="CA-2015-162047"/>
        <s v="CA-2015-103835"/>
        <s v="CA-2016-142398"/>
        <s v="CA-2014-105270"/>
        <s v="CA-2017-141117"/>
        <s v="CA-2017-115070"/>
        <s v="CA-2017-140186"/>
        <s v="CA-2014-124856"/>
        <s v="CA-2014-166716"/>
        <s v="CA-2017-113873"/>
        <s v="CA-2016-125017"/>
        <s v="US-2015-163279"/>
        <s v="CA-2017-117632"/>
        <s v="CA-2017-161067"/>
        <s v="CA-2016-122063"/>
        <s v="CA-2016-142895"/>
        <s v="CA-2015-134992"/>
        <s v="CA-2015-126725"/>
        <s v="CA-2015-121783"/>
        <s v="CA-2015-112214"/>
        <s v="US-2017-153255"/>
        <s v="CA-2015-108119"/>
        <s v="US-2014-117968"/>
        <s v="CA-2016-152247"/>
        <s v="CA-2016-128223"/>
        <s v="CA-2016-154235"/>
        <s v="CA-2016-133935"/>
        <s v="CA-2016-136301"/>
        <s v="CA-2016-167682"/>
        <s v="CA-2016-159639"/>
        <s v="US-2016-113985"/>
        <s v="US-2015-126977"/>
        <s v="CA-2016-130288"/>
        <s v="US-2014-118997"/>
        <s v="CA-2014-114314"/>
        <s v="US-2017-169551"/>
        <s v="CA-2016-103107"/>
        <s v="CA-2014-104178"/>
        <s v="CA-2014-155796"/>
        <s v="CA-2016-127138"/>
        <s v="CA-2017-150602"/>
        <s v="CA-2014-141726"/>
        <s v="CA-2017-115105"/>
        <s v="CA-2014-117765"/>
        <s v="CA-2016-163776"/>
        <s v="US-2017-163300"/>
        <s v="CA-2016-162187"/>
        <s v="US-2014-112991"/>
        <s v="CA-2014-124079"/>
        <s v="CA-2017-107244"/>
        <s v="CA-2015-100657"/>
        <s v="CA-2017-129028"/>
        <s v="CA-2014-102652"/>
        <s v="US-2017-152492"/>
        <s v="CA-2016-101168"/>
        <s v="CA-2015-130253"/>
        <s v="CA-2016-131205"/>
        <s v="CA-2016-117912"/>
        <s v="CA-2017-145702"/>
        <s v="CA-2015-113215"/>
        <s v="CA-2016-154662"/>
        <s v="CA-2016-124016"/>
        <s v="CA-2017-166695"/>
        <s v="CA-2016-151561"/>
        <s v="US-2014-165589"/>
        <s v="CA-2015-114048"/>
        <s v="CA-2017-100111"/>
        <s v="US-2017-132381"/>
        <s v="CA-2016-124590"/>
        <s v="CA-2017-143378"/>
        <s v="CA-2016-124100"/>
        <s v="CA-2014-163447"/>
        <s v="CA-2016-148096"/>
        <s v="CA-2014-131247"/>
        <s v="CA-2017-101322"/>
        <s v="US-2016-106600"/>
        <s v="CA-2014-111871"/>
        <s v="CA-2017-151484"/>
        <s v="CA-2014-103989"/>
        <s v="CA-2015-158421"/>
        <s v="CA-2016-143609"/>
        <s v="CA-2016-157259"/>
        <s v="CA-2016-118332"/>
        <s v="CA-2017-145660"/>
        <s v="CA-2016-133697"/>
        <s v="CA-2017-119809"/>
        <s v="CA-2015-161711"/>
        <s v="CA-2017-140627"/>
        <s v="CA-2015-133445"/>
        <s v="US-2017-142188"/>
        <s v="CA-2015-134075"/>
        <s v="CA-2017-141572"/>
        <s v="CA-2015-112305"/>
        <s v="CA-2017-121580"/>
        <s v="CA-2015-151624"/>
        <s v="CA-2017-102379"/>
        <s v="US-2016-139087"/>
        <s v="CA-2015-116484"/>
        <s v="CA-2016-100944"/>
        <s v="CA-2016-125080"/>
        <s v="CA-2014-100090"/>
        <s v="US-2015-139675"/>
        <s v="CA-2017-143756"/>
        <s v="CA-2017-107314"/>
        <s v="CA-2016-163328"/>
        <s v="CA-2014-112837"/>
        <s v="CA-2014-167927"/>
        <s v="CA-2016-165995"/>
        <s v="CA-2017-143112"/>
        <s v="CA-2017-161557"/>
        <s v="CA-2016-103919"/>
        <s v="CA-2016-113425"/>
        <s v="CA-2017-143035"/>
        <s v="CA-2014-107811"/>
        <s v="US-2016-116442"/>
        <s v="CA-2016-127236"/>
        <s v="CA-2016-129126"/>
        <s v="CA-2017-125472"/>
        <s v="CA-2017-154074"/>
        <s v="CA-2017-161774"/>
        <s v="CA-2016-140130"/>
        <s v="CA-2015-149650"/>
        <s v="CA-2014-165764"/>
        <s v="US-2017-116897"/>
        <s v="US-2017-113992"/>
        <s v="CA-2014-166891"/>
        <s v="CA-2016-101161"/>
        <s v="US-2017-119816"/>
        <s v="CA-2017-161102"/>
        <s v="US-2017-133361"/>
        <s v="US-2016-155404"/>
        <s v="CA-2016-163804"/>
        <s v="CA-2014-149524"/>
        <s v="CA-2017-140872"/>
        <s v="CA-2017-113908"/>
        <s v="CA-2014-149594"/>
        <s v="CA-2016-113845"/>
        <s v="CA-2015-103135"/>
        <s v="US-2016-128909"/>
        <s v="US-2017-116652"/>
        <s v="CA-2017-138289"/>
        <s v="CA-2014-128209"/>
        <s v="CA-2014-169684"/>
        <s v="CA-2015-109862"/>
        <s v="US-2017-107888"/>
        <s v="CA-2014-113880"/>
        <s v="US-2015-164966"/>
        <s v="CA-2015-126739"/>
        <s v="CA-2015-166947"/>
        <s v="CA-2014-166086"/>
        <s v="CA-2014-100678"/>
        <s v="CA-2017-123085"/>
        <s v="CA-2016-169887"/>
        <s v="CA-2017-104731"/>
        <s v="CA-2014-154095"/>
        <s v="CA-2016-148852"/>
        <s v="CA-2015-107678"/>
        <s v="CA-2016-123512"/>
        <s v="US-2017-167402"/>
        <s v="CA-2014-130449"/>
        <s v="CA-2015-141250"/>
        <s v="CA-2016-105081"/>
        <s v="CA-2014-108609"/>
        <s v="US-2016-127334"/>
        <s v="US-2017-124779"/>
        <s v="CA-2017-135937"/>
        <s v="CA-2017-162173"/>
        <s v="CA-2017-122175"/>
        <s v="CA-2015-135510"/>
        <s v="CA-2014-150329"/>
        <s v="CA-2014-109134"/>
        <s v="US-2015-129637"/>
        <s v="CA-2017-145429"/>
        <s v="CA-2015-153535"/>
        <s v="CA-2015-123141"/>
        <s v="CA-2017-107629"/>
        <s v="CA-2016-134789"/>
        <s v="CA-2016-165827"/>
        <s v="CA-2015-156734"/>
        <s v="CA-2014-144029"/>
        <s v="US-2017-101784"/>
        <s v="CA-2016-154767"/>
        <s v="CA-2017-124205"/>
        <s v="CA-2016-162943"/>
        <s v="CA-2017-100615"/>
        <s v="US-2016-147711"/>
        <s v="CA-2017-121293"/>
        <s v="CA-2015-118843"/>
        <s v="CA-2016-162348"/>
        <s v="CA-2015-145394"/>
        <s v="CA-2015-168809"/>
        <s v="CA-2016-109827"/>
        <s v="CA-2015-128125"/>
        <s v="CA-2017-156237"/>
        <s v="CA-2014-144414"/>
        <s v="CA-2017-163860"/>
        <s v="CA-2015-154291"/>
        <s v="CA-2016-153101"/>
        <s v="CA-2017-142643"/>
        <s v="CA-2016-123946"/>
        <s v="CA-2014-147543"/>
        <s v="CA-2014-101462"/>
        <s v="US-2016-100461"/>
        <s v="CA-2017-128965"/>
        <s v="US-2016-126452"/>
        <s v="US-2016-121013"/>
        <s v="US-2015-123918"/>
        <s v="CA-2015-137113"/>
        <s v="CA-2015-120677"/>
        <s v="CA-2017-164756"/>
        <s v="US-2015-165512"/>
        <s v="US-2017-135503"/>
        <s v="US-2017-115301"/>
        <s v="CA-2014-124247"/>
        <s v="CA-2015-137925"/>
        <s v="CA-2014-164182"/>
        <s v="CA-2016-129847"/>
        <s v="CA-2016-106243"/>
        <s v="CA-2015-130365"/>
        <s v="CA-2017-143021"/>
        <s v="CA-2016-157588"/>
        <s v="CA-2016-163937"/>
        <s v="CA-2015-112144"/>
        <s v="CA-2015-109386"/>
        <s v="CA-2015-104871"/>
        <s v="CA-2014-133158"/>
        <s v="CA-2015-141740"/>
        <s v="CA-2014-119466"/>
        <s v="CA-2015-154823"/>
        <s v="CA-2017-141201"/>
        <s v="CA-2014-124737"/>
        <s v="CA-2016-145548"/>
        <s v="CA-2017-119494"/>
        <s v="CA-2017-103443"/>
        <s v="US-2017-165358"/>
        <s v="CA-2014-150581"/>
        <s v="CA-2016-165330"/>
        <s v="CA-2016-106950"/>
        <s v="CA-2017-128944"/>
        <s v="US-2016-102239"/>
        <s v="CA-2017-166926"/>
        <s v="CA-2015-128013"/>
        <s v="US-2016-117541"/>
        <s v="CA-2017-141439"/>
        <s v="CA-2015-163965"/>
        <s v="CA-2017-128783"/>
        <s v="CA-2014-122217"/>
        <s v="US-2017-141558"/>
        <s v="CA-2017-100412"/>
        <s v="CA-2017-142909"/>
        <s v="US-2015-136749"/>
        <s v="CA-2014-117464"/>
        <s v="US-2017-168613"/>
        <s v="CA-2017-128853"/>
        <s v="CA-2017-133102"/>
        <s v="CA-2016-164399"/>
        <s v="CA-2016-147683"/>
        <s v="CA-2016-104276"/>
        <s v="CA-2016-120369"/>
        <s v="CA-2014-118276"/>
        <s v="CA-2017-137414"/>
        <s v="CA-2016-109953"/>
        <s v="CA-2016-137337"/>
        <s v="CA-2016-101651"/>
        <s v="CA-2017-136651"/>
        <s v="CA-2017-118892"/>
        <s v="US-2014-127978"/>
        <s v="CA-2016-152730"/>
        <s v="US-2014-143721"/>
        <s v="CA-2016-133368"/>
        <s v="CA-2016-123337"/>
        <s v="CA-2015-144519"/>
        <s v="CA-2017-169439"/>
        <s v="CA-2016-149965"/>
        <s v="CA-2016-113656"/>
        <s v="CA-2015-148964"/>
        <s v="CA-2014-163468"/>
        <s v="US-2017-117450"/>
        <s v="CA-2014-137274"/>
        <s v="CA-2016-144092"/>
        <s v="CA-2016-132066"/>
        <s v="CA-2017-100097"/>
        <s v="US-2017-126053"/>
        <s v="US-2014-131275"/>
        <s v="CA-2016-149349"/>
        <s v="CA-2015-125563"/>
        <s v="CA-2015-113152"/>
        <s v="CA-2014-163412"/>
        <s v="CA-2014-116190"/>
        <s v="CA-2017-168389"/>
        <s v="CA-2016-114748"/>
        <s v="US-2014-115189"/>
        <s v="CA-2016-163594"/>
        <s v="CA-2016-127243"/>
        <s v="CA-2016-105732"/>
        <s v="CA-2017-108035"/>
        <s v="CA-2016-110975"/>
        <s v="CA-2016-110009"/>
        <s v="CA-2015-100146"/>
        <s v="CA-2016-129728"/>
        <s v="CA-2014-121769"/>
        <s v="CA-2017-121125"/>
        <s v="US-2016-114013"/>
        <s v="CA-2017-135069"/>
        <s v="CA-2016-101693"/>
        <s v="CA-2015-145457"/>
        <s v="US-2017-163657"/>
        <s v="CA-2017-127474"/>
        <s v="CA-2017-115448"/>
        <s v="CA-2017-105669"/>
        <s v="CA-2015-137974"/>
        <s v="CA-2017-148985"/>
        <s v="CA-2014-138100"/>
        <s v="CA-2014-167199"/>
        <s v="CA-2014-129938"/>
        <s v="US-2015-134558"/>
        <s v="CA-2015-108672"/>
        <s v="US-2017-160836"/>
        <s v="CA-2017-121048"/>
        <s v="US-2017-161935"/>
        <s v="CA-2016-162383"/>
        <s v="CA-2014-125731"/>
        <s v="US-2017-106145"/>
        <s v="CA-2016-107146"/>
        <s v="US-2017-134642"/>
        <s v="CA-2017-103415"/>
        <s v="US-2017-112347"/>
        <s v="CA-2016-136595"/>
        <s v="CA-2014-114181"/>
        <s v="US-2014-137155"/>
        <s v="CA-2016-105746"/>
        <s v="US-2016-104815"/>
        <s v="US-2016-166660"/>
        <s v="CA-2014-100916"/>
        <s v="CA-2016-138597"/>
        <s v="CA-2015-142734"/>
        <s v="CA-2017-122945"/>
        <s v="CA-2016-158778"/>
        <s v="CA-2016-101791"/>
        <s v="CA-2015-113740"/>
        <s v="CA-2017-151225"/>
        <s v="US-2014-144078"/>
        <s v="CA-2015-136805"/>
        <s v="CA-2014-162089"/>
        <s v="US-2017-158526"/>
        <s v="CA-2017-104885"/>
        <s v="CA-2015-161452"/>
        <s v="CA-2016-138968"/>
        <s v="CA-2015-101889"/>
        <s v="CA-2015-107685"/>
        <s v="US-2014-120740"/>
        <s v="CA-2014-105417"/>
        <s v="CA-2014-151967"/>
        <s v="CA-2015-130974"/>
        <s v="CA-2014-133592"/>
        <s v="CA-2016-169838"/>
        <s v="US-2017-128951"/>
        <s v="CA-2016-118899"/>
        <s v="CA-2017-151799"/>
        <s v="CA-2016-114601"/>
        <s v="CA-2017-139353"/>
        <s v="CA-2015-139374"/>
        <s v="CA-2017-104850"/>
        <s v="CA-2015-133242"/>
        <s v="CA-2015-158323"/>
        <s v="CA-2017-112844"/>
        <s v="US-2017-118941"/>
        <s v="CA-2016-162236"/>
        <s v="US-2016-117037"/>
        <s v="CA-2017-166184"/>
        <s v="CA-2014-143637"/>
        <s v="CA-2016-134334"/>
        <s v="US-2017-109316"/>
        <s v="CA-2014-125150"/>
        <s v="CA-2015-127327"/>
        <s v="CA-2015-137302"/>
        <s v="CA-2015-106257"/>
        <s v="CA-2015-149083"/>
        <s v="US-2014-137869"/>
        <s v="US-2017-123834"/>
        <s v="CA-2016-128706"/>
        <s v="CA-2015-143364"/>
        <s v="CA-2016-101672"/>
        <s v="CA-2016-160241"/>
        <s v="CA-2016-155747"/>
        <s v="CA-2017-118017"/>
        <s v="CA-2016-148684"/>
        <s v="CA-2017-128363"/>
        <s v="CA-2016-149762"/>
        <s v="CA-2016-167605"/>
        <s v="CA-2015-110891"/>
        <s v="CA-2017-120404"/>
        <s v="CA-2017-167549"/>
        <s v="US-2016-168095"/>
        <s v="CA-2016-146325"/>
        <s v="CA-2014-131009"/>
        <s v="CA-2017-131807"/>
        <s v="CA-2016-157707"/>
        <s v="US-2015-126753"/>
        <s v="CA-2014-113383"/>
        <s v="US-2015-165743"/>
        <s v="US-2017-105998"/>
        <s v="US-2014-148194"/>
        <s v="CA-2014-143210"/>
        <s v="CA-2015-110863"/>
        <s v="CA-2017-120168"/>
        <s v="US-2014-131870"/>
        <s v="CA-2014-129189"/>
        <s v="CA-2015-132465"/>
        <s v="CA-2016-158806"/>
        <s v="CA-2015-119690"/>
        <s v="CA-2017-109393"/>
        <s v="CA-2017-121489"/>
        <s v="US-2017-133081"/>
        <s v="CA-2014-144974"/>
        <s v="CA-2015-121188"/>
        <s v="US-2015-160563"/>
        <s v="CA-2017-151750"/>
        <s v="CA-2015-106187"/>
        <s v="CA-2016-105753"/>
        <s v="CA-2017-133046"/>
        <s v="CA-2017-159149"/>
        <s v="US-2017-167570"/>
        <s v="CA-2017-160122"/>
        <s v="CA-2016-130393"/>
        <s v="CA-2017-101014"/>
        <s v="US-2017-106551"/>
        <s v="CA-2016-116722"/>
        <s v="US-2017-150070"/>
        <s v="CA-2017-157350"/>
        <s v="CA-2015-131352"/>
        <s v="CA-2016-118073"/>
        <s v="CA-2014-103219"/>
        <s v="CA-2016-100993"/>
        <s v="CA-2014-167997"/>
        <s v="CA-2016-131296"/>
        <s v="CA-2016-134138"/>
        <s v="CA-2015-168207"/>
        <s v="CA-2016-144148"/>
        <s v="CA-2017-107174"/>
        <s v="CA-2015-112767"/>
        <s v="CA-2015-119879"/>
        <s v="CA-2017-155642"/>
        <s v="CA-2015-136728"/>
        <s v="US-2017-155866"/>
        <s v="CA-2015-141327"/>
        <s v="CA-2015-114811"/>
        <s v="CA-2015-122266"/>
        <s v="CA-2016-116337"/>
        <s v="CA-2014-120775"/>
        <s v="CA-2016-123050"/>
        <s v="CA-2016-162355"/>
        <s v="CA-2017-102204"/>
        <s v="CA-2017-103065"/>
        <s v="CA-2014-109897"/>
        <s v="CA-2015-140221"/>
        <s v="CA-2017-121790"/>
        <s v="CA-2016-169670"/>
        <s v="CA-2016-139549"/>
        <s v="CA-2017-134810"/>
        <s v="CA-2015-154284"/>
        <s v="US-2015-158911"/>
        <s v="US-2017-167318"/>
        <s v="CA-2017-135419"/>
        <s v="CA-2014-168312"/>
        <s v="US-2017-105935"/>
        <s v="CA-2014-161508"/>
        <s v="CA-2016-153269"/>
        <s v="CA-2017-135076"/>
        <s v="US-2014-155544"/>
        <s v="US-2015-115238"/>
        <s v="CA-2017-132199"/>
        <s v="CA-2016-163174"/>
        <s v="CA-2017-147207"/>
        <s v="CA-2016-118745"/>
        <s v="CA-2016-163972"/>
        <s v="CA-2016-113726"/>
        <s v="CA-2016-163048"/>
        <s v="CA-2017-110625"/>
        <s v="CA-2016-142594"/>
        <s v="CA-2017-120061"/>
        <s v="CA-2015-110814"/>
        <s v="CA-2017-140480"/>
        <s v="CA-2016-130820"/>
        <s v="CA-2017-132290"/>
        <s v="CA-2017-118199"/>
        <s v="CA-2017-150091"/>
        <s v="CA-2016-118129"/>
        <s v="CA-2017-155621"/>
        <s v="US-2014-127635"/>
        <s v="CA-2017-125451"/>
        <s v="CA-2016-125087"/>
        <s v="US-2017-118556"/>
        <s v="US-2016-164196"/>
        <s v="US-2017-132031"/>
        <s v="CA-2017-142391"/>
        <s v="CA-2016-158841"/>
        <s v="CA-2015-102316"/>
        <s v="CA-2016-109400"/>
        <s v="CA-2016-144645"/>
        <s v="CA-2017-149720"/>
        <s v="CA-2017-118003"/>
        <s v="CA-2016-141887"/>
        <s v="CA-2017-161172"/>
        <s v="CA-2017-137624"/>
        <s v="CA-2016-156748"/>
        <s v="CA-2015-157287"/>
        <s v="CA-2016-119074"/>
        <s v="CA-2015-126186"/>
        <s v="CA-2016-102092"/>
        <s v="CA-2016-132829"/>
        <s v="CA-2016-123540"/>
        <s v="US-2017-108315"/>
        <s v="CA-2017-106747"/>
        <s v="CA-2017-146164"/>
        <s v="CA-2014-130673"/>
        <s v="CA-2017-101700"/>
        <s v="CA-2014-151946"/>
        <s v="CA-2017-117513"/>
        <s v="US-2017-119319"/>
        <s v="CA-2015-164084"/>
        <s v="CA-2016-107783"/>
        <s v="CA-2017-159793"/>
        <s v="CA-2017-151281"/>
        <s v="CA-2015-108259"/>
        <s v="CA-2016-113341"/>
        <s v="US-2015-131842"/>
        <s v="CA-2014-142769"/>
        <s v="CA-2017-124765"/>
        <s v="CA-2015-131856"/>
        <s v="CA-2017-126634"/>
        <s v="US-2014-159611"/>
        <s v="CA-2017-163265"/>
        <s v="CA-2017-141705"/>
        <s v="CA-2017-127096"/>
        <s v="CA-2017-119284"/>
        <s v="CA-2014-146815"/>
        <s v="CA-2014-119144"/>
        <s v="CA-2014-105648"/>
        <s v="US-2015-145422"/>
        <s v="CA-2016-120824"/>
        <s v="CA-2015-103870"/>
        <s v="CA-2017-116988"/>
        <s v="US-2015-144771"/>
        <s v="CA-2017-128076"/>
        <s v="CA-2016-114307"/>
        <s v="CA-2016-151148"/>
        <s v="CA-2016-102813"/>
        <s v="CA-2017-135377"/>
        <s v="CA-2015-133585"/>
        <s v="CA-2016-116911"/>
        <s v="CA-2017-126914"/>
        <s v="CA-2016-140935"/>
        <s v="CA-2016-113082"/>
        <s v="CA-2015-127754"/>
        <s v="CA-2015-145324"/>
        <s v="CA-2015-140718"/>
        <s v="CA-2015-125934"/>
        <s v="CA-2014-120411"/>
        <s v="CA-2017-101805"/>
        <s v="CA-2017-103968"/>
        <s v="CA-2016-162159"/>
        <s v="CA-2015-111038"/>
        <s v="CA-2014-124723"/>
        <s v="CA-2016-167241"/>
        <s v="CA-2016-150483"/>
        <s v="CA-2014-160276"/>
        <s v="CA-2016-145709"/>
        <s v="CA-2016-168032"/>
        <s v="US-2015-168704"/>
        <s v="CA-2017-143252"/>
        <s v="CA-2016-102134"/>
        <s v="CA-2017-111717"/>
        <s v="CA-2017-150910"/>
        <s v="CA-2014-156790"/>
        <s v="CA-2017-105620"/>
        <s v="CA-2017-150266"/>
        <s v="CA-2016-157280"/>
        <s v="CA-2016-134180"/>
        <s v="CA-2017-122308"/>
        <s v="CA-2017-159226"/>
        <s v="CA-2017-156622"/>
        <s v="CA-2016-110898"/>
        <s v="CA-2015-123092"/>
        <s v="US-2015-128587"/>
        <s v="CA-2017-159100"/>
        <s v="CA-2017-137785"/>
        <s v="CA-2017-107825"/>
        <s v="CA-2016-121447"/>
        <s v="CA-2014-100706"/>
        <s v="US-2016-141880"/>
        <s v="CA-2015-165799"/>
        <s v="CA-2016-102127"/>
        <s v="US-2016-152415"/>
        <s v="CA-2017-128041"/>
        <s v="CA-2017-105823"/>
        <s v="CA-2014-138177"/>
        <s v="CA-2014-114335"/>
        <s v="CA-2015-160227"/>
        <s v="CA-2015-149097"/>
        <s v="CA-2016-132304"/>
        <s v="CA-2016-106278"/>
        <s v="CA-2017-147550"/>
        <s v="CA-2016-108105"/>
        <s v="CA-2016-143406"/>
        <s v="CA-2015-162950"/>
        <s v="CA-2015-163181"/>
        <s v="CA-2017-153045"/>
        <s v="CA-2016-128916"/>
        <s v="CA-2016-130911"/>
        <s v="CA-2017-100055"/>
        <s v="CA-2016-132990"/>
        <s v="CA-2016-160108"/>
        <s v="US-2016-155768"/>
        <s v="CA-2017-156776"/>
        <s v="CA-2014-103310"/>
        <s v="CA-2016-152688"/>
        <s v="CA-2014-144071"/>
        <s v="US-2015-164238"/>
        <s v="CA-2017-103212"/>
        <s v="CA-2016-126732"/>
        <s v="CA-2017-138156"/>
        <s v="CA-2014-113271"/>
        <s v="CA-2014-168368"/>
        <s v="CA-2017-111388"/>
        <s v="CA-2015-124499"/>
        <s v="CA-2014-125759"/>
        <s v="CA-2015-151869"/>
        <s v="CA-2016-100510"/>
        <s v="CA-2017-122539"/>
        <s v="CA-2016-166772"/>
        <s v="CA-2014-161032"/>
        <s v="CA-2015-102778"/>
        <s v="CA-2017-154011"/>
        <s v="US-2017-165456"/>
        <s v="CA-2017-161340"/>
        <s v="US-2015-163433"/>
        <s v="US-2017-108343"/>
        <s v="US-2016-111563"/>
        <s v="CA-2017-121853"/>
        <s v="US-2017-130687"/>
        <s v="CA-2017-110198"/>
        <s v="CA-2017-109085"/>
        <s v="CA-2016-114860"/>
        <s v="CA-2016-159009"/>
        <s v="CA-2017-148411"/>
        <s v="CA-2016-168046"/>
        <s v="CA-2017-111591"/>
        <s v="CA-2017-113460"/>
        <s v="CA-2015-111339"/>
        <s v="CA-2014-154158"/>
        <s v="CA-2017-163097"/>
        <s v="CA-2015-130848"/>
        <s v="CA-2014-125997"/>
        <s v="CA-2014-159814"/>
        <s v="CA-2016-105459"/>
        <s v="CA-2017-162789"/>
        <s v="US-2017-110149"/>
        <s v="CA-2015-164777"/>
        <s v="CA-2015-127824"/>
        <s v="CA-2014-116246"/>
        <s v="CA-2014-167486"/>
        <s v="CA-2014-152100"/>
        <s v="CA-2015-166219"/>
        <s v="CA-2017-136882"/>
        <s v="US-2017-109610"/>
        <s v="CA-2016-126858"/>
        <s v="CA-2017-102925"/>
        <s v="CA-2015-100818"/>
        <s v="CA-2016-164770"/>
        <s v="CA-2017-130505"/>
        <s v="CA-2016-105207"/>
        <s v="CA-2016-149237"/>
        <s v="US-2015-158589"/>
        <s v="CA-2017-142461"/>
        <s v="CA-2017-156958"/>
        <s v="CA-2016-116596"/>
        <s v="CA-2017-124191"/>
        <s v="CA-2016-148747"/>
        <s v="CA-2015-135727"/>
        <s v="CA-2015-135251"/>
        <s v="CA-2016-125724"/>
        <s v="CA-2015-111612"/>
        <s v="CA-2014-103086"/>
        <s v="CA-2016-129280"/>
        <s v="CA-2014-130428"/>
        <s v="CA-2015-148495"/>
        <s v="CA-2015-143147"/>
        <s v="CA-2017-152975"/>
        <s v="CA-2017-116127"/>
        <s v="US-2016-105452"/>
        <s v="CA-2015-149517"/>
        <s v="CA-2016-129861"/>
        <s v="CA-2016-130638"/>
        <s v="CA-2017-137449"/>
        <s v="CA-2014-151330"/>
        <s v="CA-2014-124702"/>
        <s v="CA-2015-116638"/>
        <s v="CA-2014-104563"/>
        <s v="CA-2016-107104"/>
        <s v="CA-2014-156160"/>
        <s v="CA-2017-157448"/>
        <s v="CA-2016-137393"/>
        <s v="CA-2017-122770"/>
        <s v="CA-2015-130183"/>
        <s v="CA-2016-122511"/>
        <s v="CA-2016-161746"/>
        <s v="CA-2014-114251"/>
        <s v="CA-2016-119641"/>
        <s v="CA-2016-105781"/>
        <s v="CA-2014-114321"/>
        <s v="CA-2015-117086"/>
        <s v="CA-2017-137505"/>
        <s v="US-2014-140914"/>
        <s v="CA-2017-113705"/>
        <s v="CA-2016-146913"/>
        <s v="CA-2016-123533"/>
        <s v="CA-2014-169019"/>
        <s v="CA-2015-149748"/>
        <s v="US-2014-114377"/>
        <s v="CA-2017-144491"/>
        <s v="CA-2014-127166"/>
        <s v="CA-2015-122973"/>
        <s v="CA-2016-136322"/>
        <s v="CA-2017-107209"/>
        <s v="CA-2015-162201"/>
        <s v="US-2014-164406"/>
        <s v="US-2017-152842"/>
        <s v="CA-2014-113257"/>
        <s v="CA-2016-126627"/>
        <s v="US-2016-125402"/>
        <s v="CA-2014-163867"/>
        <s v="CA-2017-169327"/>
        <s v="CA-2016-158155"/>
        <s v="CA-2017-138870"/>
        <s v="CA-2015-164301"/>
        <s v="CA-2017-113278"/>
        <s v="CA-2014-114195"/>
        <s v="CA-2016-122581"/>
        <s v="US-2016-115441"/>
        <s v="CA-2016-112830"/>
        <s v="US-2014-117380"/>
        <s v="CA-2017-117646"/>
        <s v="CA-2014-122609"/>
        <s v="US-2015-129007"/>
        <s v="CA-2015-132388"/>
        <s v="CA-2017-160927"/>
        <s v="CA-2016-149272"/>
        <s v="CA-2016-129630"/>
        <s v="CA-2015-104948"/>
        <s v="CA-2016-164889"/>
        <s v="CA-2016-169824"/>
        <s v="CA-2017-121559"/>
        <s v="CA-2015-141593"/>
        <s v="CA-2015-168088"/>
        <s v="CA-2016-146374"/>
        <s v="US-2015-151435"/>
        <s v="CA-2014-110422"/>
        <s v="CA-2017-121258"/>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1"/>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ount="380">
        <s v="Bush Somerset Collection Bookcase"/>
        <s v="Hon Deluxe Fabric Upholstered Stacking Chairs, Rounded Back"/>
        <s v="Bretford CR4500 Series Slim Rectangular Table"/>
        <s v="Eldon Expressions Wood and Plastic Desk Accessories, Cherry Wood"/>
        <s v="Chromcraft Rectangular Conference Tables"/>
        <s v="Global Deluxe Stacking Chair, Gray"/>
        <s v="Riverside Palais Royal Lawyers Bookcase, Royale Cherry Finish"/>
        <s v="Howard Miller 13-3/4&quot; Diameter Brushed Chrome Round Wall Clock"/>
        <s v="Electrix Architect's Clamp-On Swing Arm Lamp, Black"/>
        <s v="Atlantic Metals Mobile 3-Shelf Bookcases, Custom Colors"/>
        <s v="Global Fabric Manager's Chair, Dark Gray"/>
        <s v="Longer-Life Soft White Bulbs"/>
        <s v="Global Leather Task Chair, Black"/>
        <s v="Novimex Turbo Task Chair"/>
        <s v="Luxo Economy Swing Arm Lamp"/>
        <s v="Global Value Mid-Back Manager's Chair, Gray"/>
        <s v="High-Back Leather Manager's Chair"/>
        <s v="Tenex Traditional Chairmats for Medium Pile Carpet, Standard Lip, 36&quot; x 48&quot;"/>
        <s v="6&quot; Cubicle Wall Clock, Black"/>
        <s v="Eldon Expressions Desk Accessory, Wood Pencil Holder, Oak"/>
        <s v="Novimex Swivel Fabric Task Chair"/>
        <s v="Seth Thomas 13 1/2&quot; Wall Clock"/>
        <s v="9-3/4 Diameter Round Wall Clock"/>
        <s v="Deflect-o DuraMat Lighweight, Studded, Beveled Mat for Low Pile Carpeting"/>
        <s v="Magnifier Swing Arm Lamp"/>
        <s v="Hon Racetrack Conference Tables"/>
        <s v="Artistic Insta-Plaque"/>
        <s v="Global Deluxe High-Back Manager's Chair"/>
        <s v="Bevis 44 x 96 Conference Tables"/>
        <s v="Global Task Chair, Black"/>
        <s v="Eldon Cleatmat Plus Chair Mats for High Pile Carpets"/>
        <s v="Seth Thomas 14&quot; Putty-Colored Wall Clock"/>
        <s v="SAFCO Arco Folding Chair"/>
        <s v="Global Value Steno Chair, Gray"/>
        <s v="Padded Folding Chairs, Black, 4/Carton"/>
        <s v="Atlantic Metals Mobile 4-Shelf Bookcases, Custom Colors"/>
        <s v="BoxOffice By Design Rectangular and Half-Moon Meeting Room Tables"/>
        <s v="Eldon 200 Class Desk Accessories, Burgundy"/>
        <s v="O'Sullivan 2-Door Barrister Bookcase in Odessa Pine"/>
        <s v="Executive Impressions 14&quot; Two-Color Numerals Wall Clock"/>
        <s v="Bevis 36 x 72 Conference Tables"/>
        <s v="Global Low Back Tilter Chair"/>
        <s v="Global Push Button Manager's Chair, Indigo"/>
        <s v="Bush Advantage Collection Round Conference Table"/>
        <s v="Bretford Rectangular Conference Table Tops"/>
        <s v="Tenex Contemporary Contur Chairmats for Low and Medium Pile Carpet, Computer, 39&quot; x 49&quot;"/>
        <s v="Luxo Professional Fluorescent Magnifier Lamp with Clamp-Mount Base"/>
        <s v="Staple-based wall hangings"/>
        <s v="KI Conference Tables"/>
        <s v="Eldon 100 Class Desk Accessories"/>
        <s v="Global Leather Highback Executive Chair with Pneumatic Height Adjustment, Black"/>
        <s v="Regeneration Desk Collection"/>
        <s v="Bevis Round Bullnose 29&quot; High Table Top"/>
        <s v="Bush Westfield Collection Bookcases, Medium Cherry Finish"/>
        <s v="Howard Miller 13&quot; Diameter Goldtone Round Wall Clock"/>
        <s v="Global Deluxe Office Fabric Chairs"/>
        <s v="Eldon ClusterMat Chair Mat with Cordless Antistatic Protection"/>
        <s v="Floodlight Indoor Halogen Bulbs, 1 Bulb per Pack, 60 Watts"/>
        <s v="BPI Conference Tables"/>
        <s v="Electrix 20W Halogen Replacement Bulb for Zoom-In Desk Lamp"/>
        <s v="C-Line Cubicle Keepers Polyproplyene Holder With Velcro Backings"/>
        <s v="Hon 4070 Series Pagoda Armless Upholstered Stacking Chairs"/>
        <s v="Eldon Expressions Desk Accessory, Wood Photo Frame, Mahogany"/>
        <s v="Deflect-o SuperTray Unbreakable Stackable Tray, Letter, Black"/>
        <s v="DMI Arturo Collection Mission-style Design Wood Chair"/>
        <s v="Telescoping Adjustable Floor Lamp"/>
        <s v="Hon 2090 ÒPillow SoftÓ Series Mid Back Swivel/Tilt Chairs"/>
        <s v="Hon 5100 Series Wood Tables"/>
        <s v="Sauder Barrister Bookcases"/>
        <s v="Global Ergonomic Managers Chair"/>
        <s v="Eldon Wave Desk Accessories"/>
        <s v="Office Impressions End Table, 20-1/2&quot;H x 24&quot;W x 20&quot;D"/>
        <s v="Hon Practical Foundations 30 x 60 Training Table, Light Gray/Charcoal"/>
        <s v="3M Hangers With Command Adhesive"/>
        <s v="Bevis Round Conference Table Top, X-Base"/>
        <s v="O'Sullivan 4-Shelf Bookcase in Odessa Pine"/>
        <s v="Novimex High-Tech Fabric Mesh Task Chair"/>
        <s v="Bevis Steel Folding Chairs"/>
        <s v="Westinghouse Mesh Shade Clip-On Gooseneck Lamp, Black"/>
        <s v="Hon Multipurpose Stacking Arm Chairs"/>
        <s v="Coloredge Poster Frame"/>
        <s v="Global Deluxe Steno Chair"/>
        <s v="Aluminum Document Frame"/>
        <s v="Office Star - Ergonomically Designed Knee Chair"/>
        <s v="GE General Purpose, Extra Long Life, Showcase &amp; Floodlight Incandescent Bulbs"/>
        <s v="Global Geo Office Task Chair, Gray"/>
        <s v="Hon 4700 Series Mobuis Mid-Back Task Chairs with Adjustable Arms"/>
        <s v="Bush Advantage Collection Racetrack Conference Table"/>
        <s v="Bush Mission Pointe Library"/>
        <s v="Sauder Mission Library with Doors, Fruitwood Finish"/>
        <s v="O'Sullivan Living Dimensions 2-Shelf Bookcases"/>
        <s v="Balt Solid Wood Rectangular Table"/>
        <s v="Howard Miller 14-1/2&quot; Diameter Chrome Round Wall Clock"/>
        <s v="Deflect-O Glasstique Clear Desk Accessories"/>
        <s v="Global Troy Executive Leather Low-Back Tilter"/>
        <s v="Executive Impressions Supervisor Wall Clock"/>
        <s v="Global Commerce Series High-Back Swivel/Tilt Chairs"/>
        <s v="Safco Contoured Stacking Chairs"/>
        <s v="Tenex Chairmats For Use With Carpeted Floors"/>
        <s v="Situations Contoured Folding Chairs, 4/Set"/>
        <s v="Deflect-o EconoMat Studded, No Bevel Mat for Low Pile Carpeting"/>
        <s v="HON 5400 Series Task Chairs for Big and Tall"/>
        <s v="Howard Miller 11-1/2&quot; Diameter Grantwood Wall Clock"/>
        <s v="Bretford ÒJust In TimeÓ Height-Adjustable Multi-Task Work Tables"/>
        <s v="Advantus Panel Wall Acrylic Frame"/>
        <s v="Hon Every-Day Series Multi-Task Chairs"/>
        <s v="Contract Clock, 14&quot;, Brown"/>
        <s v="Dana Halogen Swing-Arm Architect Lamp"/>
        <s v="DAX Metal Frame, Desktop, Stepped-Edge"/>
        <s v="DAX Value U-Channel Document Frames, Easel Back"/>
        <s v="Global Manager's Adjustable Task Chair, Storm"/>
        <s v="Master Caster Door Stop, Brown"/>
        <s v="Office Star - Mesh Screen back chair with Vinyl seat"/>
        <s v="Eldon 200 Class Desk Accessories"/>
        <s v="Master Giant Foot Doorstop, Safety Yellow"/>
        <s v="12-1/2 Diameter Round Wall Clock"/>
        <s v="Chromcraft Bull-Nose Wood Round Conference Table Top, Wood Base"/>
        <s v="Howard Miller 13-1/2&quot; Diameter Rosebrook Wall Clock"/>
        <s v="Bush Andora Bookcase, Maple/Graphite Gray Finish"/>
        <s v="Luxo Professional Magnifying Clamp-On Fluorescent Lamps"/>
        <s v="Tenex &quot;The Solids&quot; Textured Chair Mats"/>
        <s v="Laminate Occasional Tables"/>
        <s v="O'Sullivan Living Dimensions 5-Shelf Bookcases"/>
        <s v="Howard Miller 13&quot; Diameter Pewter Finish Round Wall Clock"/>
        <s v="Chromcraft Bull-Nose Wood Oval Conference Tables &amp; Bases"/>
        <s v="Seth Thomas 16&quot; Steel Case Clock"/>
        <s v="Bevis Traditional Conference Table Top, Plinth Base"/>
        <s v="O'Sullivan Cherrywood Estates Traditional Bookcase"/>
        <s v="Nu-Dell Leatherette Frames"/>
        <s v="Chromcraft Round Conference Tables"/>
        <s v="Electrix Halogen Magnifier Lamp"/>
        <s v="Hon 4070 Series Pagoda Round Back Stacking Chairs"/>
        <s v="C-Line Magnetic Cubicle Keepers, Clear Polypropylene"/>
        <s v="Hon GuestStacker Chair"/>
        <s v="Safco Value Mate Series Steel Bookcases, Baked Enamel Finish on Steel, Gray"/>
        <s v="Lifetime Advantage Folding Chairs, 4/Carton"/>
        <s v="Office Star - Contemporary Task Swivel Chair"/>
        <s v="Executive Impressions 14&quot; Contract Wall Clock"/>
        <s v="Eldon Stackable Tray, Side-Load, Legal, Smoke"/>
        <s v="Global Leather Executive Chair"/>
        <s v="Global Airflow Leather Mesh Back Chair, Black"/>
        <s v="O'Sullivan 3-Shelf Heavy-Duty Bookcases"/>
        <s v="Linden 10&quot; Round Wall Clock, Black"/>
        <s v="Howard Miller 11-1/2&quot; Diameter Ridgewood Wall Clock"/>
        <s v="Dax Clear Box Frame"/>
        <s v="Bush Westfield Collection Bookcases, Fully Assembled"/>
        <s v="Lesro Sheffield Collection Coffee Table, End Table, Center Table, Corner Table"/>
        <s v="Bevis Boat-Shaped Conference Table"/>
        <s v="Deflect-o RollaMat Studded, Beveled Mat for Medium Pile Carpeting"/>
        <s v="Riverside Furniture Oval Coffee Table, Oval End Table, End Table with Drawer"/>
        <s v="Luxo Professional Combination Clamp-On Lamps"/>
        <s v="DAX Black Cherry Wood-Tone Poster Frame"/>
        <s v="Magna Visual Magnetic Picture Hangers"/>
        <s v="Eldon Delta Triangular Chair Mat, 52&quot; x 58&quot;, Clear"/>
        <s v="G.E. Halogen Desk Lamp Bulbs"/>
        <s v="Global Comet Stacking Arm Chair"/>
        <s v="Eldon Advantage Chair Mats for Low to Medium Pile Carpets"/>
        <s v="Atlantic Metals Mobile 5-Shelf Bookcases, Custom Colors"/>
        <s v="Global Stack Chair without Arms, Black"/>
        <s v="Eldon Antistatic Chair Mats for Low to Medium Pile Carpets"/>
        <s v="Howard Miller 12&quot; Round Wall Clock"/>
        <s v="Eldon Advantage Foldable Chair Mats for Low Pile Carpets"/>
        <s v="Global High-Back Leather Tilter, Burgundy"/>
        <s v="Hon 4060 Series Tables"/>
        <s v="Bush Saratoga Collection 5-Shelf Bookcase, Hanover Cherry, *Special Order"/>
        <s v="KI Adjustable-Height Table"/>
        <s v="Eldon Regeneration Recycled Desk Accessories, Smoke"/>
        <s v="Chromcraft 48&quot; x 96&quot; Racetrack Double Pedestal Table"/>
        <s v="Hon Deluxe Fabric Upholstered Stacking Chairs"/>
        <s v="C-Line Cubicle Keepers Polyproplyene Holder w/Velcro Back, 8-1/2x11, 25/Bx"/>
        <s v="Harbour Creations Steel Folding Chair"/>
        <s v="GuestStacker Chair with Chrome Finish Legs"/>
        <s v="Ultra Door Push Plate"/>
        <s v="Global Chrome Stack Chair"/>
        <s v="Eldon Expressions Punched Metal &amp; Wood Desk Accessories, Pewter &amp; Cherry"/>
        <s v="24-Hour Round Wall Clock"/>
        <s v="Eldon Radial Chair Mat for Low to Medium Pile Carpets"/>
        <s v="Eldon Image Series Desk Accessories, Ebony"/>
        <s v="Hon Non-Folding Utility Tables"/>
        <s v="Bestar Classic Bookcase"/>
        <s v="Office Star - Contemporary Swivel Chair with Padded Adjustable Arms and Flex Back"/>
        <s v="Westinghouse Clip-On Gooseneck Lamps"/>
        <s v="Howard Miller Distant Time Traveler Alarm Clock"/>
        <s v="Office Star Flex Back Scooter Chair with White Frame"/>
        <s v="Sauder Cornerstone Collection Library"/>
        <s v="Westinghouse Floor Lamp with Metal Mesh Shade, Black"/>
        <s v="Hon Valutask Swivel Chairs"/>
        <s v="Seth Thomas 12&quot; Clock w/ Goldtone Case"/>
        <s v="Tensor Computer Mounted Lamp"/>
        <s v="Leather Task Chair, Black"/>
        <s v="Lesro Round Back Collection Coffee Table, End Table"/>
        <s v="Eldon 200 Class Desk Accessories, Black"/>
        <s v="Bevis Oval Conference Table, Walnut"/>
        <s v="Hon 61000 Series Interactive Training Tables"/>
        <s v="Bush Andora Conference Table, Maple/Graphite Gray Finish"/>
        <s v="DAX Executive Solid Wood Document Frame, Desktop or Hang, Mahogany, 5 x 7"/>
        <s v="Global Super Steno Chair"/>
        <s v="Iceberg OfficeWorks 42&quot; Round Tables"/>
        <s v="DAX Wood Document Frame"/>
        <s v="Global Executive Mid-Back Manager's Chair"/>
        <s v="Eldon Image Series Desk Accessories, Burgundy"/>
        <s v="Hon 2111 Invitation Series Corner Table"/>
        <s v="Master Caster Door Stop, Large Neon Orange"/>
        <s v="Sauder Inglewood Library Bookcases"/>
        <s v="Tenex 46&quot; x 60&quot; Computer Anti-Static Chairmat, Rectangular Shaped"/>
        <s v="GE 48&quot; Fluorescent Tube, Cool White Energy Saver, 34 Watts, 30/Box"/>
        <s v="Stacking Tray, Side-Loading, Legal, Smoke"/>
        <s v="DAX Natural Wood-Tone Poster Frame"/>
        <s v="O'Sullivan Manor Hill 2-Door Library in Brianna Oak"/>
        <s v="Nu-Dell Float Frame 11 x 14 1/2"/>
        <s v="Sauder Facets Collection Library, Sky Alder Finish"/>
        <s v="SAFCO PlanMaster Heigh-Adjustable Drafting Table Base, 43w x 30d x 30-37h, Black"/>
        <s v="Hon 2111 Invitation Series Straight Table"/>
        <s v="Sauder Camden County Barrister Bookcase, Planked Cherry Finish"/>
        <s v="Sauder Camden County Collection Libraries, Planked Cherry Finish"/>
        <s v="Advantus Panel Wall Certificate Holder - 8.5x11"/>
        <s v="Office Star - Professional Matrix Back Chair with 2-to-1 Synchro Tilt and Mesh Fabric Seat"/>
        <s v="DAX Cubicle Frames - 8x10"/>
        <s v="Electrix Incandescent Magnifying Lamp, Black"/>
        <s v="Global Stack Chair with Arms, Black"/>
        <s v="Seth Thomas 14&quot; Day/Date Wall Clock"/>
        <s v="Hon Olson Stacker Stools"/>
        <s v="Dana Fluorescent Magnifying Lamp, White, 36&quot;"/>
        <s v="Flat Face Poster Frame"/>
        <s v="Sauder Forest Hills Library with Doors, Woodland Oak Finish"/>
        <s v="Executive Impressions 8-1/2&quot; Career Panel/Partition Cubicle Clock"/>
        <s v="Hon 30&quot; x 60&quot; Table with Locking Drawer"/>
        <s v="Safco Drafting Table"/>
        <s v="Ultra Door Pull Handle"/>
        <s v="Global Comet Stacking Armless Chair"/>
        <s v="Hand-Finished Solid Wood Document Frame"/>
        <s v="DAX Charcoal/Nickel-Tone Document Frame, 5 x 7"/>
        <s v="Global Commerce Series Low-Back Swivel/Tilt Chairs"/>
        <s v="O'Sullivan 2-Shelf Heavy-Duty Bookcases"/>
        <s v="Global Wood Trimmed Manager's Task Chair, Khaki"/>
        <s v="Bevis Round Conference Table Top &amp; Single Column Base"/>
        <s v="O'Sullivan Elevations Bookcase, Cherry Finish"/>
        <s v="Novimex Fabric Task Chair"/>
        <s v="Master Big Foot Doorstop, Beige"/>
        <s v="Hon 94000 Series Round Tables"/>
        <s v="DMI Eclipse Executive Suite Bookcases"/>
        <s v="DataProducts Ampli Magnifier Task Lamp, Black,"/>
        <s v="Eldon Expressions Wood Desk Accessories, Oak"/>
        <s v="Chromcraft Bull-Nose Wood 48&quot; x 96&quot; Rectangular Conference Tables"/>
        <s v="Hon Mobius Operator's Chair"/>
        <s v="Howard Miller 16&quot; Diameter Gallery Wall Clock"/>
        <s v="Eldon Executive Woodline II Desk Accessories, Mahogany"/>
        <s v="Metal Folding Chairs, Beige, 4/Carton"/>
        <s v="Atlantic Metals Mobile 2-Shelf Bookcases, Custom Colors"/>
        <s v="Eldon Cleatmat Chair Mats for Medium Pile Carpets"/>
        <s v="Deflect-o Glass Clear Studded Chair Mats"/>
        <s v="Bevis Round Conference Room Tables and Bases"/>
        <s v="Balt Solid Wood Round Tables"/>
        <s v="Tenex Antistatic Computer Chair Mats"/>
        <s v="Nu-Dell Executive Frame"/>
        <s v="Global Leather &amp; Oak Executive Chair, Burgundy"/>
        <s v="Rubbermaid ClusterMat Chairmats, Mat Size- 66&quot; x 60&quot;, Lip 20&quot; x 11&quot; -90 Degree Angle"/>
        <s v="DAX Solid Wood Frames"/>
        <s v="O'Sullivan Plantations 2-Door Library in Landvery Oak"/>
        <s v="Hon Rectangular Conference Tables"/>
        <s v="Iceberg Nesting Folding Chair, 19w x 6d x 43h"/>
        <s v="Bevis Rectangular Conference Tables"/>
        <s v="Eldon Pizzaz Desk Accessories"/>
        <s v="Sauder Forest Hills Library, Woodland Oak Finish"/>
        <s v="Global Deluxe High-Back Office Chair in Storm"/>
        <s v="Bush Westfield Collection Bookcases, Dark Cherry Finish"/>
        <s v="3M Polarizing Task Lamp with Clamp Arm, Light Gray"/>
        <s v="Contemporary Wood/Metal Frame"/>
        <s v="O'Sullivan Living Dimensions 3-Shelf Bookcases"/>
        <s v="GE General Use Halogen Bulbs, 100 Watts, 1 Bulb per Pack"/>
        <s v="Eldon Image Series Black Desk Accessories"/>
        <s v="Executive Impressions 14&quot;"/>
        <s v="Executive Impressions 12&quot; Wall Clock"/>
        <s v="Bretford CR8500 Series Meeting Room Furniture"/>
        <s v="SAFCO Optional Arm Kit for Workspace Cribbage Stacking Chair"/>
        <s v="Stackable Trays"/>
        <s v="Executive Impressions 13&quot; Clairmont Wall Clock"/>
        <s v="Global Adaptabilites Bookcase, Cherry/Storm Gray Finish"/>
        <s v="Global Italian Leather Office Chair"/>
        <s v="Computer Room Manger, 14&quot;"/>
        <s v="Hon Deluxe Fabric Upholstered Stacking Chairs, Squared Back"/>
        <s v="Advantus Employee of the Month Certificate Frame, 11 x 13-1/2"/>
        <s v="Eldon Expressions Punched Metal &amp; Wood Desk Accessories, Black &amp; Cherry"/>
        <s v="GE 4 Foot Flourescent Tube, 40 Watt"/>
        <s v="Dana Swing-Arm Lamps"/>
        <s v="Eldon 200 Class Desk Accessories, Smoke"/>
        <s v="Tenex Carpeted, Granite-Look or Clear Contemporary Contour Shape Chair Mats"/>
        <s v="Global Highback Leather Tilter in Burgundy"/>
        <s v="Executive Impressions 13-1/2&quot; Indoor/Outdoor Wall Clock"/>
        <s v="Eldon 400 Class Desk Accessories, Black Carbon"/>
        <s v="Harbour Creations 67200 Series Stacking Chairs"/>
        <s v="Tenex V2T-RE Standard Weight Series Chair Mat, 45&quot; x 53&quot;, Lip 25&quot; x 12&quot;"/>
        <s v="DAX Two-Tone Rosewood/Black Document Frame, Desktop, 5 x 7"/>
        <s v="Safco Chair Connectors, 6/Carton"/>
        <s v="Eldon Expressions Mahogany Wood Desk Collection"/>
        <s v="Stacking Trays by OIC"/>
        <s v="DAX Clear Channel Poster Frame"/>
        <s v="Hon Pagoda Stacking Chairs"/>
        <s v="36X48 HARDFLOOR CHAIRMAT"/>
        <s v="Anderson Hickey Conga Table Tops &amp; Accessories"/>
        <s v="Eldon Econocleat Chair Mats for Low Pile Carpets"/>
        <s v="Bush Cubix Collection Bookcases, Fully Assembled"/>
        <s v="Seth Thomas 8 1/2&quot; Cubicle Clock"/>
        <s v="G.E. Longer-Life Indoor Recessed Floodlight Bulbs"/>
        <s v="Global Leather and Oak Executive Chair, Black"/>
        <s v="Master Caster Door Stop, Gray"/>
        <s v="Tenex Chairmats For Use with Hard Floors"/>
        <s v="Rush Hierlooms Collection 1&quot; Thick Stackable Bookcases"/>
        <s v="Barricks 18&quot; x 48&quot; Non-Folding Utility Table with Bottom Storage Shelf"/>
        <s v="Executive Impressions 10&quot; Spectator Wall Clock"/>
        <s v="Hon Metal Bookcases, Putty"/>
        <s v="OIC Stacking Trays"/>
        <s v="Global Armless Task Chair, Royal Blue"/>
        <s v="Eldon Executive Woodline II Cherry Finish Desk Accessories"/>
        <s v="Tenex Traditional Chairmats for Hard Floors, Average Lip, 36&quot; x 48&quot;"/>
        <s v="Hon Metal Bookcases, Black"/>
        <s v="Bush Birmingham Collection Bookcase, Dark Cherry"/>
        <s v="Acrylic Self-Standing Desk Frames"/>
        <s v="Eldon Regeneration Recycled Desk Accessories, Black"/>
        <s v="Office Star - Mid Back Dual function Ergonomic High Back Chair with 2-Way Adjustable Arms"/>
        <s v="Balt Split Level Computer Training Table"/>
        <s v="SAFCO Folding Chair Trolley"/>
        <s v="Office Star - Contemporary Task Swivel chair with Loop Arms, Charcoal"/>
        <s v="Executive Impressions 13&quot; Chairman Wall Clock"/>
        <s v="Eldon 300 Class Desk Accessories, Black"/>
        <s v="Eldon &quot;L&quot; Workstation Diamond Chairmat"/>
        <s v="DAX Copper Panel Document Frame, 5 x 7 Size"/>
        <s v="Bush Heritage Pine Collection 5-Shelf Bookcase, Albany Pine Finish, *Special Order"/>
        <s v="3M Polarizing Light Filter Sleeves"/>
        <s v="Eldon Expressions Wood and Plastic Desk Accessories, Oak"/>
        <s v="Ultra Door Kickplate, 8&quot;H x 34&quot;W"/>
        <s v="Howard Miller 11-1/2&quot; Diameter Brentwood Wall Clock"/>
        <s v="Hon Metal Bookcases, Gray"/>
        <s v="Rush Hierlooms Collection Rich Wood Bookcases"/>
        <s v="Global Enterprise Series Seating High-Back Swivel/Tilt Chairs"/>
        <s v="O'Sullivan 5-Shelf Heavy-Duty Bookcases"/>
        <s v="Safco Value Mate Steel Bookcase, Baked Enamel Finish on Steel, Black"/>
        <s v="Howard Miller 12-3/4 Diameter Accuwave DS  Wall Clock"/>
        <s v="DAX Wood Document Frame."/>
        <s v="DAX Two-Tone Silver Metal Document Frame"/>
        <s v="O'Sullivan Cherrywood Estates Traditional Barrister Bookcase"/>
        <s v="Hon 4-Shelf Metal Bookcases"/>
        <s v="Global Adaptabilities Conference Tables"/>
        <s v="Riverside Furniture Stanwyck Manor Table Series"/>
        <s v="Master Caster Door Stop, Large Brown"/>
        <s v="Nu-Dell Oak Frame"/>
        <s v="Document Clip Frames"/>
        <s v="DAX Cubicle Frames, 8-1/2 x 11"/>
        <s v="Sauder Camden County Collection Library"/>
        <s v="Office Star - Ergonomic Mid Back Chair with 2-Way Adjustable Arms"/>
        <s v="DAX Contemporary Wood Frame with Silver Metal Mat, Desktop, 11 x 14 Size"/>
        <s v="Deflect-o EconoMat Nonstudded, No Bevel Mat"/>
        <s v="Hon Every-Day Chair Series Swivel Task Chairs"/>
        <s v="Office Star Flex Back Scooter Chair with Aluminum Finish Frame"/>
        <s v="Eldon Imˆge Series Desk Accessories, Clear"/>
        <s v="Barricks Non-Folding Utility Table with Steel Legs, Laminate Tops"/>
        <s v="Eldon 500 Class Desk Accessories"/>
        <s v="Luxo Adjustable Task Clamp Lamp"/>
        <s v="Bush Cubix Conference Tables, Fully Assembled"/>
        <s v="Office Star - Contemporary Task Swivel chair with 2-way adjustable arms, Plum"/>
        <s v="SAFCO PlanMaster Boards, 60w x 37-1/2d, White Melamine"/>
        <s v="Hon Comfortask Task/Swivel Chairs"/>
        <s v="Career Cubicle Clock, 8 1/4&quot;, Black"/>
        <s v="Tenex B1-RE Series Chair Mats for Low Pile Carpets"/>
        <s v="Ultra Commercial Grade Dual Valve Door Closer"/>
        <s v="Contemporary Borderless Frame"/>
        <s v="Linden 12&quot; Wall Clock With Oak Frame"/>
        <s v="Tensor Brushed Steel Torchiere Floor Lamp"/>
        <s v="Nu-Dell EZ-Mount Plastic Wall Frames"/>
        <s v="Tensor Track Tree Floor Lamp"/>
        <s v="Hon Olson Stacker Chairs"/>
        <s v="Deflect-o DuraMat Antistatic Studded Beveled Mat for Medium Pile Carpeting"/>
        <s v="Tenex Chairmat w/ Average Lip, 45&quot; x 53&quot;"/>
        <s v="Electrix Fluorescent Magnifier Lamps &amp; Weighted Base"/>
        <s v="Tensor &quot;Hersey Kiss&quot; Styled Floor Lamp"/>
        <s v="Bush Westfield Collection Bookcases, Dark Cherry Finish, Fully Assembled"/>
        <s v="Executive Impressions 16-1/2&quot; Circular Wall Clock"/>
        <s v="Executive Impressions 14&quot; Contract Wall Clock with Quartz Movement"/>
        <s v="Global Enterprise Series Seating Low-Back Swivel/Tilt Chairs"/>
        <s v="Office Star - Task Chair with Contemporary Loop Arms"/>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4618274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x v="0"/>
    <x v="0"/>
    <d v="2016-11-11T00:00:00"/>
    <x v="0"/>
    <s v="CG-12520"/>
    <s v="Claire Gute"/>
    <s v="Consumer"/>
    <x v="0"/>
    <x v="0"/>
    <x v="0"/>
    <x v="0"/>
    <s v="FUR-BO-10001798"/>
    <x v="0"/>
    <x v="0"/>
    <x v="0"/>
    <n v="261.95999999999998"/>
    <n v="2"/>
    <n v="41.913600000000002"/>
    <x v="0"/>
  </r>
  <r>
    <x v="0"/>
    <x v="0"/>
    <d v="2016-11-11T00:00:00"/>
    <x v="0"/>
    <s v="CG-12520"/>
    <s v="Claire Gute"/>
    <s v="Consumer"/>
    <x v="0"/>
    <x v="0"/>
    <x v="0"/>
    <x v="0"/>
    <s v="FUR-CH-10000454"/>
    <x v="0"/>
    <x v="1"/>
    <x v="1"/>
    <n v="731.94"/>
    <n v="3"/>
    <n v="219.58199999999999"/>
    <x v="0"/>
  </r>
  <r>
    <x v="1"/>
    <x v="1"/>
    <d v="2015-10-18T00:00:00"/>
    <x v="1"/>
    <s v="SO-20335"/>
    <s v="Sean O'Donnell"/>
    <s v="Consumer"/>
    <x v="0"/>
    <x v="1"/>
    <x v="1"/>
    <x v="0"/>
    <s v="FUR-TA-10000577"/>
    <x v="0"/>
    <x v="2"/>
    <x v="2"/>
    <n v="957.57749999999999"/>
    <n v="5"/>
    <n v="-383.03100000000001"/>
    <x v="1"/>
  </r>
  <r>
    <x v="2"/>
    <x v="2"/>
    <d v="2014-06-14T00:00:00"/>
    <x v="1"/>
    <s v="BH-11710"/>
    <s v="Brosina Hoffman"/>
    <s v="Consumer"/>
    <x v="0"/>
    <x v="2"/>
    <x v="2"/>
    <x v="1"/>
    <s v="FUR-FU-10001487"/>
    <x v="0"/>
    <x v="3"/>
    <x v="3"/>
    <n v="48.86"/>
    <n v="7"/>
    <n v="14.1694"/>
    <x v="2"/>
  </r>
  <r>
    <x v="2"/>
    <x v="2"/>
    <d v="2014-06-14T00:00:00"/>
    <x v="1"/>
    <s v="BH-11710"/>
    <s v="Brosina Hoffman"/>
    <s v="Consumer"/>
    <x v="0"/>
    <x v="2"/>
    <x v="2"/>
    <x v="1"/>
    <s v="FUR-TA-10001539"/>
    <x v="0"/>
    <x v="2"/>
    <x v="4"/>
    <n v="1706.184"/>
    <n v="9"/>
    <n v="85.309200000000004"/>
    <x v="2"/>
  </r>
  <r>
    <x v="3"/>
    <x v="3"/>
    <d v="2017-07-18T00:00:00"/>
    <x v="0"/>
    <s v="SF-20065"/>
    <s v="Sandra Flanagan"/>
    <s v="Consumer"/>
    <x v="0"/>
    <x v="3"/>
    <x v="3"/>
    <x v="2"/>
    <s v="FUR-CH-10002774"/>
    <x v="0"/>
    <x v="1"/>
    <x v="5"/>
    <n v="71.372"/>
    <n v="2"/>
    <n v="-1.0196000000000001"/>
    <x v="3"/>
  </r>
  <r>
    <x v="4"/>
    <x v="4"/>
    <d v="2015-09-30T00:00:00"/>
    <x v="1"/>
    <s v="EB-13870"/>
    <s v="Emily Burns"/>
    <s v="Consumer"/>
    <x v="0"/>
    <x v="4"/>
    <x v="4"/>
    <x v="1"/>
    <s v="FUR-TA-10000577"/>
    <x v="0"/>
    <x v="2"/>
    <x v="2"/>
    <n v="1044.6300000000001"/>
    <n v="3"/>
    <n v="240.26490000000001"/>
    <x v="4"/>
  </r>
  <r>
    <x v="5"/>
    <x v="5"/>
    <d v="2015-09-21T00:00:00"/>
    <x v="1"/>
    <s v="TB-21520"/>
    <s v="Tracy Blumstein"/>
    <s v="Consumer"/>
    <x v="0"/>
    <x v="3"/>
    <x v="3"/>
    <x v="2"/>
    <s v="FUR-BO-10004834"/>
    <x v="0"/>
    <x v="0"/>
    <x v="6"/>
    <n v="3083.43"/>
    <n v="7"/>
    <n v="-1665.0522000000001"/>
    <x v="4"/>
  </r>
  <r>
    <x v="5"/>
    <x v="5"/>
    <d v="2015-09-21T00:00:00"/>
    <x v="1"/>
    <s v="TB-21520"/>
    <s v="Tracy Blumstein"/>
    <s v="Consumer"/>
    <x v="0"/>
    <x v="3"/>
    <x v="3"/>
    <x v="2"/>
    <s v="FUR-FU-10004848"/>
    <x v="0"/>
    <x v="3"/>
    <x v="7"/>
    <n v="124.2"/>
    <n v="3"/>
    <n v="15.525"/>
    <x v="4"/>
  </r>
  <r>
    <x v="6"/>
    <x v="6"/>
    <d v="2016-12-10T00:00:00"/>
    <x v="2"/>
    <s v="GH-14485"/>
    <s v="Gene Hale"/>
    <s v="Corporate"/>
    <x v="0"/>
    <x v="5"/>
    <x v="5"/>
    <x v="3"/>
    <s v="FUR-FU-10003664"/>
    <x v="0"/>
    <x v="3"/>
    <x v="8"/>
    <n v="190.92"/>
    <n v="5"/>
    <n v="-147.96299999999999"/>
    <x v="5"/>
  </r>
  <r>
    <x v="7"/>
    <x v="7"/>
    <d v="2015-12-31T00:00:00"/>
    <x v="1"/>
    <s v="SN-20710"/>
    <s v="Steve Nguyen"/>
    <s v="Home Office"/>
    <x v="0"/>
    <x v="6"/>
    <x v="5"/>
    <x v="3"/>
    <s v="FUR-BO-10002545"/>
    <x v="0"/>
    <x v="0"/>
    <x v="9"/>
    <n v="532.39919999999995"/>
    <n v="3"/>
    <n v="-46.976399999999998"/>
    <x v="5"/>
  </r>
  <r>
    <x v="7"/>
    <x v="7"/>
    <d v="2015-12-31T00:00:00"/>
    <x v="1"/>
    <s v="SN-20710"/>
    <s v="Steve Nguyen"/>
    <s v="Home Office"/>
    <x v="0"/>
    <x v="6"/>
    <x v="5"/>
    <x v="3"/>
    <s v="FUR-CH-10004218"/>
    <x v="0"/>
    <x v="1"/>
    <x v="10"/>
    <n v="212.05799999999999"/>
    <n v="3"/>
    <n v="-15.147"/>
    <x v="5"/>
  </r>
  <r>
    <x v="8"/>
    <x v="8"/>
    <d v="2015-04-22T00:00:00"/>
    <x v="1"/>
    <s v="DP-13000"/>
    <s v="Darren Powers"/>
    <s v="Consumer"/>
    <x v="0"/>
    <x v="7"/>
    <x v="6"/>
    <x v="3"/>
    <s v="FUR-FU-10001706"/>
    <x v="0"/>
    <x v="3"/>
    <x v="11"/>
    <n v="6.16"/>
    <n v="2"/>
    <n v="2.9567999999999999"/>
    <x v="6"/>
  </r>
  <r>
    <x v="8"/>
    <x v="8"/>
    <d v="2015-04-22T00:00:00"/>
    <x v="1"/>
    <s v="DP-13000"/>
    <s v="Darren Powers"/>
    <s v="Consumer"/>
    <x v="0"/>
    <x v="7"/>
    <x v="6"/>
    <x v="3"/>
    <s v="FUR-CH-10003061"/>
    <x v="0"/>
    <x v="1"/>
    <x v="12"/>
    <n v="89.99"/>
    <n v="1"/>
    <n v="17.098099999999999"/>
    <x v="6"/>
  </r>
  <r>
    <x v="9"/>
    <x v="9"/>
    <d v="2016-06-18T00:00:00"/>
    <x v="2"/>
    <s v="TB-21055"/>
    <s v="Ted Butterfield"/>
    <s v="Consumer"/>
    <x v="0"/>
    <x v="8"/>
    <x v="7"/>
    <x v="2"/>
    <s v="FUR-CH-10003968"/>
    <x v="0"/>
    <x v="1"/>
    <x v="13"/>
    <n v="319.41000000000003"/>
    <n v="5"/>
    <n v="7.0979999999999999"/>
    <x v="2"/>
  </r>
  <r>
    <x v="10"/>
    <x v="10"/>
    <d v="2015-11-30T00:00:00"/>
    <x v="1"/>
    <s v="KM-16720"/>
    <s v="Kunst Miller"/>
    <s v="Consumer"/>
    <x v="0"/>
    <x v="2"/>
    <x v="2"/>
    <x v="1"/>
    <s v="FUR-FU-10000397"/>
    <x v="0"/>
    <x v="3"/>
    <x v="14"/>
    <n v="79.760000000000005"/>
    <n v="4"/>
    <n v="22.332799999999999"/>
    <x v="0"/>
  </r>
  <r>
    <x v="11"/>
    <x v="11"/>
    <d v="2015-05-05T00:00:00"/>
    <x v="1"/>
    <s v="PS-18970"/>
    <s v="Paul Stevenson"/>
    <s v="Home Office"/>
    <x v="0"/>
    <x v="9"/>
    <x v="8"/>
    <x v="3"/>
    <s v="FUR-CH-10001146"/>
    <x v="0"/>
    <x v="1"/>
    <x v="15"/>
    <n v="213.11500000000001"/>
    <n v="5"/>
    <n v="-15.2225"/>
    <x v="6"/>
  </r>
  <r>
    <x v="12"/>
    <x v="12"/>
    <d v="2015-05-02T00:00:00"/>
    <x v="1"/>
    <s v="JE-15745"/>
    <s v="Joel Eaton"/>
    <s v="Consumer"/>
    <x v="0"/>
    <x v="10"/>
    <x v="9"/>
    <x v="0"/>
    <s v="FUR-CH-10000513"/>
    <x v="0"/>
    <x v="1"/>
    <x v="16"/>
    <n v="831.93600000000004"/>
    <n v="8"/>
    <n v="-114.3912"/>
    <x v="6"/>
  </r>
  <r>
    <x v="12"/>
    <x v="12"/>
    <d v="2015-05-02T00:00:00"/>
    <x v="1"/>
    <s v="JE-15745"/>
    <s v="Joel Eaton"/>
    <s v="Consumer"/>
    <x v="0"/>
    <x v="10"/>
    <x v="9"/>
    <x v="0"/>
    <s v="FUR-FU-10003708"/>
    <x v="0"/>
    <x v="3"/>
    <x v="17"/>
    <n v="97.04"/>
    <n v="2"/>
    <n v="1.2130000000000001"/>
    <x v="6"/>
  </r>
  <r>
    <x v="13"/>
    <x v="13"/>
    <d v="2017-12-11T00:00:00"/>
    <x v="2"/>
    <s v="KB-16600"/>
    <s v="Ken Brennan"/>
    <s v="Corporate"/>
    <x v="0"/>
    <x v="6"/>
    <x v="5"/>
    <x v="3"/>
    <s v="FUR-FU-10000260"/>
    <x v="0"/>
    <x v="3"/>
    <x v="18"/>
    <n v="9.7080000000000002"/>
    <n v="3"/>
    <n v="-5.8247999999999998"/>
    <x v="5"/>
  </r>
  <r>
    <x v="14"/>
    <x v="14"/>
    <d v="2014-12-01T00:00:00"/>
    <x v="0"/>
    <s v="JE-15745"/>
    <s v="Joel Eaton"/>
    <s v="Consumer"/>
    <x v="0"/>
    <x v="6"/>
    <x v="5"/>
    <x v="3"/>
    <s v="FUR-FU-10003194"/>
    <x v="0"/>
    <x v="3"/>
    <x v="19"/>
    <n v="19.3"/>
    <n v="5"/>
    <n v="-14.475"/>
    <x v="0"/>
  </r>
  <r>
    <x v="15"/>
    <x v="15"/>
    <d v="2017-05-30T00:00:00"/>
    <x v="0"/>
    <s v="PO-18865"/>
    <s v="Patrick O'Donnell"/>
    <s v="Consumer"/>
    <x v="0"/>
    <x v="11"/>
    <x v="10"/>
    <x v="0"/>
    <s v="FUR-CH-10000863"/>
    <x v="0"/>
    <x v="1"/>
    <x v="20"/>
    <n v="301.95999999999998"/>
    <n v="2"/>
    <n v="33.215600000000002"/>
    <x v="7"/>
  </r>
  <r>
    <x v="16"/>
    <x v="16"/>
    <d v="2015-02-05T00:00:00"/>
    <x v="0"/>
    <s v="KB-16315"/>
    <s v="Karl Braun"/>
    <s v="Consumer"/>
    <x v="0"/>
    <x v="12"/>
    <x v="11"/>
    <x v="3"/>
    <s v="FUR-FU-10003799"/>
    <x v="0"/>
    <x v="3"/>
    <x v="21"/>
    <n v="53.34"/>
    <n v="3"/>
    <n v="16.535399999999999"/>
    <x v="8"/>
  </r>
  <r>
    <x v="17"/>
    <x v="17"/>
    <d v="2017-11-11T00:00:00"/>
    <x v="0"/>
    <s v="PN-18775"/>
    <s v="Parhena Norris"/>
    <s v="Home Office"/>
    <x v="0"/>
    <x v="13"/>
    <x v="7"/>
    <x v="2"/>
    <s v="FUR-FU-10000629"/>
    <x v="0"/>
    <x v="3"/>
    <x v="22"/>
    <n v="96.53"/>
    <n v="7"/>
    <n v="40.5426"/>
    <x v="0"/>
  </r>
  <r>
    <x v="18"/>
    <x v="18"/>
    <d v="2015-11-17T00:00:00"/>
    <x v="1"/>
    <s v="LC-16870"/>
    <s v="Lena Cacioppo"/>
    <s v="Consumer"/>
    <x v="0"/>
    <x v="14"/>
    <x v="12"/>
    <x v="1"/>
    <s v="FUR-FU-10004006"/>
    <x v="0"/>
    <x v="3"/>
    <x v="23"/>
    <n v="102.36"/>
    <n v="3"/>
    <n v="-3.8384999999999998"/>
    <x v="0"/>
  </r>
  <r>
    <x v="19"/>
    <x v="19"/>
    <d v="2017-12-30T00:00:00"/>
    <x v="1"/>
    <s v="CV-12805"/>
    <s v="Cynthia Voltz"/>
    <s v="Corporate"/>
    <x v="0"/>
    <x v="13"/>
    <x v="7"/>
    <x v="2"/>
    <s v="FUR-FU-10001934"/>
    <x v="0"/>
    <x v="3"/>
    <x v="24"/>
    <n v="41.96"/>
    <n v="2"/>
    <n v="10.909599999999999"/>
    <x v="5"/>
  </r>
  <r>
    <x v="20"/>
    <x v="20"/>
    <d v="2015-03-06T00:00:00"/>
    <x v="1"/>
    <s v="DK-13090"/>
    <s v="Dave Kipp"/>
    <s v="Consumer"/>
    <x v="0"/>
    <x v="15"/>
    <x v="13"/>
    <x v="1"/>
    <s v="FUR-TA-10001768"/>
    <x v="0"/>
    <x v="2"/>
    <x v="25"/>
    <n v="787.53"/>
    <n v="3"/>
    <n v="165.38130000000001"/>
    <x v="9"/>
  </r>
  <r>
    <x v="21"/>
    <x v="21"/>
    <d v="2016-06-15T00:00:00"/>
    <x v="2"/>
    <s v="SC-20725"/>
    <s v="Steven Cartwright"/>
    <s v="Consumer"/>
    <x v="0"/>
    <x v="16"/>
    <x v="14"/>
    <x v="2"/>
    <s v="FUR-FU-10002157"/>
    <x v="0"/>
    <x v="3"/>
    <x v="26"/>
    <n v="47.04"/>
    <n v="3"/>
    <n v="18.345600000000001"/>
    <x v="2"/>
  </r>
  <r>
    <x v="22"/>
    <x v="22"/>
    <d v="2014-12-28T00:00:00"/>
    <x v="0"/>
    <s v="AD-10180"/>
    <s v="Alan Dominguez"/>
    <s v="Home Office"/>
    <x v="0"/>
    <x v="6"/>
    <x v="5"/>
    <x v="3"/>
    <s v="FUR-CH-10004063"/>
    <x v="0"/>
    <x v="1"/>
    <x v="27"/>
    <n v="600.55799999999999"/>
    <n v="3"/>
    <n v="-8.5793999999999997"/>
    <x v="5"/>
  </r>
  <r>
    <x v="23"/>
    <x v="23"/>
    <d v="2014-09-25T00:00:00"/>
    <x v="1"/>
    <s v="PF-19165"/>
    <s v="Philip Fox"/>
    <s v="Consumer"/>
    <x v="0"/>
    <x v="17"/>
    <x v="8"/>
    <x v="3"/>
    <s v="FUR-TA-10004534"/>
    <x v="0"/>
    <x v="2"/>
    <x v="28"/>
    <n v="617.70000000000005"/>
    <n v="6"/>
    <n v="-407.68200000000002"/>
    <x v="4"/>
  </r>
  <r>
    <x v="24"/>
    <x v="24"/>
    <d v="2016-11-10T00:00:00"/>
    <x v="0"/>
    <s v="LS-16975"/>
    <s v="Lindsay Shagiari"/>
    <s v="Home Office"/>
    <x v="0"/>
    <x v="2"/>
    <x v="2"/>
    <x v="1"/>
    <s v="FUR-CH-10001146"/>
    <x v="0"/>
    <x v="1"/>
    <x v="29"/>
    <n v="81.424000000000007"/>
    <n v="2"/>
    <n v="-9.1601999999999997"/>
    <x v="0"/>
  </r>
  <r>
    <x v="24"/>
    <x v="24"/>
    <d v="2016-11-10T00:00:00"/>
    <x v="0"/>
    <s v="LS-16975"/>
    <s v="Lindsay Shagiari"/>
    <s v="Home Office"/>
    <x v="0"/>
    <x v="2"/>
    <x v="2"/>
    <x v="1"/>
    <s v="FUR-FU-10003773"/>
    <x v="0"/>
    <x v="3"/>
    <x v="30"/>
    <n v="238.56"/>
    <n v="3"/>
    <n v="26.241599999999998"/>
    <x v="0"/>
  </r>
  <r>
    <x v="25"/>
    <x v="25"/>
    <d v="2016-10-19T00:00:00"/>
    <x v="1"/>
    <s v="LC-16885"/>
    <s v="Lena Creighton"/>
    <s v="Consumer"/>
    <x v="0"/>
    <x v="18"/>
    <x v="2"/>
    <x v="1"/>
    <s v="FUR-FU-10001706"/>
    <x v="0"/>
    <x v="3"/>
    <x v="11"/>
    <n v="43.12"/>
    <n v="14"/>
    <n v="20.697600000000001"/>
    <x v="1"/>
  </r>
  <r>
    <x v="26"/>
    <x v="26"/>
    <d v="2016-09-07T00:00:00"/>
    <x v="0"/>
    <s v="JD-15895"/>
    <s v="Jonathan Doherty"/>
    <s v="Corporate"/>
    <x v="0"/>
    <x v="3"/>
    <x v="3"/>
    <x v="2"/>
    <s v="FUR-FU-10004848"/>
    <x v="0"/>
    <x v="3"/>
    <x v="7"/>
    <n v="82.8"/>
    <n v="2"/>
    <n v="10.35"/>
    <x v="4"/>
  </r>
  <r>
    <x v="27"/>
    <x v="27"/>
    <d v="2014-10-28T00:00:00"/>
    <x v="1"/>
    <s v="MG-17680"/>
    <s v="Maureen Gastineau"/>
    <s v="Home Office"/>
    <x v="0"/>
    <x v="19"/>
    <x v="15"/>
    <x v="2"/>
    <s v="FUR-FU-10000521"/>
    <x v="0"/>
    <x v="3"/>
    <x v="31"/>
    <n v="93.888000000000005"/>
    <n v="4"/>
    <n v="12.909599999999999"/>
    <x v="1"/>
  </r>
  <r>
    <x v="28"/>
    <x v="28"/>
    <d v="2016-12-09T00:00:00"/>
    <x v="1"/>
    <s v="JE-16165"/>
    <s v="Justin Ellison"/>
    <s v="Corporate"/>
    <x v="0"/>
    <x v="20"/>
    <x v="16"/>
    <x v="3"/>
    <s v="FUR-CH-10000454"/>
    <x v="0"/>
    <x v="1"/>
    <x v="1"/>
    <n v="1951.84"/>
    <n v="8"/>
    <n v="585.55200000000002"/>
    <x v="5"/>
  </r>
  <r>
    <x v="29"/>
    <x v="29"/>
    <d v="2014-03-06T00:00:00"/>
    <x v="0"/>
    <s v="DB-13060"/>
    <s v="Dave Brooks"/>
    <s v="Consumer"/>
    <x v="0"/>
    <x v="15"/>
    <x v="13"/>
    <x v="1"/>
    <s v="FUR-CH-10004063"/>
    <x v="0"/>
    <x v="1"/>
    <x v="27"/>
    <n v="457.56799999999998"/>
    <n v="2"/>
    <n v="51.476399999999998"/>
    <x v="9"/>
  </r>
  <r>
    <x v="30"/>
    <x v="30"/>
    <d v="2014-09-12T00:00:00"/>
    <x v="1"/>
    <s v="BM-11140"/>
    <s v="Becky Martin"/>
    <s v="Consumer"/>
    <x v="0"/>
    <x v="21"/>
    <x v="5"/>
    <x v="3"/>
    <s v="FUR-CH-10004287"/>
    <x v="0"/>
    <x v="1"/>
    <x v="32"/>
    <n v="1740.06"/>
    <n v="9"/>
    <n v="-24.858000000000001"/>
    <x v="4"/>
  </r>
  <r>
    <x v="31"/>
    <x v="31"/>
    <d v="2014-08-09T00:00:00"/>
    <x v="1"/>
    <s v="CS-12130"/>
    <s v="Chad Sievert"/>
    <s v="Consumer"/>
    <x v="0"/>
    <x v="2"/>
    <x v="2"/>
    <x v="1"/>
    <s v="FUR-CH-10003817"/>
    <x v="0"/>
    <x v="1"/>
    <x v="33"/>
    <n v="340.14400000000001"/>
    <n v="7"/>
    <n v="21.259"/>
    <x v="10"/>
  </r>
  <r>
    <x v="32"/>
    <x v="32"/>
    <d v="2015-11-23T00:00:00"/>
    <x v="0"/>
    <s v="JE-15745"/>
    <s v="Joel Eaton"/>
    <s v="Consumer"/>
    <x v="0"/>
    <x v="19"/>
    <x v="15"/>
    <x v="2"/>
    <s v="FUR-CH-10004698"/>
    <x v="0"/>
    <x v="1"/>
    <x v="34"/>
    <n v="396.80200000000002"/>
    <n v="7"/>
    <n v="-11.337199999999999"/>
    <x v="0"/>
  </r>
  <r>
    <x v="33"/>
    <x v="33"/>
    <d v="2015-10-14T00:00:00"/>
    <x v="2"/>
    <s v="MP-17470"/>
    <s v="Mark Packer"/>
    <s v="Home Office"/>
    <x v="0"/>
    <x v="13"/>
    <x v="7"/>
    <x v="2"/>
    <s v="FUR-BO-10002613"/>
    <x v="0"/>
    <x v="0"/>
    <x v="35"/>
    <n v="899.13599999999997"/>
    <n v="4"/>
    <n v="112.392"/>
    <x v="1"/>
  </r>
  <r>
    <x v="33"/>
    <x v="33"/>
    <d v="2015-10-14T00:00:00"/>
    <x v="2"/>
    <s v="MP-17470"/>
    <s v="Mark Packer"/>
    <s v="Home Office"/>
    <x v="0"/>
    <x v="13"/>
    <x v="7"/>
    <x v="2"/>
    <s v="FUR-BO-10002545"/>
    <x v="0"/>
    <x v="0"/>
    <x v="9"/>
    <n v="626.35199999999998"/>
    <n v="3"/>
    <n v="46.976399999999998"/>
    <x v="1"/>
  </r>
  <r>
    <x v="34"/>
    <x v="34"/>
    <d v="2014-08-05T00:00:00"/>
    <x v="2"/>
    <s v="BS-11755"/>
    <s v="Bruce Stewart"/>
    <s v="Consumer"/>
    <x v="0"/>
    <x v="22"/>
    <x v="12"/>
    <x v="1"/>
    <s v="FUR-TA-10004289"/>
    <x v="0"/>
    <x v="2"/>
    <x v="36"/>
    <n v="218.75"/>
    <n v="2"/>
    <n v="-161.875"/>
    <x v="10"/>
  </r>
  <r>
    <x v="35"/>
    <x v="35"/>
    <d v="2017-06-07T00:00:00"/>
    <x v="1"/>
    <s v="HK-14890"/>
    <s v="Heather Kirkland"/>
    <s v="Corporate"/>
    <x v="0"/>
    <x v="20"/>
    <x v="9"/>
    <x v="0"/>
    <s v="FUR-FU-10002960"/>
    <x v="0"/>
    <x v="3"/>
    <x v="37"/>
    <n v="35.167999999999999"/>
    <n v="7"/>
    <n v="9.6712000000000007"/>
    <x v="2"/>
  </r>
  <r>
    <x v="36"/>
    <x v="36"/>
    <d v="2015-01-09T00:00:00"/>
    <x v="1"/>
    <s v="VW-21775"/>
    <s v="Victoria Wilson"/>
    <s v="Corporate"/>
    <x v="0"/>
    <x v="23"/>
    <x v="15"/>
    <x v="2"/>
    <s v="FUR-BO-10004695"/>
    <x v="0"/>
    <x v="0"/>
    <x v="38"/>
    <n v="452.45"/>
    <n v="5"/>
    <n v="-244.32300000000001"/>
    <x v="8"/>
  </r>
  <r>
    <x v="37"/>
    <x v="37"/>
    <d v="2015-12-27T00:00:00"/>
    <x v="2"/>
    <s v="JB-15925"/>
    <s v="Joni Blumstein"/>
    <s v="Consumer"/>
    <x v="0"/>
    <x v="24"/>
    <x v="15"/>
    <x v="2"/>
    <s v="FUR-FU-10000087"/>
    <x v="0"/>
    <x v="3"/>
    <x v="39"/>
    <n v="72.703999999999994"/>
    <n v="4"/>
    <n v="19.084800000000001"/>
    <x v="5"/>
  </r>
  <r>
    <x v="38"/>
    <x v="38"/>
    <d v="2015-08-16T00:00:00"/>
    <x v="1"/>
    <s v="DS-13180"/>
    <s v="David Smith"/>
    <s v="Corporate"/>
    <x v="0"/>
    <x v="25"/>
    <x v="17"/>
    <x v="3"/>
    <s v="FUR-TA-10003748"/>
    <x v="0"/>
    <x v="2"/>
    <x v="40"/>
    <n v="622.45000000000005"/>
    <n v="5"/>
    <n v="136.93899999999999"/>
    <x v="10"/>
  </r>
  <r>
    <x v="39"/>
    <x v="39"/>
    <d v="2015-03-04T00:00:00"/>
    <x v="1"/>
    <s v="VD-21670"/>
    <s v="Valerie Dominguez"/>
    <s v="Consumer"/>
    <x v="0"/>
    <x v="11"/>
    <x v="9"/>
    <x v="0"/>
    <s v="FUR-CH-10004860"/>
    <x v="0"/>
    <x v="1"/>
    <x v="41"/>
    <n v="161.56800000000001"/>
    <n v="2"/>
    <n v="-28.2744"/>
    <x v="11"/>
  </r>
  <r>
    <x v="39"/>
    <x v="39"/>
    <d v="2015-03-04T00:00:00"/>
    <x v="1"/>
    <s v="VD-21670"/>
    <s v="Valerie Dominguez"/>
    <s v="Consumer"/>
    <x v="0"/>
    <x v="11"/>
    <x v="9"/>
    <x v="0"/>
    <s v="FUR-CH-10004477"/>
    <x v="0"/>
    <x v="1"/>
    <x v="42"/>
    <n v="389.69600000000003"/>
    <n v="8"/>
    <n v="43.840800000000002"/>
    <x v="11"/>
  </r>
  <r>
    <x v="40"/>
    <x v="40"/>
    <d v="2017-04-12T00:00:00"/>
    <x v="1"/>
    <s v="CS-12400"/>
    <s v="Christopher Schild"/>
    <s v="Home Office"/>
    <x v="0"/>
    <x v="26"/>
    <x v="1"/>
    <x v="0"/>
    <s v="FUR-TA-10001705"/>
    <x v="0"/>
    <x v="2"/>
    <x v="43"/>
    <n v="233.86"/>
    <n v="2"/>
    <n v="-102.048"/>
    <x v="6"/>
  </r>
  <r>
    <x v="40"/>
    <x v="40"/>
    <d v="2017-04-12T00:00:00"/>
    <x v="1"/>
    <s v="CS-12400"/>
    <s v="Christopher Schild"/>
    <s v="Home Office"/>
    <x v="0"/>
    <x v="26"/>
    <x v="1"/>
    <x v="0"/>
    <s v="FUR-TA-10003473"/>
    <x v="0"/>
    <x v="2"/>
    <x v="44"/>
    <n v="620.61450000000002"/>
    <n v="3"/>
    <n v="-248.2458"/>
    <x v="6"/>
  </r>
  <r>
    <x v="40"/>
    <x v="40"/>
    <d v="2017-04-12T00:00:00"/>
    <x v="1"/>
    <s v="CS-12400"/>
    <s v="Christopher Schild"/>
    <s v="Home Office"/>
    <x v="0"/>
    <x v="26"/>
    <x v="1"/>
    <x v="0"/>
    <s v="FUR-FU-10004017"/>
    <x v="0"/>
    <x v="3"/>
    <x v="45"/>
    <n v="258.072"/>
    <n v="3"/>
    <n v="0"/>
    <x v="6"/>
  </r>
  <r>
    <x v="41"/>
    <x v="41"/>
    <d v="2016-06-09T00:00:00"/>
    <x v="0"/>
    <s v="KL-16645"/>
    <s v="Ken Lonsdale"/>
    <s v="Consumer"/>
    <x v="0"/>
    <x v="9"/>
    <x v="8"/>
    <x v="3"/>
    <s v="FUR-FU-10000576"/>
    <x v="0"/>
    <x v="3"/>
    <x v="46"/>
    <n v="419.68"/>
    <n v="5"/>
    <n v="-356.72800000000001"/>
    <x v="2"/>
  </r>
  <r>
    <x v="41"/>
    <x v="41"/>
    <d v="2016-06-09T00:00:00"/>
    <x v="0"/>
    <s v="KL-16645"/>
    <s v="Ken Lonsdale"/>
    <s v="Consumer"/>
    <x v="0"/>
    <x v="9"/>
    <x v="8"/>
    <x v="3"/>
    <s v="FUR-FU-10004351"/>
    <x v="0"/>
    <x v="3"/>
    <x v="47"/>
    <n v="11.688000000000001"/>
    <n v="3"/>
    <n v="-4.6752000000000002"/>
    <x v="2"/>
  </r>
  <r>
    <x v="41"/>
    <x v="41"/>
    <d v="2016-06-09T00:00:00"/>
    <x v="0"/>
    <s v="KL-16645"/>
    <s v="Ken Lonsdale"/>
    <s v="Consumer"/>
    <x v="0"/>
    <x v="9"/>
    <x v="8"/>
    <x v="3"/>
    <s v="FUR-TA-10002607"/>
    <x v="0"/>
    <x v="2"/>
    <x v="48"/>
    <n v="177.22499999999999"/>
    <n v="5"/>
    <n v="-120.51300000000001"/>
    <x v="2"/>
  </r>
  <r>
    <x v="41"/>
    <x v="41"/>
    <d v="2016-06-09T00:00:00"/>
    <x v="0"/>
    <s v="KL-16645"/>
    <s v="Ken Lonsdale"/>
    <s v="Consumer"/>
    <x v="0"/>
    <x v="9"/>
    <x v="8"/>
    <x v="3"/>
    <s v="FUR-FU-10002505"/>
    <x v="0"/>
    <x v="3"/>
    <x v="49"/>
    <n v="4.0439999999999996"/>
    <n v="3"/>
    <n v="-2.8308"/>
    <x v="2"/>
  </r>
  <r>
    <x v="42"/>
    <x v="42"/>
    <d v="2014-06-06T00:00:00"/>
    <x v="0"/>
    <s v="DW-13480"/>
    <s v="Dianna Wilson"/>
    <s v="Home Office"/>
    <x v="0"/>
    <x v="27"/>
    <x v="11"/>
    <x v="3"/>
    <s v="FUR-CH-10004063"/>
    <x v="0"/>
    <x v="1"/>
    <x v="27"/>
    <n v="2001.86"/>
    <n v="7"/>
    <n v="580.5394"/>
    <x v="2"/>
  </r>
  <r>
    <x v="43"/>
    <x v="43"/>
    <d v="2016-12-15T00:00:00"/>
    <x v="0"/>
    <s v="LH-17155"/>
    <s v="Logan Haushalter"/>
    <s v="Consumer"/>
    <x v="0"/>
    <x v="28"/>
    <x v="2"/>
    <x v="1"/>
    <s v="FUR-CH-10002965"/>
    <x v="0"/>
    <x v="1"/>
    <x v="50"/>
    <n v="321.56799999999998"/>
    <n v="2"/>
    <n v="28.1372"/>
    <x v="5"/>
  </r>
  <r>
    <x v="44"/>
    <x v="44"/>
    <d v="2015-12-04T00:00:00"/>
    <x v="1"/>
    <s v="DR-12880"/>
    <s v="Dan Reichenbach"/>
    <s v="Corporate"/>
    <x v="0"/>
    <x v="9"/>
    <x v="8"/>
    <x v="3"/>
    <s v="FUR-FU-10002505"/>
    <x v="0"/>
    <x v="3"/>
    <x v="49"/>
    <n v="12.132"/>
    <n v="9"/>
    <n v="-8.4923999999999999"/>
    <x v="0"/>
  </r>
  <r>
    <x v="45"/>
    <x v="45"/>
    <d v="2015-07-31T00:00:00"/>
    <x v="2"/>
    <s v="HA-14920"/>
    <s v="Helen Andreada"/>
    <s v="Consumer"/>
    <x v="0"/>
    <x v="28"/>
    <x v="2"/>
    <x v="1"/>
    <s v="FUR-FU-10003274"/>
    <x v="0"/>
    <x v="3"/>
    <x v="51"/>
    <n v="5.28"/>
    <n v="3"/>
    <n v="2.3231999999999999"/>
    <x v="3"/>
  </r>
  <r>
    <x v="46"/>
    <x v="46"/>
    <d v="2015-11-06T00:00:00"/>
    <x v="1"/>
    <s v="JO-15280"/>
    <s v="Jas O'Carroll"/>
    <s v="Consumer"/>
    <x v="0"/>
    <x v="2"/>
    <x v="2"/>
    <x v="1"/>
    <s v="FUR-TA-10002903"/>
    <x v="0"/>
    <x v="2"/>
    <x v="52"/>
    <n v="1038.8399999999999"/>
    <n v="5"/>
    <n v="51.942"/>
    <x v="0"/>
  </r>
  <r>
    <x v="47"/>
    <x v="47"/>
    <d v="2016-11-24T00:00:00"/>
    <x v="0"/>
    <s v="NZ-18565"/>
    <s v="Nick Zandusky"/>
    <s v="Home Office"/>
    <x v="0"/>
    <x v="29"/>
    <x v="15"/>
    <x v="2"/>
    <s v="FUR-BO-10004709"/>
    <x v="0"/>
    <x v="0"/>
    <x v="53"/>
    <n v="86.97"/>
    <n v="3"/>
    <n v="-48.703200000000002"/>
    <x v="0"/>
  </r>
  <r>
    <x v="48"/>
    <x v="22"/>
    <d v="2014-12-28T00:00:00"/>
    <x v="2"/>
    <s v="KL-16555"/>
    <s v="Kelly Lampkin"/>
    <s v="Corporate"/>
    <x v="0"/>
    <x v="30"/>
    <x v="12"/>
    <x v="1"/>
    <s v="FUR-FU-10004091"/>
    <x v="0"/>
    <x v="3"/>
    <x v="54"/>
    <n v="300.416"/>
    <n v="8"/>
    <n v="78.859200000000001"/>
    <x v="5"/>
  </r>
  <r>
    <x v="48"/>
    <x v="22"/>
    <d v="2014-12-28T00:00:00"/>
    <x v="2"/>
    <s v="KL-16555"/>
    <s v="Kelly Lampkin"/>
    <s v="Corporate"/>
    <x v="0"/>
    <x v="30"/>
    <x v="12"/>
    <x v="1"/>
    <s v="FUR-CH-10001891"/>
    <x v="0"/>
    <x v="1"/>
    <x v="55"/>
    <n v="230.352"/>
    <n v="3"/>
    <n v="20.155799999999999"/>
    <x v="5"/>
  </r>
  <r>
    <x v="48"/>
    <x v="22"/>
    <d v="2014-12-28T00:00:00"/>
    <x v="2"/>
    <s v="KL-16555"/>
    <s v="Kelly Lampkin"/>
    <s v="Corporate"/>
    <x v="0"/>
    <x v="30"/>
    <x v="12"/>
    <x v="1"/>
    <s v="FUR-FU-10002918"/>
    <x v="0"/>
    <x v="3"/>
    <x v="56"/>
    <n v="218.352"/>
    <n v="3"/>
    <n v="-24.564599999999999"/>
    <x v="5"/>
  </r>
  <r>
    <x v="49"/>
    <x v="48"/>
    <d v="2016-11-03T00:00:00"/>
    <x v="1"/>
    <s v="JD-15895"/>
    <s v="Jonathan Doherty"/>
    <s v="Corporate"/>
    <x v="0"/>
    <x v="31"/>
    <x v="18"/>
    <x v="2"/>
    <s v="FUR-FU-10001861"/>
    <x v="0"/>
    <x v="3"/>
    <x v="57"/>
    <n v="77.599999999999994"/>
    <n v="4"/>
    <n v="38.024000000000001"/>
    <x v="1"/>
  </r>
  <r>
    <x v="50"/>
    <x v="49"/>
    <d v="2017-11-23T00:00:00"/>
    <x v="1"/>
    <s v="JH-15910"/>
    <s v="Jonathan Howell"/>
    <s v="Consumer"/>
    <x v="0"/>
    <x v="9"/>
    <x v="8"/>
    <x v="3"/>
    <s v="FUR-TA-10002533"/>
    <x v="0"/>
    <x v="2"/>
    <x v="58"/>
    <n v="219.07499999999999"/>
    <n v="3"/>
    <n v="-131.44499999999999"/>
    <x v="0"/>
  </r>
  <r>
    <x v="51"/>
    <x v="50"/>
    <d v="2015-05-09T00:00:00"/>
    <x v="0"/>
    <s v="AS-10225"/>
    <s v="Alan Schoenberger"/>
    <s v="Corporate"/>
    <x v="0"/>
    <x v="13"/>
    <x v="7"/>
    <x v="2"/>
    <s v="FUR-FU-10002671"/>
    <x v="0"/>
    <x v="3"/>
    <x v="59"/>
    <n v="26.8"/>
    <n v="2"/>
    <n v="12.864000000000001"/>
    <x v="7"/>
  </r>
  <r>
    <x v="52"/>
    <x v="51"/>
    <d v="2016-09-14T00:00:00"/>
    <x v="0"/>
    <s v="BP-11185"/>
    <s v="Ben Peterman"/>
    <s v="Corporate"/>
    <x v="0"/>
    <x v="32"/>
    <x v="12"/>
    <x v="1"/>
    <s v="FUR-FU-10001918"/>
    <x v="0"/>
    <x v="3"/>
    <x v="60"/>
    <n v="15.135999999999999"/>
    <n v="4"/>
    <n v="3.5948000000000002"/>
    <x v="4"/>
  </r>
  <r>
    <x v="52"/>
    <x v="51"/>
    <d v="2016-09-14T00:00:00"/>
    <x v="0"/>
    <s v="BP-11185"/>
    <s v="Ben Peterman"/>
    <s v="Corporate"/>
    <x v="0"/>
    <x v="32"/>
    <x v="12"/>
    <x v="1"/>
    <s v="FUR-CH-10004086"/>
    <x v="0"/>
    <x v="1"/>
    <x v="61"/>
    <n v="466.76799999999997"/>
    <n v="2"/>
    <n v="52.511400000000002"/>
    <x v="4"/>
  </r>
  <r>
    <x v="52"/>
    <x v="51"/>
    <d v="2016-09-14T00:00:00"/>
    <x v="0"/>
    <s v="BP-11185"/>
    <s v="Ben Peterman"/>
    <s v="Corporate"/>
    <x v="0"/>
    <x v="32"/>
    <x v="12"/>
    <x v="1"/>
    <s v="FUR-FU-10001756"/>
    <x v="0"/>
    <x v="3"/>
    <x v="62"/>
    <n v="15.231999999999999"/>
    <n v="1"/>
    <n v="1.7136"/>
    <x v="4"/>
  </r>
  <r>
    <x v="53"/>
    <x v="52"/>
    <d v="2014-10-03T00:00:00"/>
    <x v="1"/>
    <s v="TS-21205"/>
    <s v="Thomas Seio"/>
    <s v="Corporate"/>
    <x v="0"/>
    <x v="33"/>
    <x v="18"/>
    <x v="2"/>
    <s v="FUR-FU-10001588"/>
    <x v="0"/>
    <x v="3"/>
    <x v="63"/>
    <n v="87.54"/>
    <n v="3"/>
    <n v="37.642200000000003"/>
    <x v="4"/>
  </r>
  <r>
    <x v="54"/>
    <x v="53"/>
    <d v="2014-11-09T00:00:00"/>
    <x v="1"/>
    <s v="NM-18445"/>
    <s v="Nathan Mautz"/>
    <s v="Home Office"/>
    <x v="0"/>
    <x v="13"/>
    <x v="7"/>
    <x v="2"/>
    <s v="FUR-CH-10002602"/>
    <x v="0"/>
    <x v="1"/>
    <x v="64"/>
    <n v="135.88200000000001"/>
    <n v="1"/>
    <n v="24.1568"/>
    <x v="0"/>
  </r>
  <r>
    <x v="55"/>
    <x v="54"/>
    <d v="2017-11-05T00:00:00"/>
    <x v="0"/>
    <s v="DJ-13510"/>
    <s v="Don Jones"/>
    <s v="Corporate"/>
    <x v="0"/>
    <x v="34"/>
    <x v="9"/>
    <x v="0"/>
    <s v="FUR-FU-10001967"/>
    <x v="0"/>
    <x v="3"/>
    <x v="65"/>
    <n v="15.992000000000001"/>
    <n v="1"/>
    <n v="0.99950000000000006"/>
    <x v="0"/>
  </r>
  <r>
    <x v="56"/>
    <x v="55"/>
    <d v="2016-09-01T00:00:00"/>
    <x v="2"/>
    <s v="PO-18850"/>
    <s v="Patrick O'Brill"/>
    <s v="Consumer"/>
    <x v="0"/>
    <x v="3"/>
    <x v="3"/>
    <x v="2"/>
    <s v="FUR-CH-10003312"/>
    <x v="0"/>
    <x v="1"/>
    <x v="66"/>
    <n v="786.74400000000003"/>
    <n v="4"/>
    <n v="-258.5016"/>
    <x v="10"/>
  </r>
  <r>
    <x v="57"/>
    <x v="56"/>
    <d v="2014-07-17T00:00:00"/>
    <x v="1"/>
    <s v="AC-10420"/>
    <s v="Alyssa Crouse"/>
    <s v="Corporate"/>
    <x v="0"/>
    <x v="28"/>
    <x v="2"/>
    <x v="1"/>
    <s v="FUR-TA-10004575"/>
    <x v="0"/>
    <x v="2"/>
    <x v="67"/>
    <n v="698.35199999999998"/>
    <n v="3"/>
    <n v="-17.4588"/>
    <x v="3"/>
  </r>
  <r>
    <x v="58"/>
    <x v="57"/>
    <d v="2016-04-13T00:00:00"/>
    <x v="1"/>
    <s v="JL-15505"/>
    <s v="Jeremy Lonsdale"/>
    <s v="Consumer"/>
    <x v="0"/>
    <x v="13"/>
    <x v="7"/>
    <x v="2"/>
    <s v="FUR-BO-10002268"/>
    <x v="0"/>
    <x v="0"/>
    <x v="68"/>
    <n v="388.70400000000001"/>
    <n v="6"/>
    <n v="-4.8587999999999996"/>
    <x v="6"/>
  </r>
  <r>
    <x v="59"/>
    <x v="58"/>
    <d v="2017-10-01T00:00:00"/>
    <x v="1"/>
    <s v="KW-16435"/>
    <s v="Katrina Willman"/>
    <s v="Consumer"/>
    <x v="0"/>
    <x v="13"/>
    <x v="7"/>
    <x v="2"/>
    <s v="FUR-CH-10000785"/>
    <x v="0"/>
    <x v="1"/>
    <x v="69"/>
    <n v="488.64600000000002"/>
    <n v="3"/>
    <n v="86.870400000000004"/>
    <x v="4"/>
  </r>
  <r>
    <x v="59"/>
    <x v="58"/>
    <d v="2017-10-01T00:00:00"/>
    <x v="1"/>
    <s v="KW-16435"/>
    <s v="Katrina Willman"/>
    <s v="Consumer"/>
    <x v="0"/>
    <x v="13"/>
    <x v="7"/>
    <x v="2"/>
    <s v="FUR-FU-10000023"/>
    <x v="0"/>
    <x v="3"/>
    <x v="70"/>
    <n v="47.12"/>
    <n v="8"/>
    <n v="20.732800000000001"/>
    <x v="4"/>
  </r>
  <r>
    <x v="60"/>
    <x v="59"/>
    <d v="2016-10-21T00:00:00"/>
    <x v="3"/>
    <s v="MK-17905"/>
    <s v="Michael Kennedy"/>
    <s v="Corporate"/>
    <x v="0"/>
    <x v="35"/>
    <x v="19"/>
    <x v="2"/>
    <s v="FUR-BO-10002545"/>
    <x v="0"/>
    <x v="0"/>
    <x v="9"/>
    <n v="1043.92"/>
    <n v="4"/>
    <n v="271.41919999999999"/>
    <x v="1"/>
  </r>
  <r>
    <x v="61"/>
    <x v="60"/>
    <d v="2017-09-01T00:00:00"/>
    <x v="1"/>
    <s v="AR-10405"/>
    <s v="Allen Rosenblatt"/>
    <s v="Corporate"/>
    <x v="0"/>
    <x v="20"/>
    <x v="20"/>
    <x v="2"/>
    <s v="FUR-TA-10004915"/>
    <x v="0"/>
    <x v="2"/>
    <x v="71"/>
    <n v="1488.424"/>
    <n v="7"/>
    <n v="-297.6848"/>
    <x v="10"/>
  </r>
  <r>
    <x v="62"/>
    <x v="61"/>
    <d v="2015-12-02T00:00:00"/>
    <x v="1"/>
    <s v="DO-13435"/>
    <s v="Denny Ordway"/>
    <s v="Consumer"/>
    <x v="0"/>
    <x v="36"/>
    <x v="1"/>
    <x v="0"/>
    <s v="FUR-TA-10000617"/>
    <x v="0"/>
    <x v="2"/>
    <x v="72"/>
    <n v="375.45749999999998"/>
    <n v="3"/>
    <n v="-157.0095"/>
    <x v="0"/>
  </r>
  <r>
    <x v="63"/>
    <x v="62"/>
    <d v="2015-12-07T00:00:00"/>
    <x v="1"/>
    <s v="DK-13225"/>
    <s v="Dean Katz"/>
    <s v="Corporate"/>
    <x v="0"/>
    <x v="3"/>
    <x v="3"/>
    <x v="2"/>
    <s v="FUR-FU-10001935"/>
    <x v="0"/>
    <x v="3"/>
    <x v="73"/>
    <n v="2.96"/>
    <n v="1"/>
    <n v="0.77700000000000002"/>
    <x v="5"/>
  </r>
  <r>
    <x v="64"/>
    <x v="63"/>
    <d v="2016-09-10T00:00:00"/>
    <x v="0"/>
    <s v="AG-10675"/>
    <s v="Anna Gayman"/>
    <s v="Consumer"/>
    <x v="0"/>
    <x v="6"/>
    <x v="5"/>
    <x v="3"/>
    <s v="FUR-BO-10004834"/>
    <x v="0"/>
    <x v="0"/>
    <x v="6"/>
    <n v="2396.2656000000002"/>
    <n v="4"/>
    <n v="-317.15280000000001"/>
    <x v="4"/>
  </r>
  <r>
    <x v="65"/>
    <x v="64"/>
    <d v="2017-12-12T00:00:00"/>
    <x v="1"/>
    <s v="KH-16510"/>
    <s v="Keith Herrera"/>
    <s v="Consumer"/>
    <x v="0"/>
    <x v="28"/>
    <x v="2"/>
    <x v="1"/>
    <s v="FUR-TA-10002041"/>
    <x v="0"/>
    <x v="2"/>
    <x v="74"/>
    <n v="1004.024"/>
    <n v="7"/>
    <n v="-112.95269999999999"/>
    <x v="5"/>
  </r>
  <r>
    <x v="65"/>
    <x v="64"/>
    <d v="2017-12-12T00:00:00"/>
    <x v="1"/>
    <s v="KH-16510"/>
    <s v="Keith Herrera"/>
    <s v="Consumer"/>
    <x v="0"/>
    <x v="28"/>
    <x v="2"/>
    <x v="1"/>
    <s v="FUR-BO-10001972"/>
    <x v="0"/>
    <x v="0"/>
    <x v="75"/>
    <n v="1336.829"/>
    <n v="13"/>
    <n v="31.454799999999999"/>
    <x v="5"/>
  </r>
  <r>
    <x v="65"/>
    <x v="64"/>
    <d v="2017-12-12T00:00:00"/>
    <x v="1"/>
    <s v="KH-16510"/>
    <s v="Keith Herrera"/>
    <s v="Consumer"/>
    <x v="0"/>
    <x v="28"/>
    <x v="2"/>
    <x v="1"/>
    <s v="FUR-CH-10003956"/>
    <x v="0"/>
    <x v="1"/>
    <x v="76"/>
    <n v="113.568"/>
    <n v="2"/>
    <n v="-18.454799999999999"/>
    <x v="5"/>
  </r>
  <r>
    <x v="66"/>
    <x v="54"/>
    <d v="2017-11-07T00:00:00"/>
    <x v="1"/>
    <s v="KC-16675"/>
    <s v="Kimberly Carter"/>
    <s v="Corporate"/>
    <x v="0"/>
    <x v="15"/>
    <x v="13"/>
    <x v="1"/>
    <s v="FUR-CH-10001891"/>
    <x v="0"/>
    <x v="1"/>
    <x v="55"/>
    <n v="307.13600000000002"/>
    <n v="4"/>
    <n v="26.874400000000001"/>
    <x v="0"/>
  </r>
  <r>
    <x v="67"/>
    <x v="65"/>
    <d v="2016-04-18T00:00:00"/>
    <x v="1"/>
    <s v="PB-19150"/>
    <s v="Philip Brown"/>
    <s v="Consumer"/>
    <x v="0"/>
    <x v="2"/>
    <x v="2"/>
    <x v="1"/>
    <s v="FUR-CH-10004886"/>
    <x v="0"/>
    <x v="1"/>
    <x v="77"/>
    <n v="383.8"/>
    <n v="5"/>
    <n v="38.380000000000003"/>
    <x v="6"/>
  </r>
  <r>
    <x v="68"/>
    <x v="66"/>
    <d v="2017-10-23T00:00:00"/>
    <x v="1"/>
    <s v="MP-17965"/>
    <s v="Michael Paige"/>
    <s v="Corporate"/>
    <x v="0"/>
    <x v="37"/>
    <x v="20"/>
    <x v="2"/>
    <s v="FUR-FU-10004712"/>
    <x v="0"/>
    <x v="3"/>
    <x v="78"/>
    <n v="56.56"/>
    <n v="4"/>
    <n v="14.7056"/>
    <x v="1"/>
  </r>
  <r>
    <x v="69"/>
    <x v="67"/>
    <d v="2017-08-23T00:00:00"/>
    <x v="0"/>
    <s v="NF-18385"/>
    <s v="Natalie Fritzler"/>
    <s v="Consumer"/>
    <x v="0"/>
    <x v="38"/>
    <x v="21"/>
    <x v="0"/>
    <s v="FUR-CH-10000015"/>
    <x v="0"/>
    <x v="1"/>
    <x v="79"/>
    <n v="866.4"/>
    <n v="4"/>
    <n v="225.26400000000001"/>
    <x v="10"/>
  </r>
  <r>
    <x v="70"/>
    <x v="68"/>
    <d v="2017-11-26T00:00:00"/>
    <x v="0"/>
    <s v="JM-15265"/>
    <s v="Janet Molinari"/>
    <s v="Corporate"/>
    <x v="0"/>
    <x v="39"/>
    <x v="17"/>
    <x v="3"/>
    <s v="FUR-FU-10003347"/>
    <x v="0"/>
    <x v="3"/>
    <x v="80"/>
    <n v="28.4"/>
    <n v="2"/>
    <n v="11.076000000000001"/>
    <x v="0"/>
  </r>
  <r>
    <x v="71"/>
    <x v="69"/>
    <d v="2017-01-23T00:00:00"/>
    <x v="0"/>
    <s v="CV-12805"/>
    <s v="Cynthia Voltz"/>
    <s v="Corporate"/>
    <x v="0"/>
    <x v="13"/>
    <x v="7"/>
    <x v="2"/>
    <s v="FUR-CH-10003396"/>
    <x v="0"/>
    <x v="1"/>
    <x v="81"/>
    <n v="207.846"/>
    <n v="3"/>
    <n v="2.3094000000000001"/>
    <x v="8"/>
  </r>
  <r>
    <x v="72"/>
    <x v="26"/>
    <d v="2016-09-07T00:00:00"/>
    <x v="0"/>
    <s v="PK-19075"/>
    <s v="Pete Kriz"/>
    <s v="Consumer"/>
    <x v="0"/>
    <x v="25"/>
    <x v="17"/>
    <x v="3"/>
    <s v="FUR-FU-10000246"/>
    <x v="0"/>
    <x v="3"/>
    <x v="82"/>
    <n v="12.22"/>
    <n v="1"/>
    <n v="3.6659999999999999"/>
    <x v="4"/>
  </r>
  <r>
    <x v="72"/>
    <x v="26"/>
    <d v="2016-09-07T00:00:00"/>
    <x v="0"/>
    <s v="PK-19075"/>
    <s v="Pete Kriz"/>
    <s v="Consumer"/>
    <x v="0"/>
    <x v="25"/>
    <x v="17"/>
    <x v="3"/>
    <s v="FUR-CH-10002372"/>
    <x v="0"/>
    <x v="1"/>
    <x v="83"/>
    <n v="242.94"/>
    <n v="3"/>
    <n v="29.152799999999999"/>
    <x v="4"/>
  </r>
  <r>
    <x v="73"/>
    <x v="70"/>
    <d v="2017-03-25T00:00:00"/>
    <x v="0"/>
    <s v="TB-21595"/>
    <s v="Troy Blackwell"/>
    <s v="Consumer"/>
    <x v="0"/>
    <x v="29"/>
    <x v="6"/>
    <x v="3"/>
    <s v="FUR-FU-10000206"/>
    <x v="0"/>
    <x v="3"/>
    <x v="84"/>
    <n v="2.91"/>
    <n v="1"/>
    <n v="1.3676999999999999"/>
    <x v="9"/>
  </r>
  <r>
    <x v="74"/>
    <x v="71"/>
    <d v="2017-10-24T00:00:00"/>
    <x v="1"/>
    <s v="EB-13705"/>
    <s v="Ed Braxton"/>
    <s v="Corporate"/>
    <x v="0"/>
    <x v="40"/>
    <x v="15"/>
    <x v="2"/>
    <s v="FUR-TA-10001539"/>
    <x v="0"/>
    <x v="2"/>
    <x v="4"/>
    <n v="284.36399999999998"/>
    <n v="2"/>
    <n v="-75.830399999999997"/>
    <x v="1"/>
  </r>
  <r>
    <x v="75"/>
    <x v="72"/>
    <d v="2014-02-18T00:00:00"/>
    <x v="1"/>
    <s v="SC-20095"/>
    <s v="Sanjit Chand"/>
    <s v="Consumer"/>
    <x v="0"/>
    <x v="41"/>
    <x v="2"/>
    <x v="1"/>
    <s v="FUR-CH-10000225"/>
    <x v="0"/>
    <x v="1"/>
    <x v="85"/>
    <n v="129.56800000000001"/>
    <n v="2"/>
    <n v="-24.294"/>
    <x v="11"/>
  </r>
  <r>
    <x v="76"/>
    <x v="73"/>
    <d v="2016-10-01T00:00:00"/>
    <x v="1"/>
    <s v="NF-18385"/>
    <s v="Natalie Fritzler"/>
    <s v="Consumer"/>
    <x v="0"/>
    <x v="42"/>
    <x v="8"/>
    <x v="3"/>
    <s v="FUR-CH-10002331"/>
    <x v="0"/>
    <x v="1"/>
    <x v="86"/>
    <n v="747.55799999999999"/>
    <n v="3"/>
    <n v="-96.114599999999996"/>
    <x v="4"/>
  </r>
  <r>
    <x v="77"/>
    <x v="74"/>
    <d v="2016-04-29T00:00:00"/>
    <x v="1"/>
    <s v="TN-21040"/>
    <s v="Tanja Norvell"/>
    <s v="Home Office"/>
    <x v="0"/>
    <x v="43"/>
    <x v="22"/>
    <x v="1"/>
    <s v="FUR-FU-10000023"/>
    <x v="0"/>
    <x v="3"/>
    <x v="70"/>
    <n v="23.56"/>
    <n v="5"/>
    <n v="7.0679999999999996"/>
    <x v="6"/>
  </r>
  <r>
    <x v="77"/>
    <x v="74"/>
    <d v="2016-04-29T00:00:00"/>
    <x v="1"/>
    <s v="TN-21040"/>
    <s v="Tanja Norvell"/>
    <s v="Home Office"/>
    <x v="0"/>
    <x v="43"/>
    <x v="22"/>
    <x v="1"/>
    <s v="FUR-TA-10001889"/>
    <x v="0"/>
    <x v="2"/>
    <x v="87"/>
    <n v="1272.6300000000001"/>
    <n v="6"/>
    <n v="-814.48320000000001"/>
    <x v="6"/>
  </r>
  <r>
    <x v="78"/>
    <x v="75"/>
    <d v="2015-01-24T00:00:00"/>
    <x v="1"/>
    <s v="JS-15940"/>
    <s v="Joni Sundaresam"/>
    <s v="Home Office"/>
    <x v="0"/>
    <x v="44"/>
    <x v="8"/>
    <x v="3"/>
    <s v="FUR-FU-10002918"/>
    <x v="0"/>
    <x v="3"/>
    <x v="56"/>
    <n v="254.744"/>
    <n v="7"/>
    <n v="-312.06139999999999"/>
    <x v="8"/>
  </r>
  <r>
    <x v="79"/>
    <x v="76"/>
    <d v="2017-04-04T00:00:00"/>
    <x v="1"/>
    <s v="DS-13180"/>
    <s v="David Smith"/>
    <s v="Corporate"/>
    <x v="0"/>
    <x v="45"/>
    <x v="5"/>
    <x v="3"/>
    <s v="FUR-BO-10002824"/>
    <x v="0"/>
    <x v="0"/>
    <x v="88"/>
    <n v="205.33279999999999"/>
    <n v="2"/>
    <n v="-36.235199999999999"/>
    <x v="9"/>
  </r>
  <r>
    <x v="80"/>
    <x v="77"/>
    <d v="2014-11-11T00:00:00"/>
    <x v="0"/>
    <s v="JP-15520"/>
    <s v="Jeremy Pistek"/>
    <s v="Consumer"/>
    <x v="0"/>
    <x v="28"/>
    <x v="2"/>
    <x v="1"/>
    <s v="FUR-BO-10001601"/>
    <x v="0"/>
    <x v="0"/>
    <x v="89"/>
    <n v="222.666"/>
    <n v="2"/>
    <n v="10.478400000000001"/>
    <x v="0"/>
  </r>
  <r>
    <x v="81"/>
    <x v="78"/>
    <d v="2016-11-02T00:00:00"/>
    <x v="1"/>
    <s v="JE-15475"/>
    <s v="Jeremy Ellison"/>
    <s v="Consumer"/>
    <x v="0"/>
    <x v="8"/>
    <x v="7"/>
    <x v="2"/>
    <s v="FUR-FU-10002671"/>
    <x v="0"/>
    <x v="3"/>
    <x v="59"/>
    <n v="40.200000000000003"/>
    <n v="3"/>
    <n v="19.295999999999999"/>
    <x v="1"/>
  </r>
  <r>
    <x v="82"/>
    <x v="79"/>
    <d v="2017-06-13T00:00:00"/>
    <x v="2"/>
    <s v="MT-18070"/>
    <s v="Michelle Tran"/>
    <s v="Home Office"/>
    <x v="0"/>
    <x v="2"/>
    <x v="2"/>
    <x v="1"/>
    <s v="FUR-BO-10001337"/>
    <x v="0"/>
    <x v="0"/>
    <x v="90"/>
    <n v="514.16499999999996"/>
    <n v="5"/>
    <n v="-30.245000000000001"/>
    <x v="2"/>
  </r>
  <r>
    <x v="83"/>
    <x v="80"/>
    <d v="2016-03-21T00:00:00"/>
    <x v="0"/>
    <s v="RO-19780"/>
    <s v="Rose O'Brian"/>
    <s v="Consumer"/>
    <x v="0"/>
    <x v="10"/>
    <x v="9"/>
    <x v="0"/>
    <s v="FUR-TA-10001857"/>
    <x v="0"/>
    <x v="2"/>
    <x v="91"/>
    <n v="189.88200000000001"/>
    <n v="3"/>
    <n v="-94.941000000000003"/>
    <x v="9"/>
  </r>
  <r>
    <x v="84"/>
    <x v="81"/>
    <d v="2016-07-31T00:00:00"/>
    <x v="1"/>
    <s v="SC-20095"/>
    <s v="Sanjit Chand"/>
    <s v="Consumer"/>
    <x v="0"/>
    <x v="46"/>
    <x v="2"/>
    <x v="1"/>
    <s v="FUR-FU-10004864"/>
    <x v="0"/>
    <x v="3"/>
    <x v="92"/>
    <n v="255.76"/>
    <n v="4"/>
    <n v="81.843199999999996"/>
    <x v="3"/>
  </r>
  <r>
    <x v="84"/>
    <x v="81"/>
    <d v="2016-07-31T00:00:00"/>
    <x v="1"/>
    <s v="SC-20095"/>
    <s v="Sanjit Chand"/>
    <s v="Consumer"/>
    <x v="0"/>
    <x v="46"/>
    <x v="2"/>
    <x v="1"/>
    <s v="FUR-CH-10002602"/>
    <x v="0"/>
    <x v="1"/>
    <x v="64"/>
    <n v="241.56800000000001"/>
    <n v="2"/>
    <n v="18.117599999999999"/>
    <x v="3"/>
  </r>
  <r>
    <x v="84"/>
    <x v="81"/>
    <d v="2016-07-31T00:00:00"/>
    <x v="1"/>
    <s v="SC-20095"/>
    <s v="Sanjit Chand"/>
    <s v="Consumer"/>
    <x v="0"/>
    <x v="46"/>
    <x v="2"/>
    <x v="1"/>
    <s v="FUR-FU-10000073"/>
    <x v="0"/>
    <x v="3"/>
    <x v="93"/>
    <n v="69.3"/>
    <n v="9"/>
    <n v="22.869"/>
    <x v="3"/>
  </r>
  <r>
    <x v="85"/>
    <x v="82"/>
    <d v="2016-06-04T00:00:00"/>
    <x v="1"/>
    <s v="MY-17380"/>
    <s v="Maribeth Yedwab"/>
    <s v="Corporate"/>
    <x v="0"/>
    <x v="47"/>
    <x v="12"/>
    <x v="1"/>
    <s v="FUR-CH-10001215"/>
    <x v="0"/>
    <x v="1"/>
    <x v="94"/>
    <n v="801.56799999999998"/>
    <n v="2"/>
    <n v="50.097999999999999"/>
    <x v="7"/>
  </r>
  <r>
    <x v="86"/>
    <x v="83"/>
    <d v="2017-11-27T00:00:00"/>
    <x v="2"/>
    <s v="LS-17245"/>
    <s v="Lynn Smith"/>
    <s v="Consumer"/>
    <x v="0"/>
    <x v="48"/>
    <x v="23"/>
    <x v="3"/>
    <s v="FUR-FU-10001290"/>
    <x v="0"/>
    <x v="3"/>
    <x v="95"/>
    <n v="126.3"/>
    <n v="3"/>
    <n v="40.415999999999997"/>
    <x v="0"/>
  </r>
  <r>
    <x v="87"/>
    <x v="84"/>
    <d v="2017-01-25T00:00:00"/>
    <x v="2"/>
    <s v="MC-17605"/>
    <s v="Matt Connell"/>
    <s v="Corporate"/>
    <x v="0"/>
    <x v="25"/>
    <x v="17"/>
    <x v="3"/>
    <s v="FUR-TA-10001857"/>
    <x v="0"/>
    <x v="2"/>
    <x v="91"/>
    <n v="210.98"/>
    <n v="2"/>
    <n v="21.097999999999999"/>
    <x v="8"/>
  </r>
  <r>
    <x v="88"/>
    <x v="85"/>
    <d v="2017-10-26T00:00:00"/>
    <x v="1"/>
    <s v="PH-18790"/>
    <s v="Patricia Hirasaki"/>
    <s v="Home Office"/>
    <x v="0"/>
    <x v="49"/>
    <x v="1"/>
    <x v="0"/>
    <s v="FUR-CH-10003379"/>
    <x v="0"/>
    <x v="1"/>
    <x v="96"/>
    <n v="683.952"/>
    <n v="3"/>
    <n v="42.747"/>
    <x v="1"/>
  </r>
  <r>
    <x v="88"/>
    <x v="85"/>
    <d v="2017-10-26T00:00:00"/>
    <x v="1"/>
    <s v="PH-18790"/>
    <s v="Patricia Hirasaki"/>
    <s v="Home Office"/>
    <x v="0"/>
    <x v="49"/>
    <x v="1"/>
    <x v="0"/>
    <s v="FUR-FU-10001756"/>
    <x v="0"/>
    <x v="3"/>
    <x v="62"/>
    <n v="45.695999999999998"/>
    <n v="3"/>
    <n v="5.1407999999999996"/>
    <x v="1"/>
  </r>
  <r>
    <x v="89"/>
    <x v="86"/>
    <d v="2015-11-09T00:00:00"/>
    <x v="0"/>
    <s v="KB-16240"/>
    <s v="Karen Bern"/>
    <s v="Corporate"/>
    <x v="0"/>
    <x v="2"/>
    <x v="2"/>
    <x v="1"/>
    <s v="FUR-CH-10000595"/>
    <x v="0"/>
    <x v="1"/>
    <x v="97"/>
    <n v="190.72"/>
    <n v="1"/>
    <n v="11.92"/>
    <x v="0"/>
  </r>
  <r>
    <x v="90"/>
    <x v="87"/>
    <d v="2017-09-11T00:00:00"/>
    <x v="1"/>
    <s v="JC-15340"/>
    <s v="Jasper Cacioppo"/>
    <s v="Consumer"/>
    <x v="0"/>
    <x v="2"/>
    <x v="2"/>
    <x v="1"/>
    <s v="FUR-FU-10000448"/>
    <x v="0"/>
    <x v="3"/>
    <x v="98"/>
    <n v="47.94"/>
    <n v="3"/>
    <n v="2.3969999999999998"/>
    <x v="4"/>
  </r>
  <r>
    <x v="91"/>
    <x v="88"/>
    <d v="2015-12-11T00:00:00"/>
    <x v="1"/>
    <s v="DK-12985"/>
    <s v="Darren Koutras"/>
    <s v="Consumer"/>
    <x v="0"/>
    <x v="0"/>
    <x v="0"/>
    <x v="0"/>
    <s v="FUR-CH-10002647"/>
    <x v="0"/>
    <x v="1"/>
    <x v="99"/>
    <n v="283.92"/>
    <n v="4"/>
    <n v="70.98"/>
    <x v="5"/>
  </r>
  <r>
    <x v="92"/>
    <x v="89"/>
    <d v="2014-05-16T00:00:00"/>
    <x v="1"/>
    <s v="PG-18895"/>
    <s v="Paul Gonzalez"/>
    <s v="Consumer"/>
    <x v="0"/>
    <x v="50"/>
    <x v="5"/>
    <x v="3"/>
    <s v="FUR-FU-10000723"/>
    <x v="0"/>
    <x v="3"/>
    <x v="100"/>
    <n v="66.111999999999995"/>
    <n v="4"/>
    <n v="-84.2928"/>
    <x v="7"/>
  </r>
  <r>
    <x v="93"/>
    <x v="90"/>
    <d v="2016-04-17T00:00:00"/>
    <x v="0"/>
    <s v="BD-11320"/>
    <s v="Bill Donatelli"/>
    <s v="Consumer"/>
    <x v="0"/>
    <x v="28"/>
    <x v="2"/>
    <x v="1"/>
    <s v="FUR-CH-10002024"/>
    <x v="0"/>
    <x v="1"/>
    <x v="101"/>
    <n v="1121.568"/>
    <n v="2"/>
    <n v="0"/>
    <x v="6"/>
  </r>
  <r>
    <x v="94"/>
    <x v="91"/>
    <d v="2017-09-12T00:00:00"/>
    <x v="2"/>
    <s v="RC-19960"/>
    <s v="Ryan Crowe"/>
    <s v="Consumer"/>
    <x v="0"/>
    <x v="51"/>
    <x v="1"/>
    <x v="0"/>
    <s v="FUR-FU-10003039"/>
    <x v="0"/>
    <x v="3"/>
    <x v="102"/>
    <n v="34.503999999999998"/>
    <n v="1"/>
    <n v="6.0381999999999998"/>
    <x v="4"/>
  </r>
  <r>
    <x v="95"/>
    <x v="92"/>
    <d v="2016-06-15T00:00:00"/>
    <x v="1"/>
    <s v="OT-18730"/>
    <s v="Olvera Toch"/>
    <s v="Consumer"/>
    <x v="0"/>
    <x v="2"/>
    <x v="2"/>
    <x v="1"/>
    <s v="FUR-TA-10004256"/>
    <x v="0"/>
    <x v="2"/>
    <x v="103"/>
    <n v="1335.68"/>
    <n v="4"/>
    <n v="-217.048"/>
    <x v="2"/>
  </r>
  <r>
    <x v="96"/>
    <x v="93"/>
    <d v="2017-11-22T00:00:00"/>
    <x v="0"/>
    <s v="LP-17080"/>
    <s v="Liz Pelletier"/>
    <s v="Consumer"/>
    <x v="0"/>
    <x v="28"/>
    <x v="2"/>
    <x v="1"/>
    <s v="FUR-FU-10003347"/>
    <x v="0"/>
    <x v="3"/>
    <x v="80"/>
    <n v="42.6"/>
    <n v="3"/>
    <n v="16.614000000000001"/>
    <x v="0"/>
  </r>
  <r>
    <x v="97"/>
    <x v="94"/>
    <d v="2014-09-18T00:00:00"/>
    <x v="0"/>
    <s v="CA-12775"/>
    <s v="Cynthia Arntzen"/>
    <s v="Consumer"/>
    <x v="0"/>
    <x v="26"/>
    <x v="1"/>
    <x v="0"/>
    <s v="FUR-FU-10004020"/>
    <x v="0"/>
    <x v="3"/>
    <x v="104"/>
    <n v="13.128"/>
    <n v="3"/>
    <n v="3.7743000000000002"/>
    <x v="4"/>
  </r>
  <r>
    <x v="98"/>
    <x v="95"/>
    <d v="2017-10-08T00:00:00"/>
    <x v="1"/>
    <s v="EB-13840"/>
    <s v="Ellis Ballard"/>
    <s v="Corporate"/>
    <x v="0"/>
    <x v="15"/>
    <x v="13"/>
    <x v="1"/>
    <s v="FUR-CH-10004997"/>
    <x v="0"/>
    <x v="1"/>
    <x v="105"/>
    <n v="451.15199999999999"/>
    <n v="3"/>
    <n v="0"/>
    <x v="1"/>
  </r>
  <r>
    <x v="99"/>
    <x v="96"/>
    <d v="2017-07-26T00:00:00"/>
    <x v="1"/>
    <s v="CS-11950"/>
    <s v="Carlos Soltero"/>
    <s v="Consumer"/>
    <x v="0"/>
    <x v="9"/>
    <x v="8"/>
    <x v="3"/>
    <s v="FUR-FU-10001475"/>
    <x v="0"/>
    <x v="3"/>
    <x v="106"/>
    <n v="8.7919999999999998"/>
    <n v="1"/>
    <n v="-5.7148000000000003"/>
    <x v="3"/>
  </r>
  <r>
    <x v="100"/>
    <x v="97"/>
    <d v="2015-07-09T00:00:00"/>
    <x v="1"/>
    <s v="BD-11725"/>
    <s v="Bruce Degenhardt"/>
    <s v="Consumer"/>
    <x v="0"/>
    <x v="52"/>
    <x v="0"/>
    <x v="0"/>
    <s v="FUR-CH-10003956"/>
    <x v="0"/>
    <x v="1"/>
    <x v="76"/>
    <n v="70.98"/>
    <n v="1"/>
    <n v="4.9686000000000003"/>
    <x v="3"/>
  </r>
  <r>
    <x v="101"/>
    <x v="98"/>
    <d v="2014-08-15T00:00:00"/>
    <x v="1"/>
    <s v="LR-16915"/>
    <s v="Lena Radford"/>
    <s v="Consumer"/>
    <x v="0"/>
    <x v="53"/>
    <x v="2"/>
    <x v="1"/>
    <s v="FUR-FU-10001979"/>
    <x v="0"/>
    <x v="3"/>
    <x v="107"/>
    <n v="327.76"/>
    <n v="8"/>
    <n v="91.772800000000004"/>
    <x v="10"/>
  </r>
  <r>
    <x v="102"/>
    <x v="99"/>
    <d v="2014-03-19T00:00:00"/>
    <x v="1"/>
    <s v="AS-10240"/>
    <s v="Alan Shonely"/>
    <s v="Consumer"/>
    <x v="0"/>
    <x v="26"/>
    <x v="1"/>
    <x v="0"/>
    <s v="FUR-FU-10001756"/>
    <x v="0"/>
    <x v="3"/>
    <x v="62"/>
    <n v="45.695999999999998"/>
    <n v="3"/>
    <n v="5.1407999999999996"/>
    <x v="9"/>
  </r>
  <r>
    <x v="103"/>
    <x v="100"/>
    <d v="2017-08-23T00:00:00"/>
    <x v="0"/>
    <s v="NG-18355"/>
    <s v="Nat Gilpin"/>
    <s v="Corporate"/>
    <x v="0"/>
    <x v="13"/>
    <x v="7"/>
    <x v="2"/>
    <s v="FUR-FU-10003849"/>
    <x v="0"/>
    <x v="3"/>
    <x v="108"/>
    <n v="40.479999999999997"/>
    <n v="2"/>
    <n v="15.7872"/>
    <x v="10"/>
  </r>
  <r>
    <x v="103"/>
    <x v="100"/>
    <d v="2017-08-23T00:00:00"/>
    <x v="0"/>
    <s v="NG-18355"/>
    <s v="Nat Gilpin"/>
    <s v="Corporate"/>
    <x v="0"/>
    <x v="13"/>
    <x v="7"/>
    <x v="2"/>
    <s v="FUR-FU-10000010"/>
    <x v="0"/>
    <x v="3"/>
    <x v="109"/>
    <n v="9.94"/>
    <n v="2"/>
    <n v="3.0813999999999999"/>
    <x v="10"/>
  </r>
  <r>
    <x v="103"/>
    <x v="100"/>
    <d v="2017-08-23T00:00:00"/>
    <x v="0"/>
    <s v="NG-18355"/>
    <s v="Nat Gilpin"/>
    <s v="Corporate"/>
    <x v="0"/>
    <x v="13"/>
    <x v="7"/>
    <x v="2"/>
    <s v="FUR-FU-10000521"/>
    <x v="0"/>
    <x v="3"/>
    <x v="31"/>
    <n v="88.02"/>
    <n v="3"/>
    <n v="27.286200000000001"/>
    <x v="10"/>
  </r>
  <r>
    <x v="104"/>
    <x v="101"/>
    <d v="2015-12-03T00:00:00"/>
    <x v="1"/>
    <s v="SF-20965"/>
    <s v="Sylvia Foulston"/>
    <s v="Corporate"/>
    <x v="0"/>
    <x v="54"/>
    <x v="17"/>
    <x v="3"/>
    <s v="FUR-CH-10004853"/>
    <x v="0"/>
    <x v="1"/>
    <x v="110"/>
    <n v="301.95999999999998"/>
    <n v="2"/>
    <n v="87.568399999999997"/>
    <x v="0"/>
  </r>
  <r>
    <x v="105"/>
    <x v="102"/>
    <d v="2017-09-19T00:00:00"/>
    <x v="1"/>
    <s v="MO-17800"/>
    <s v="Meg O'Connel"/>
    <s v="Home Office"/>
    <x v="0"/>
    <x v="13"/>
    <x v="7"/>
    <x v="2"/>
    <s v="FUR-FU-10000221"/>
    <x v="0"/>
    <x v="3"/>
    <x v="111"/>
    <n v="35.56"/>
    <n v="7"/>
    <n v="12.090400000000001"/>
    <x v="4"/>
  </r>
  <r>
    <x v="106"/>
    <x v="103"/>
    <d v="2015-10-09T00:00:00"/>
    <x v="0"/>
    <s v="DJ-13420"/>
    <s v="Denny Joy"/>
    <s v="Corporate"/>
    <x v="0"/>
    <x v="55"/>
    <x v="24"/>
    <x v="0"/>
    <s v="FUR-CH-10001482"/>
    <x v="0"/>
    <x v="1"/>
    <x v="112"/>
    <n v="392.94"/>
    <n v="3"/>
    <n v="43.223399999999998"/>
    <x v="1"/>
  </r>
  <r>
    <x v="107"/>
    <x v="104"/>
    <d v="2016-05-25T00:00:00"/>
    <x v="1"/>
    <s v="RB-19465"/>
    <s v="Rick Bensley"/>
    <s v="Home Office"/>
    <x v="0"/>
    <x v="56"/>
    <x v="2"/>
    <x v="1"/>
    <s v="FUR-FU-10000576"/>
    <x v="0"/>
    <x v="3"/>
    <x v="46"/>
    <n v="1049.2"/>
    <n v="5"/>
    <n v="272.79199999999997"/>
    <x v="7"/>
  </r>
  <r>
    <x v="108"/>
    <x v="105"/>
    <d v="2016-12-22T00:00:00"/>
    <x v="1"/>
    <s v="JD-16150"/>
    <s v="Justin Deggeller"/>
    <s v="Corporate"/>
    <x v="0"/>
    <x v="12"/>
    <x v="11"/>
    <x v="3"/>
    <s v="FUR-FU-10000732"/>
    <x v="0"/>
    <x v="3"/>
    <x v="113"/>
    <n v="18.84"/>
    <n v="3"/>
    <n v="6.0288000000000004"/>
    <x v="5"/>
  </r>
  <r>
    <x v="109"/>
    <x v="106"/>
    <d v="2016-12-16T00:00:00"/>
    <x v="0"/>
    <s v="AR-10825"/>
    <s v="Anthony Rawles"/>
    <s v="Corporate"/>
    <x v="0"/>
    <x v="57"/>
    <x v="13"/>
    <x v="1"/>
    <s v="FUR-FU-10001935"/>
    <x v="0"/>
    <x v="3"/>
    <x v="73"/>
    <n v="14.8"/>
    <n v="4"/>
    <n v="6.0679999999999996"/>
    <x v="5"/>
  </r>
  <r>
    <x v="110"/>
    <x v="107"/>
    <d v="2016-09-19T00:00:00"/>
    <x v="3"/>
    <s v="EH-14125"/>
    <s v="Eugene Hildebrand"/>
    <s v="Home Office"/>
    <x v="0"/>
    <x v="14"/>
    <x v="8"/>
    <x v="3"/>
    <s v="FUR-CH-10001215"/>
    <x v="0"/>
    <x v="1"/>
    <x v="94"/>
    <n v="701.37199999999996"/>
    <n v="2"/>
    <n v="-50.097999999999999"/>
    <x v="4"/>
  </r>
  <r>
    <x v="111"/>
    <x v="108"/>
    <d v="2015-08-28T00:00:00"/>
    <x v="1"/>
    <s v="CB-12025"/>
    <s v="Cassandra Brandow"/>
    <s v="Consumer"/>
    <x v="0"/>
    <x v="58"/>
    <x v="5"/>
    <x v="3"/>
    <s v="FUR-TA-10001768"/>
    <x v="0"/>
    <x v="2"/>
    <x v="25"/>
    <n v="918.78499999999997"/>
    <n v="5"/>
    <n v="-118.12949999999999"/>
    <x v="10"/>
  </r>
  <r>
    <x v="112"/>
    <x v="109"/>
    <d v="2014-12-26T00:00:00"/>
    <x v="2"/>
    <s v="RP-19390"/>
    <s v="Resi Pšlking"/>
    <s v="Consumer"/>
    <x v="0"/>
    <x v="59"/>
    <x v="15"/>
    <x v="2"/>
    <s v="FUR-FU-10003096"/>
    <x v="0"/>
    <x v="3"/>
    <x v="114"/>
    <n v="30.36"/>
    <n v="5"/>
    <n v="8.7285000000000004"/>
    <x v="5"/>
  </r>
  <r>
    <x v="113"/>
    <x v="110"/>
    <d v="2017-06-13T00:00:00"/>
    <x v="1"/>
    <s v="MO-17800"/>
    <s v="Meg O'Connel"/>
    <s v="Home Office"/>
    <x v="0"/>
    <x v="9"/>
    <x v="8"/>
    <x v="3"/>
    <s v="FUR-FU-10002759"/>
    <x v="0"/>
    <x v="3"/>
    <x v="115"/>
    <n v="23.975999999999999"/>
    <n v="3"/>
    <n v="-14.3856"/>
    <x v="2"/>
  </r>
  <r>
    <x v="113"/>
    <x v="110"/>
    <d v="2017-06-13T00:00:00"/>
    <x v="1"/>
    <s v="MO-17800"/>
    <s v="Meg O'Connel"/>
    <s v="Home Office"/>
    <x v="0"/>
    <x v="9"/>
    <x v="8"/>
    <x v="3"/>
    <s v="FUR-TA-10000688"/>
    <x v="0"/>
    <x v="2"/>
    <x v="116"/>
    <n v="108.925"/>
    <n v="1"/>
    <n v="-71.890500000000003"/>
    <x v="2"/>
  </r>
  <r>
    <x v="114"/>
    <x v="111"/>
    <d v="2017-03-23T00:00:00"/>
    <x v="1"/>
    <s v="CD-11980"/>
    <s v="Carol Darley"/>
    <s v="Consumer"/>
    <x v="0"/>
    <x v="60"/>
    <x v="5"/>
    <x v="3"/>
    <s v="FUR-FU-10003553"/>
    <x v="0"/>
    <x v="3"/>
    <x v="117"/>
    <n v="82.524000000000001"/>
    <n v="3"/>
    <n v="-41.262"/>
    <x v="9"/>
  </r>
  <r>
    <x v="115"/>
    <x v="19"/>
    <d v="2017-12-29T00:00:00"/>
    <x v="1"/>
    <s v="RA-19285"/>
    <s v="Ralph Arnett"/>
    <s v="Consumer"/>
    <x v="0"/>
    <x v="13"/>
    <x v="7"/>
    <x v="2"/>
    <s v="FUR-BO-10004015"/>
    <x v="0"/>
    <x v="0"/>
    <x v="118"/>
    <n v="191.98400000000001"/>
    <n v="2"/>
    <n v="4.7995999999999999"/>
    <x v="5"/>
  </r>
  <r>
    <x v="116"/>
    <x v="112"/>
    <d v="2014-06-23T00:00:00"/>
    <x v="0"/>
    <s v="NP-18325"/>
    <s v="Naresj Patel"/>
    <s v="Consumer"/>
    <x v="0"/>
    <x v="61"/>
    <x v="25"/>
    <x v="0"/>
    <s v="FUR-FU-10004071"/>
    <x v="0"/>
    <x v="3"/>
    <x v="119"/>
    <n v="104.01"/>
    <n v="1"/>
    <n v="14.561400000000001"/>
    <x v="2"/>
  </r>
  <r>
    <x v="117"/>
    <x v="113"/>
    <d v="2017-09-08T00:00:00"/>
    <x v="1"/>
    <s v="Dl-13600"/>
    <s v="Dorris liebe"/>
    <s v="Corporate"/>
    <x v="0"/>
    <x v="59"/>
    <x v="15"/>
    <x v="2"/>
    <s v="FUR-FU-10002960"/>
    <x v="0"/>
    <x v="3"/>
    <x v="37"/>
    <n v="15.071999999999999"/>
    <n v="3"/>
    <n v="4.1448"/>
    <x v="4"/>
  </r>
  <r>
    <x v="118"/>
    <x v="114"/>
    <d v="2016-11-08T00:00:00"/>
    <x v="0"/>
    <s v="AS-10285"/>
    <s v="Alejandro Savely"/>
    <s v="Corporate"/>
    <x v="0"/>
    <x v="15"/>
    <x v="13"/>
    <x v="1"/>
    <s v="FUR-FU-10003394"/>
    <x v="0"/>
    <x v="3"/>
    <x v="120"/>
    <n v="209.88"/>
    <n v="3"/>
    <n v="35.679600000000001"/>
    <x v="0"/>
  </r>
  <r>
    <x v="119"/>
    <x v="115"/>
    <d v="2015-04-14T00:00:00"/>
    <x v="1"/>
    <s v="JK-15370"/>
    <s v="Jay Kimmel"/>
    <s v="Consumer"/>
    <x v="0"/>
    <x v="62"/>
    <x v="2"/>
    <x v="1"/>
    <s v="FUR-TA-10002774"/>
    <x v="0"/>
    <x v="2"/>
    <x v="121"/>
    <n v="369.91199999999998"/>
    <n v="3"/>
    <n v="-13.871700000000001"/>
    <x v="6"/>
  </r>
  <r>
    <x v="120"/>
    <x v="116"/>
    <d v="2014-12-04T00:00:00"/>
    <x v="2"/>
    <s v="DP-13165"/>
    <s v="David Philippe"/>
    <s v="Consumer"/>
    <x v="0"/>
    <x v="13"/>
    <x v="7"/>
    <x v="2"/>
    <s v="FUR-BO-10003272"/>
    <x v="0"/>
    <x v="0"/>
    <x v="122"/>
    <n v="883.92"/>
    <n v="5"/>
    <n v="-110.49"/>
    <x v="5"/>
  </r>
  <r>
    <x v="121"/>
    <x v="117"/>
    <d v="2014-01-14T00:00:00"/>
    <x v="2"/>
    <s v="SV-20365"/>
    <s v="Seth Vernon"/>
    <s v="Consumer"/>
    <x v="0"/>
    <x v="63"/>
    <x v="14"/>
    <x v="2"/>
    <s v="FUR-FU-10000010"/>
    <x v="0"/>
    <x v="3"/>
    <x v="109"/>
    <n v="9.94"/>
    <n v="2"/>
    <n v="3.0813999999999999"/>
    <x v="8"/>
  </r>
  <r>
    <x v="122"/>
    <x v="118"/>
    <d v="2017-09-29T00:00:00"/>
    <x v="1"/>
    <s v="KC-16540"/>
    <s v="Kelly Collister"/>
    <s v="Consumer"/>
    <x v="0"/>
    <x v="19"/>
    <x v="15"/>
    <x v="2"/>
    <s v="FUR-FU-10002253"/>
    <x v="0"/>
    <x v="3"/>
    <x v="123"/>
    <n v="103.056"/>
    <n v="3"/>
    <n v="24.4758"/>
    <x v="4"/>
  </r>
  <r>
    <x v="123"/>
    <x v="119"/>
    <d v="2014-06-07T00:00:00"/>
    <x v="1"/>
    <s v="CK-12325"/>
    <s v="Christine Kargatis"/>
    <s v="Home Office"/>
    <x v="0"/>
    <x v="4"/>
    <x v="4"/>
    <x v="1"/>
    <s v="FUR-FU-10000246"/>
    <x v="0"/>
    <x v="3"/>
    <x v="82"/>
    <n v="73.319999999999993"/>
    <n v="6"/>
    <n v="21.995999999999999"/>
    <x v="2"/>
  </r>
  <r>
    <x v="124"/>
    <x v="120"/>
    <d v="2016-12-19T00:00:00"/>
    <x v="1"/>
    <s v="MP-17965"/>
    <s v="Michael Paige"/>
    <s v="Corporate"/>
    <x v="0"/>
    <x v="25"/>
    <x v="17"/>
    <x v="3"/>
    <s v="FUR-TA-10000198"/>
    <x v="0"/>
    <x v="2"/>
    <x v="124"/>
    <n v="1652.94"/>
    <n v="3"/>
    <n v="231.41159999999999"/>
    <x v="5"/>
  </r>
  <r>
    <x v="125"/>
    <x v="121"/>
    <d v="2014-10-13T00:00:00"/>
    <x v="1"/>
    <s v="MR-17545"/>
    <s v="Mathew Reese"/>
    <s v="Home Office"/>
    <x v="0"/>
    <x v="3"/>
    <x v="3"/>
    <x v="2"/>
    <s v="FUR-FU-10000222"/>
    <x v="0"/>
    <x v="3"/>
    <x v="125"/>
    <n v="129.91999999999999"/>
    <n v="5"/>
    <n v="21.111999999999998"/>
    <x v="1"/>
  </r>
  <r>
    <x v="126"/>
    <x v="122"/>
    <d v="2016-12-06T00:00:00"/>
    <x v="2"/>
    <s v="EG-13900"/>
    <s v="Emily Grady"/>
    <s v="Consumer"/>
    <x v="0"/>
    <x v="64"/>
    <x v="7"/>
    <x v="2"/>
    <s v="FUR-TA-10002228"/>
    <x v="0"/>
    <x v="2"/>
    <x v="126"/>
    <n v="400.03199999999998"/>
    <n v="2"/>
    <n v="-153.34559999999999"/>
    <x v="5"/>
  </r>
  <r>
    <x v="126"/>
    <x v="122"/>
    <d v="2016-12-06T00:00:00"/>
    <x v="2"/>
    <s v="EG-13900"/>
    <s v="Emily Grady"/>
    <s v="Consumer"/>
    <x v="0"/>
    <x v="64"/>
    <x v="7"/>
    <x v="2"/>
    <s v="FUR-CH-10002965"/>
    <x v="0"/>
    <x v="1"/>
    <x v="50"/>
    <n v="542.64599999999996"/>
    <n v="3"/>
    <n v="102.49979999999999"/>
    <x v="5"/>
  </r>
  <r>
    <x v="127"/>
    <x v="123"/>
    <d v="2017-01-25T00:00:00"/>
    <x v="1"/>
    <s v="DS-13030"/>
    <s v="Darrin Sayre"/>
    <s v="Home Office"/>
    <x v="0"/>
    <x v="15"/>
    <x v="13"/>
    <x v="1"/>
    <s v="FUR-BO-10001619"/>
    <x v="0"/>
    <x v="0"/>
    <x v="127"/>
    <n v="84.98"/>
    <n v="1"/>
    <n v="18.695599999999999"/>
    <x v="8"/>
  </r>
  <r>
    <x v="128"/>
    <x v="124"/>
    <d v="2014-05-27T00:00:00"/>
    <x v="3"/>
    <s v="MH-17785"/>
    <s v="Maya Herman"/>
    <s v="Corporate"/>
    <x v="0"/>
    <x v="53"/>
    <x v="2"/>
    <x v="1"/>
    <s v="FUR-TA-10002607"/>
    <x v="0"/>
    <x v="2"/>
    <x v="48"/>
    <n v="567.12"/>
    <n v="10"/>
    <n v="-28.356000000000002"/>
    <x v="7"/>
  </r>
  <r>
    <x v="129"/>
    <x v="125"/>
    <d v="2017-10-06T00:00:00"/>
    <x v="1"/>
    <s v="RF-19735"/>
    <s v="Roland Fjeld"/>
    <s v="Consumer"/>
    <x v="0"/>
    <x v="65"/>
    <x v="17"/>
    <x v="3"/>
    <s v="FUR-FU-10003577"/>
    <x v="0"/>
    <x v="3"/>
    <x v="128"/>
    <n v="157.74"/>
    <n v="11"/>
    <n v="56.7864"/>
    <x v="1"/>
  </r>
  <r>
    <x v="130"/>
    <x v="88"/>
    <d v="2015-12-12T00:00:00"/>
    <x v="1"/>
    <s v="MS-17830"/>
    <s v="Melanie Seite"/>
    <s v="Consumer"/>
    <x v="0"/>
    <x v="2"/>
    <x v="2"/>
    <x v="1"/>
    <s v="FUR-FU-10002759"/>
    <x v="0"/>
    <x v="3"/>
    <x v="115"/>
    <n v="79.92"/>
    <n v="4"/>
    <n v="28.7712"/>
    <x v="5"/>
  </r>
  <r>
    <x v="131"/>
    <x v="126"/>
    <d v="2016-09-22T00:00:00"/>
    <x v="1"/>
    <s v="NB-18655"/>
    <s v="Nona Balk"/>
    <s v="Corporate"/>
    <x v="0"/>
    <x v="51"/>
    <x v="1"/>
    <x v="0"/>
    <s v="FUR-TA-10001095"/>
    <x v="0"/>
    <x v="2"/>
    <x v="129"/>
    <n v="383.43799999999999"/>
    <n v="4"/>
    <n v="-167.3184"/>
    <x v="4"/>
  </r>
  <r>
    <x v="132"/>
    <x v="127"/>
    <d v="2014-05-20T00:00:00"/>
    <x v="1"/>
    <s v="AJ-10795"/>
    <s v="Anthony Johnson"/>
    <s v="Corporate"/>
    <x v="0"/>
    <x v="66"/>
    <x v="1"/>
    <x v="0"/>
    <s v="FUR-FU-10004306"/>
    <x v="0"/>
    <x v="3"/>
    <x v="130"/>
    <n v="310.88"/>
    <n v="2"/>
    <n v="23.315999999999999"/>
    <x v="7"/>
  </r>
  <r>
    <x v="133"/>
    <x v="128"/>
    <d v="2016-05-24T00:00:00"/>
    <x v="1"/>
    <s v="LE-16810"/>
    <s v="Laurel Elliston"/>
    <s v="Consumer"/>
    <x v="0"/>
    <x v="58"/>
    <x v="25"/>
    <x v="0"/>
    <s v="FUR-CH-10003746"/>
    <x v="0"/>
    <x v="1"/>
    <x v="131"/>
    <n v="641.96"/>
    <n v="2"/>
    <n v="179.74879999999999"/>
    <x v="7"/>
  </r>
  <r>
    <x v="134"/>
    <x v="129"/>
    <d v="2017-02-05T00:00:00"/>
    <x v="1"/>
    <s v="BV-11245"/>
    <s v="Benjamin Venier"/>
    <s v="Corporate"/>
    <x v="0"/>
    <x v="67"/>
    <x v="26"/>
    <x v="3"/>
    <s v="FUR-FU-10002597"/>
    <x v="0"/>
    <x v="3"/>
    <x v="132"/>
    <n v="34.58"/>
    <n v="7"/>
    <n v="14.5236"/>
    <x v="8"/>
  </r>
  <r>
    <x v="135"/>
    <x v="130"/>
    <d v="2015-08-23T00:00:00"/>
    <x v="2"/>
    <s v="NZ-18565"/>
    <s v="Nick Zandusky"/>
    <s v="Home Office"/>
    <x v="0"/>
    <x v="28"/>
    <x v="2"/>
    <x v="1"/>
    <s v="FUR-CH-10002335"/>
    <x v="0"/>
    <x v="1"/>
    <x v="133"/>
    <n v="544.00800000000004"/>
    <n v="3"/>
    <n v="40.800600000000003"/>
    <x v="10"/>
  </r>
  <r>
    <x v="136"/>
    <x v="131"/>
    <d v="2015-10-06T00:00:00"/>
    <x v="0"/>
    <s v="BM-11785"/>
    <s v="Bryan Mills"/>
    <s v="Consumer"/>
    <x v="0"/>
    <x v="29"/>
    <x v="15"/>
    <x v="2"/>
    <s v="FUR-BO-10004409"/>
    <x v="0"/>
    <x v="0"/>
    <x v="134"/>
    <n v="35.49"/>
    <n v="1"/>
    <n v="-15.615600000000001"/>
    <x v="1"/>
  </r>
  <r>
    <x v="137"/>
    <x v="132"/>
    <d v="2015-12-16T00:00:00"/>
    <x v="1"/>
    <s v="LT-17110"/>
    <s v="Liz Thompson"/>
    <s v="Consumer"/>
    <x v="0"/>
    <x v="68"/>
    <x v="2"/>
    <x v="1"/>
    <s v="FUR-CH-10004675"/>
    <x v="0"/>
    <x v="1"/>
    <x v="135"/>
    <n v="348.928"/>
    <n v="2"/>
    <n v="34.892800000000001"/>
    <x v="5"/>
  </r>
  <r>
    <x v="138"/>
    <x v="133"/>
    <d v="2015-06-30T00:00:00"/>
    <x v="1"/>
    <s v="SA-20830"/>
    <s v="Sue Ann Reed"/>
    <s v="Consumer"/>
    <x v="0"/>
    <x v="52"/>
    <x v="25"/>
    <x v="0"/>
    <s v="FUR-CH-10003199"/>
    <x v="0"/>
    <x v="1"/>
    <x v="136"/>
    <n v="332.94"/>
    <n v="3"/>
    <n v="79.905600000000007"/>
    <x v="2"/>
  </r>
  <r>
    <x v="139"/>
    <x v="61"/>
    <d v="2015-12-03T00:00:00"/>
    <x v="1"/>
    <s v="CD-11920"/>
    <s v="Carlos Daly"/>
    <s v="Consumer"/>
    <x v="0"/>
    <x v="69"/>
    <x v="2"/>
    <x v="1"/>
    <s v="FUR-CH-10002647"/>
    <x v="0"/>
    <x v="1"/>
    <x v="99"/>
    <n v="283.92"/>
    <n v="5"/>
    <n v="17.745000000000001"/>
    <x v="0"/>
  </r>
  <r>
    <x v="140"/>
    <x v="134"/>
    <d v="2017-02-23T00:00:00"/>
    <x v="2"/>
    <s v="HW-14935"/>
    <s v="Helen Wasserman"/>
    <s v="Corporate"/>
    <x v="0"/>
    <x v="53"/>
    <x v="2"/>
    <x v="1"/>
    <s v="FUR-FU-10004090"/>
    <x v="0"/>
    <x v="3"/>
    <x v="137"/>
    <n v="22.23"/>
    <n v="1"/>
    <n v="7.3358999999999996"/>
    <x v="11"/>
  </r>
  <r>
    <x v="141"/>
    <x v="135"/>
    <d v="2017-04-24T00:00:00"/>
    <x v="2"/>
    <s v="GM-14440"/>
    <s v="Gary McGarr"/>
    <s v="Consumer"/>
    <x v="0"/>
    <x v="28"/>
    <x v="2"/>
    <x v="1"/>
    <s v="FUR-FU-10000794"/>
    <x v="0"/>
    <x v="3"/>
    <x v="138"/>
    <n v="18.28"/>
    <n v="2"/>
    <n v="6.2152000000000003"/>
    <x v="6"/>
  </r>
  <r>
    <x v="142"/>
    <x v="136"/>
    <d v="2015-02-05T00:00:00"/>
    <x v="2"/>
    <s v="AA-10375"/>
    <s v="Allen Armold"/>
    <s v="Consumer"/>
    <x v="0"/>
    <x v="70"/>
    <x v="27"/>
    <x v="3"/>
    <s v="FUR-FU-10003347"/>
    <x v="0"/>
    <x v="3"/>
    <x v="80"/>
    <n v="28.4"/>
    <n v="2"/>
    <n v="11.076000000000001"/>
    <x v="11"/>
  </r>
  <r>
    <x v="143"/>
    <x v="137"/>
    <d v="2014-10-15T00:00:00"/>
    <x v="2"/>
    <s v="ZC-21910"/>
    <s v="Zuschuss Carroll"/>
    <s v="Consumer"/>
    <x v="0"/>
    <x v="71"/>
    <x v="13"/>
    <x v="1"/>
    <s v="FUR-TA-10002903"/>
    <x v="0"/>
    <x v="2"/>
    <x v="52"/>
    <n v="1298.55"/>
    <n v="5"/>
    <n v="311.65199999999999"/>
    <x v="1"/>
  </r>
  <r>
    <x v="144"/>
    <x v="138"/>
    <d v="2017-05-14T00:00:00"/>
    <x v="3"/>
    <s v="PJ-19015"/>
    <s v="Pauline Johnson"/>
    <s v="Consumer"/>
    <x v="0"/>
    <x v="72"/>
    <x v="2"/>
    <x v="1"/>
    <s v="FUR-FU-10000794"/>
    <x v="0"/>
    <x v="3"/>
    <x v="138"/>
    <n v="18.28"/>
    <n v="2"/>
    <n v="6.2152000000000003"/>
    <x v="7"/>
  </r>
  <r>
    <x v="145"/>
    <x v="139"/>
    <d v="2014-07-02T00:00:00"/>
    <x v="1"/>
    <s v="CA-12775"/>
    <s v="Cynthia Arntzen"/>
    <s v="Consumer"/>
    <x v="0"/>
    <x v="3"/>
    <x v="3"/>
    <x v="2"/>
    <s v="FUR-CH-10001394"/>
    <x v="0"/>
    <x v="1"/>
    <x v="139"/>
    <n v="1228.4649999999999"/>
    <n v="5"/>
    <n v="0"/>
    <x v="2"/>
  </r>
  <r>
    <x v="146"/>
    <x v="140"/>
    <d v="2017-06-21T00:00:00"/>
    <x v="0"/>
    <s v="JE-15745"/>
    <s v="Joel Eaton"/>
    <s v="Consumer"/>
    <x v="0"/>
    <x v="73"/>
    <x v="0"/>
    <x v="0"/>
    <s v="FUR-CH-10000665"/>
    <x v="0"/>
    <x v="1"/>
    <x v="140"/>
    <n v="301.95999999999998"/>
    <n v="2"/>
    <n v="90.587999999999994"/>
    <x v="2"/>
  </r>
  <r>
    <x v="147"/>
    <x v="141"/>
    <d v="2015-11-25T00:00:00"/>
    <x v="1"/>
    <s v="BM-11650"/>
    <s v="Brian Moss"/>
    <s v="Corporate"/>
    <x v="0"/>
    <x v="13"/>
    <x v="7"/>
    <x v="2"/>
    <s v="FUR-BO-10001519"/>
    <x v="0"/>
    <x v="0"/>
    <x v="141"/>
    <n v="186.048"/>
    <n v="4"/>
    <n v="9.3024000000000004"/>
    <x v="0"/>
  </r>
  <r>
    <x v="148"/>
    <x v="142"/>
    <d v="2015-10-17T00:00:00"/>
    <x v="1"/>
    <s v="AF-10885"/>
    <s v="Art Foster"/>
    <s v="Consumer"/>
    <x v="0"/>
    <x v="74"/>
    <x v="0"/>
    <x v="0"/>
    <s v="FUR-CH-10001891"/>
    <x v="0"/>
    <x v="1"/>
    <x v="55"/>
    <n v="287.94"/>
    <n v="3"/>
    <n v="77.743799999999993"/>
    <x v="1"/>
  </r>
  <r>
    <x v="149"/>
    <x v="143"/>
    <d v="2017-01-06T00:00:00"/>
    <x v="1"/>
    <s v="GA-14725"/>
    <s v="Guy Armstrong"/>
    <s v="Consumer"/>
    <x v="0"/>
    <x v="75"/>
    <x v="15"/>
    <x v="2"/>
    <s v="FUR-FU-10003878"/>
    <x v="0"/>
    <x v="3"/>
    <x v="142"/>
    <n v="48.896000000000001"/>
    <n v="4"/>
    <n v="8.5568000000000008"/>
    <x v="8"/>
  </r>
  <r>
    <x v="150"/>
    <x v="144"/>
    <d v="2016-02-24T00:00:00"/>
    <x v="1"/>
    <s v="GT-14710"/>
    <s v="Greg Tran"/>
    <s v="Consumer"/>
    <x v="0"/>
    <x v="13"/>
    <x v="7"/>
    <x v="2"/>
    <s v="FUR-FU-10004090"/>
    <x v="0"/>
    <x v="3"/>
    <x v="137"/>
    <n v="44.46"/>
    <n v="2"/>
    <n v="14.671799999999999"/>
    <x v="11"/>
  </r>
  <r>
    <x v="151"/>
    <x v="145"/>
    <d v="2014-01-15T00:00:00"/>
    <x v="1"/>
    <s v="AJ-10780"/>
    <s v="Anthony Jacobs"/>
    <s v="Corporate"/>
    <x v="0"/>
    <x v="76"/>
    <x v="25"/>
    <x v="0"/>
    <s v="FUR-FU-10000965"/>
    <x v="0"/>
    <x v="3"/>
    <x v="143"/>
    <n v="51.94"/>
    <n v="1"/>
    <n v="21.295400000000001"/>
    <x v="8"/>
  </r>
  <r>
    <x v="152"/>
    <x v="146"/>
    <d v="2016-01-21T00:00:00"/>
    <x v="1"/>
    <s v="CC-12430"/>
    <s v="Chuck Clark"/>
    <s v="Home Office"/>
    <x v="0"/>
    <x v="41"/>
    <x v="28"/>
    <x v="2"/>
    <s v="FUR-FU-10004017"/>
    <x v="0"/>
    <x v="3"/>
    <x v="45"/>
    <n v="322.58999999999997"/>
    <n v="3"/>
    <n v="64.518000000000001"/>
    <x v="8"/>
  </r>
  <r>
    <x v="153"/>
    <x v="147"/>
    <d v="2017-12-02T00:00:00"/>
    <x v="0"/>
    <s v="HP-14815"/>
    <s v="Harold Pawlan"/>
    <s v="Home Office"/>
    <x v="0"/>
    <x v="13"/>
    <x v="7"/>
    <x v="2"/>
    <s v="FUR-CH-10004287"/>
    <x v="0"/>
    <x v="1"/>
    <x v="32"/>
    <n v="1242.9000000000001"/>
    <n v="5"/>
    <n v="262.39"/>
    <x v="0"/>
  </r>
  <r>
    <x v="154"/>
    <x v="148"/>
    <d v="2016-10-24T00:00:00"/>
    <x v="2"/>
    <s v="PM-19135"/>
    <s v="Peter McVee"/>
    <s v="Home Office"/>
    <x v="0"/>
    <x v="25"/>
    <x v="17"/>
    <x v="3"/>
    <s v="FUR-FU-10000732"/>
    <x v="0"/>
    <x v="3"/>
    <x v="113"/>
    <n v="31.4"/>
    <n v="5"/>
    <n v="10.048"/>
    <x v="1"/>
  </r>
  <r>
    <x v="155"/>
    <x v="149"/>
    <d v="2014-05-04T00:00:00"/>
    <x v="1"/>
    <s v="LL-16840"/>
    <s v="Lauren Leatherbury"/>
    <s v="Consumer"/>
    <x v="0"/>
    <x v="77"/>
    <x v="7"/>
    <x v="2"/>
    <s v="FUR-FU-10001424"/>
    <x v="0"/>
    <x v="3"/>
    <x v="144"/>
    <n v="17.46"/>
    <n v="2"/>
    <n v="5.9363999999999999"/>
    <x v="6"/>
  </r>
  <r>
    <x v="156"/>
    <x v="150"/>
    <d v="2018-01-03T00:00:00"/>
    <x v="1"/>
    <s v="PO-18865"/>
    <s v="Patrick O'Donnell"/>
    <s v="Consumer"/>
    <x v="0"/>
    <x v="13"/>
    <x v="7"/>
    <x v="2"/>
    <s v="FUR-BO-10003441"/>
    <x v="0"/>
    <x v="0"/>
    <x v="145"/>
    <n v="323.13600000000002"/>
    <n v="4"/>
    <n v="12.117599999999999"/>
    <x v="5"/>
  </r>
  <r>
    <x v="157"/>
    <x v="151"/>
    <d v="2015-06-07T00:00:00"/>
    <x v="1"/>
    <s v="SC-20050"/>
    <s v="Sample Company A"/>
    <s v="Home Office"/>
    <x v="0"/>
    <x v="78"/>
    <x v="19"/>
    <x v="2"/>
    <s v="FUR-FU-10001935"/>
    <x v="0"/>
    <x v="3"/>
    <x v="73"/>
    <n v="22.2"/>
    <n v="6"/>
    <n v="9.1020000000000003"/>
    <x v="7"/>
  </r>
  <r>
    <x v="158"/>
    <x v="152"/>
    <d v="2017-11-29T00:00:00"/>
    <x v="2"/>
    <s v="BM-11650"/>
    <s v="Brian Moss"/>
    <s v="Corporate"/>
    <x v="0"/>
    <x v="79"/>
    <x v="16"/>
    <x v="3"/>
    <s v="FUR-FU-10004091"/>
    <x v="0"/>
    <x v="3"/>
    <x v="54"/>
    <n v="46.94"/>
    <n v="1"/>
    <n v="19.2454"/>
    <x v="0"/>
  </r>
  <r>
    <x v="159"/>
    <x v="153"/>
    <d v="2014-06-21T00:00:00"/>
    <x v="1"/>
    <s v="KL-16555"/>
    <s v="Kelly Lampkin"/>
    <s v="Corporate"/>
    <x v="0"/>
    <x v="21"/>
    <x v="5"/>
    <x v="3"/>
    <s v="FUR-TA-10001520"/>
    <x v="0"/>
    <x v="2"/>
    <x v="146"/>
    <n v="99.918000000000006"/>
    <n v="2"/>
    <n v="-18.5562"/>
    <x v="2"/>
  </r>
  <r>
    <x v="159"/>
    <x v="153"/>
    <d v="2014-06-21T00:00:00"/>
    <x v="1"/>
    <s v="KL-16555"/>
    <s v="Kelly Lampkin"/>
    <s v="Corporate"/>
    <x v="0"/>
    <x v="21"/>
    <x v="5"/>
    <x v="3"/>
    <s v="FUR-CH-10003379"/>
    <x v="0"/>
    <x v="1"/>
    <x v="96"/>
    <n v="797.94399999999996"/>
    <n v="4"/>
    <n v="-56.996000000000002"/>
    <x v="2"/>
  </r>
  <r>
    <x v="160"/>
    <x v="154"/>
    <d v="2016-12-20T00:00:00"/>
    <x v="1"/>
    <s v="RW-19630"/>
    <s v="Rob Williams"/>
    <s v="Corporate"/>
    <x v="0"/>
    <x v="80"/>
    <x v="2"/>
    <x v="1"/>
    <s v="FUR-TA-10000577"/>
    <x v="0"/>
    <x v="2"/>
    <x v="2"/>
    <n v="1114.2719999999999"/>
    <n v="4"/>
    <n v="41.785200000000003"/>
    <x v="5"/>
  </r>
  <r>
    <x v="161"/>
    <x v="155"/>
    <d v="2015-07-28T00:00:00"/>
    <x v="2"/>
    <s v="CA-12775"/>
    <s v="Cynthia Arntzen"/>
    <s v="Consumer"/>
    <x v="0"/>
    <x v="81"/>
    <x v="22"/>
    <x v="1"/>
    <s v="FUR-TA-10002356"/>
    <x v="0"/>
    <x v="2"/>
    <x v="147"/>
    <n v="393.16500000000002"/>
    <n v="3"/>
    <n v="-204.44579999999999"/>
    <x v="3"/>
  </r>
  <r>
    <x v="162"/>
    <x v="156"/>
    <d v="2017-12-02T00:00:00"/>
    <x v="1"/>
    <s v="RB-19795"/>
    <s v="Ross Baird"/>
    <s v="Home Office"/>
    <x v="0"/>
    <x v="3"/>
    <x v="3"/>
    <x v="2"/>
    <s v="FUR-FU-10003601"/>
    <x v="0"/>
    <x v="3"/>
    <x v="148"/>
    <n v="516.48800000000006"/>
    <n v="7"/>
    <n v="-12.9122"/>
    <x v="0"/>
  </r>
  <r>
    <x v="162"/>
    <x v="156"/>
    <d v="2017-12-02T00:00:00"/>
    <x v="1"/>
    <s v="RB-19795"/>
    <s v="Ross Baird"/>
    <s v="Home Office"/>
    <x v="0"/>
    <x v="3"/>
    <x v="3"/>
    <x v="2"/>
    <s v="FUR-FU-10000576"/>
    <x v="0"/>
    <x v="3"/>
    <x v="46"/>
    <n v="1007.232"/>
    <n v="6"/>
    <n v="75.542400000000001"/>
    <x v="0"/>
  </r>
  <r>
    <x v="162"/>
    <x v="156"/>
    <d v="2017-12-02T00:00:00"/>
    <x v="1"/>
    <s v="RB-19795"/>
    <s v="Ross Baird"/>
    <s v="Home Office"/>
    <x v="0"/>
    <x v="3"/>
    <x v="3"/>
    <x v="2"/>
    <s v="FUR-TA-10004154"/>
    <x v="0"/>
    <x v="2"/>
    <x v="149"/>
    <n v="2065.3200000000002"/>
    <n v="12"/>
    <n v="-619.596"/>
    <x v="0"/>
  </r>
  <r>
    <x v="163"/>
    <x v="157"/>
    <d v="2017-04-07T00:00:00"/>
    <x v="1"/>
    <s v="KH-16360"/>
    <s v="Katherine Hughes"/>
    <s v="Consumer"/>
    <x v="0"/>
    <x v="3"/>
    <x v="3"/>
    <x v="2"/>
    <s v="FUR-FU-10001940"/>
    <x v="0"/>
    <x v="3"/>
    <x v="47"/>
    <n v="25.472000000000001"/>
    <n v="4"/>
    <n v="7.6416000000000004"/>
    <x v="6"/>
  </r>
  <r>
    <x v="164"/>
    <x v="158"/>
    <d v="2018-01-01T00:00:00"/>
    <x v="1"/>
    <s v="GH-14665"/>
    <s v="Greg Hansen"/>
    <s v="Consumer"/>
    <x v="0"/>
    <x v="82"/>
    <x v="5"/>
    <x v="3"/>
    <s v="FUR-BO-10004709"/>
    <x v="0"/>
    <x v="0"/>
    <x v="53"/>
    <n v="78.852800000000002"/>
    <n v="2"/>
    <n v="-11.596"/>
    <x v="5"/>
  </r>
  <r>
    <x v="165"/>
    <x v="159"/>
    <d v="2015-09-22T00:00:00"/>
    <x v="3"/>
    <s v="DL-12925"/>
    <s v="Daniel Lacy"/>
    <s v="Consumer"/>
    <x v="0"/>
    <x v="64"/>
    <x v="2"/>
    <x v="1"/>
    <s v="FUR-FU-10004188"/>
    <x v="0"/>
    <x v="3"/>
    <x v="150"/>
    <n v="204.6"/>
    <n v="2"/>
    <n v="53.195999999999998"/>
    <x v="4"/>
  </r>
  <r>
    <x v="166"/>
    <x v="160"/>
    <d v="2017-11-19T00:00:00"/>
    <x v="1"/>
    <s v="LW-16990"/>
    <s v="Lindsay Williams"/>
    <s v="Corporate"/>
    <x v="0"/>
    <x v="28"/>
    <x v="2"/>
    <x v="1"/>
    <s v="FUR-CH-10002965"/>
    <x v="0"/>
    <x v="1"/>
    <x v="50"/>
    <n v="321.56799999999998"/>
    <n v="2"/>
    <n v="28.1372"/>
    <x v="0"/>
  </r>
  <r>
    <x v="167"/>
    <x v="161"/>
    <d v="2014-01-18T00:00:00"/>
    <x v="0"/>
    <s v="DL-13315"/>
    <s v="Delfina Latchford"/>
    <s v="Consumer"/>
    <x v="0"/>
    <x v="3"/>
    <x v="3"/>
    <x v="2"/>
    <s v="FUR-FU-10001095"/>
    <x v="0"/>
    <x v="3"/>
    <x v="151"/>
    <n v="127.104"/>
    <n v="6"/>
    <n v="28.598400000000002"/>
    <x v="8"/>
  </r>
  <r>
    <x v="168"/>
    <x v="162"/>
    <d v="2016-10-08T00:00:00"/>
    <x v="1"/>
    <s v="EB-13870"/>
    <s v="Emily Burns"/>
    <s v="Consumer"/>
    <x v="0"/>
    <x v="13"/>
    <x v="7"/>
    <x v="2"/>
    <s v="FUR-CH-10003199"/>
    <x v="0"/>
    <x v="1"/>
    <x v="136"/>
    <n v="599.29200000000003"/>
    <n v="6"/>
    <n v="93.223200000000006"/>
    <x v="1"/>
  </r>
  <r>
    <x v="169"/>
    <x v="163"/>
    <d v="2014-11-14T00:00:00"/>
    <x v="0"/>
    <s v="TZ-21580"/>
    <s v="Tracy Zic"/>
    <s v="Consumer"/>
    <x v="0"/>
    <x v="74"/>
    <x v="12"/>
    <x v="1"/>
    <s v="FUR-CH-10000665"/>
    <x v="0"/>
    <x v="1"/>
    <x v="140"/>
    <n v="603.91999999999996"/>
    <n v="5"/>
    <n v="75.489999999999995"/>
    <x v="0"/>
  </r>
  <r>
    <x v="170"/>
    <x v="164"/>
    <d v="2017-05-26T00:00:00"/>
    <x v="1"/>
    <s v="JG-15805"/>
    <s v="John Grady"/>
    <s v="Corporate"/>
    <x v="0"/>
    <x v="83"/>
    <x v="7"/>
    <x v="2"/>
    <s v="FUR-FU-10004071"/>
    <x v="0"/>
    <x v="3"/>
    <x v="119"/>
    <n v="520.04999999999995"/>
    <n v="5"/>
    <n v="72.807000000000002"/>
    <x v="7"/>
  </r>
  <r>
    <x v="171"/>
    <x v="165"/>
    <d v="2015-03-31T00:00:00"/>
    <x v="0"/>
    <s v="SL-20155"/>
    <s v="Sara Luxemburg"/>
    <s v="Home Office"/>
    <x v="0"/>
    <x v="51"/>
    <x v="1"/>
    <x v="0"/>
    <s v="FUR-CH-10004086"/>
    <x v="0"/>
    <x v="1"/>
    <x v="61"/>
    <n v="1166.92"/>
    <n v="5"/>
    <n v="131.27850000000001"/>
    <x v="9"/>
  </r>
  <r>
    <x v="172"/>
    <x v="166"/>
    <d v="2015-11-03T00:00:00"/>
    <x v="1"/>
    <s v="RD-19585"/>
    <s v="Rob Dowd"/>
    <s v="Consumer"/>
    <x v="0"/>
    <x v="0"/>
    <x v="0"/>
    <x v="0"/>
    <s v="FUR-FU-10002885"/>
    <x v="0"/>
    <x v="3"/>
    <x v="152"/>
    <n v="24.1"/>
    <n v="5"/>
    <n v="9.1579999999999995"/>
    <x v="1"/>
  </r>
  <r>
    <x v="172"/>
    <x v="166"/>
    <d v="2015-11-03T00:00:00"/>
    <x v="1"/>
    <s v="RD-19585"/>
    <s v="Rob Dowd"/>
    <s v="Consumer"/>
    <x v="0"/>
    <x v="0"/>
    <x v="0"/>
    <x v="0"/>
    <s v="FUR-FU-10001918"/>
    <x v="0"/>
    <x v="3"/>
    <x v="60"/>
    <n v="33.11"/>
    <n v="7"/>
    <n v="12.9129"/>
    <x v="1"/>
  </r>
  <r>
    <x v="173"/>
    <x v="167"/>
    <d v="2015-07-31T00:00:00"/>
    <x v="3"/>
    <s v="RH-19495"/>
    <s v="Rick Hansen"/>
    <s v="Consumer"/>
    <x v="0"/>
    <x v="13"/>
    <x v="7"/>
    <x v="2"/>
    <s v="FUR-TA-10002903"/>
    <x v="0"/>
    <x v="2"/>
    <x v="52"/>
    <n v="1090.7819999999999"/>
    <n v="7"/>
    <n v="-290.87520000000001"/>
    <x v="3"/>
  </r>
  <r>
    <x v="174"/>
    <x v="168"/>
    <d v="2014-11-26T00:00:00"/>
    <x v="2"/>
    <s v="VG-21790"/>
    <s v="Vivek Gonzalez"/>
    <s v="Consumer"/>
    <x v="0"/>
    <x v="53"/>
    <x v="2"/>
    <x v="1"/>
    <s v="FUR-FU-10001602"/>
    <x v="0"/>
    <x v="3"/>
    <x v="153"/>
    <n v="151.72"/>
    <n v="4"/>
    <n v="27.3096"/>
    <x v="0"/>
  </r>
  <r>
    <x v="175"/>
    <x v="169"/>
    <d v="2017-06-21T00:00:00"/>
    <x v="0"/>
    <s v="PF-19165"/>
    <s v="Philip Fox"/>
    <s v="Consumer"/>
    <x v="0"/>
    <x v="84"/>
    <x v="13"/>
    <x v="1"/>
    <s v="FUR-FU-10004848"/>
    <x v="0"/>
    <x v="3"/>
    <x v="7"/>
    <n v="155.25"/>
    <n v="3"/>
    <n v="46.575000000000003"/>
    <x v="2"/>
  </r>
  <r>
    <x v="176"/>
    <x v="170"/>
    <d v="2015-12-24T00:00:00"/>
    <x v="0"/>
    <s v="JS-15880"/>
    <s v="John Stevenson"/>
    <s v="Consumer"/>
    <x v="0"/>
    <x v="15"/>
    <x v="13"/>
    <x v="1"/>
    <s v="FUR-TA-10003748"/>
    <x v="0"/>
    <x v="2"/>
    <x v="40"/>
    <n v="1618.37"/>
    <n v="13"/>
    <n v="356.04140000000001"/>
    <x v="5"/>
  </r>
  <r>
    <x v="177"/>
    <x v="171"/>
    <d v="2015-07-10T00:00:00"/>
    <x v="1"/>
    <s v="KM-16225"/>
    <s v="Kalyca Meade"/>
    <s v="Corporate"/>
    <x v="0"/>
    <x v="13"/>
    <x v="7"/>
    <x v="2"/>
    <s v="FUR-FU-10002191"/>
    <x v="0"/>
    <x v="3"/>
    <x v="154"/>
    <n v="13.96"/>
    <n v="2"/>
    <n v="6.7008000000000001"/>
    <x v="3"/>
  </r>
  <r>
    <x v="177"/>
    <x v="171"/>
    <d v="2015-07-10T00:00:00"/>
    <x v="1"/>
    <s v="KM-16225"/>
    <s v="Kalyca Meade"/>
    <s v="Corporate"/>
    <x v="0"/>
    <x v="13"/>
    <x v="7"/>
    <x v="2"/>
    <s v="FUR-FU-10000965"/>
    <x v="0"/>
    <x v="3"/>
    <x v="143"/>
    <n v="155.82"/>
    <n v="3"/>
    <n v="63.886200000000002"/>
    <x v="3"/>
  </r>
  <r>
    <x v="178"/>
    <x v="172"/>
    <d v="2015-05-03T00:00:00"/>
    <x v="1"/>
    <s v="GT-14710"/>
    <s v="Greg Tran"/>
    <s v="Consumer"/>
    <x v="0"/>
    <x v="85"/>
    <x v="29"/>
    <x v="2"/>
    <s v="FUR-CH-10000309"/>
    <x v="0"/>
    <x v="1"/>
    <x v="155"/>
    <n v="1267.53"/>
    <n v="3"/>
    <n v="316.88249999999999"/>
    <x v="6"/>
  </r>
  <r>
    <x v="179"/>
    <x v="173"/>
    <d v="2014-07-15T00:00:00"/>
    <x v="1"/>
    <s v="LA-16780"/>
    <s v="Laura Armstrong"/>
    <s v="Corporate"/>
    <x v="0"/>
    <x v="33"/>
    <x v="18"/>
    <x v="2"/>
    <s v="FUR-CH-10003379"/>
    <x v="0"/>
    <x v="1"/>
    <x v="96"/>
    <n v="854.94"/>
    <n v="3"/>
    <n v="213.73500000000001"/>
    <x v="3"/>
  </r>
  <r>
    <x v="179"/>
    <x v="173"/>
    <d v="2014-07-15T00:00:00"/>
    <x v="1"/>
    <s v="LA-16780"/>
    <s v="Laura Armstrong"/>
    <s v="Corporate"/>
    <x v="0"/>
    <x v="33"/>
    <x v="18"/>
    <x v="2"/>
    <s v="FUR-FU-10000629"/>
    <x v="0"/>
    <x v="3"/>
    <x v="22"/>
    <n v="124.11"/>
    <n v="9"/>
    <n v="52.126199999999997"/>
    <x v="3"/>
  </r>
  <r>
    <x v="180"/>
    <x v="74"/>
    <d v="2016-04-26T00:00:00"/>
    <x v="1"/>
    <s v="EL-13735"/>
    <s v="Ed Ludwig"/>
    <s v="Home Office"/>
    <x v="0"/>
    <x v="86"/>
    <x v="23"/>
    <x v="3"/>
    <s v="FUR-FU-10003975"/>
    <x v="0"/>
    <x v="3"/>
    <x v="156"/>
    <n v="86.62"/>
    <n v="2"/>
    <n v="8.6620000000000008"/>
    <x v="6"/>
  </r>
  <r>
    <x v="181"/>
    <x v="174"/>
    <d v="2016-03-24T00:00:00"/>
    <x v="1"/>
    <s v="RD-19660"/>
    <s v="Robert Dilbeck"/>
    <s v="Home Office"/>
    <x v="0"/>
    <x v="87"/>
    <x v="23"/>
    <x v="3"/>
    <s v="FUR-TA-10001095"/>
    <x v="0"/>
    <x v="2"/>
    <x v="129"/>
    <n v="697.16"/>
    <n v="4"/>
    <n v="146.40360000000001"/>
    <x v="9"/>
  </r>
  <r>
    <x v="182"/>
    <x v="175"/>
    <d v="2016-09-09T00:00:00"/>
    <x v="0"/>
    <s v="MO-17500"/>
    <s v="Mary O'Rourke"/>
    <s v="Consumer"/>
    <x v="0"/>
    <x v="13"/>
    <x v="7"/>
    <x v="2"/>
    <s v="FUR-BO-10001811"/>
    <x v="0"/>
    <x v="0"/>
    <x v="157"/>
    <n v="722.35199999999998"/>
    <n v="3"/>
    <n v="90.293999999999997"/>
    <x v="4"/>
  </r>
  <r>
    <x v="183"/>
    <x v="176"/>
    <d v="2017-10-16T00:00:00"/>
    <x v="1"/>
    <s v="SN-20710"/>
    <s v="Steve Nguyen"/>
    <s v="Home Office"/>
    <x v="0"/>
    <x v="88"/>
    <x v="8"/>
    <x v="3"/>
    <s v="FUR-CH-10002304"/>
    <x v="0"/>
    <x v="1"/>
    <x v="158"/>
    <n v="254.60400000000001"/>
    <n v="14"/>
    <n v="-18.186"/>
    <x v="1"/>
  </r>
  <r>
    <x v="184"/>
    <x v="177"/>
    <d v="2016-03-13T00:00:00"/>
    <x v="1"/>
    <s v="ZC-21910"/>
    <s v="Zuschuss Carroll"/>
    <s v="Consumer"/>
    <x v="0"/>
    <x v="89"/>
    <x v="1"/>
    <x v="0"/>
    <s v="FUR-FU-10004006"/>
    <x v="0"/>
    <x v="3"/>
    <x v="23"/>
    <n v="102.36"/>
    <n v="3"/>
    <n v="-3.8384999999999998"/>
    <x v="9"/>
  </r>
  <r>
    <x v="185"/>
    <x v="97"/>
    <d v="2015-07-05T00:00:00"/>
    <x v="2"/>
    <s v="DG-13300"/>
    <s v="Deirdre Greer"/>
    <s v="Corporate"/>
    <x v="0"/>
    <x v="3"/>
    <x v="3"/>
    <x v="2"/>
    <s v="FUR-FU-10000293"/>
    <x v="0"/>
    <x v="3"/>
    <x v="159"/>
    <n v="168.464"/>
    <n v="2"/>
    <n v="-29.481200000000001"/>
    <x v="3"/>
  </r>
  <r>
    <x v="185"/>
    <x v="97"/>
    <d v="2015-07-05T00:00:00"/>
    <x v="2"/>
    <s v="DG-13300"/>
    <s v="Deirdre Greer"/>
    <s v="Corporate"/>
    <x v="0"/>
    <x v="3"/>
    <x v="3"/>
    <x v="2"/>
    <s v="FUR-FU-10004460"/>
    <x v="0"/>
    <x v="3"/>
    <x v="160"/>
    <n v="282.88799999999998"/>
    <n v="9"/>
    <n v="56.577599999999997"/>
    <x v="3"/>
  </r>
  <r>
    <x v="186"/>
    <x v="178"/>
    <d v="2015-04-08T00:00:00"/>
    <x v="1"/>
    <s v="NF-18595"/>
    <s v="Nicole Fjeld"/>
    <s v="Home Office"/>
    <x v="0"/>
    <x v="13"/>
    <x v="7"/>
    <x v="2"/>
    <s v="FUR-FU-10004622"/>
    <x v="0"/>
    <x v="3"/>
    <x v="161"/>
    <n v="108.4"/>
    <n v="2"/>
    <n v="22.763999999999999"/>
    <x v="6"/>
  </r>
  <r>
    <x v="187"/>
    <x v="179"/>
    <d v="2015-03-29T00:00:00"/>
    <x v="1"/>
    <s v="JD-16060"/>
    <s v="Julia Dunbar"/>
    <s v="Consumer"/>
    <x v="0"/>
    <x v="6"/>
    <x v="5"/>
    <x v="3"/>
    <s v="FUR-CH-10003396"/>
    <x v="0"/>
    <x v="1"/>
    <x v="81"/>
    <n v="107.77200000000001"/>
    <n v="2"/>
    <n v="-29.252400000000002"/>
    <x v="9"/>
  </r>
  <r>
    <x v="188"/>
    <x v="180"/>
    <d v="2016-10-02T00:00:00"/>
    <x v="2"/>
    <s v="BD-11620"/>
    <s v="Brian DeCherney"/>
    <s v="Consumer"/>
    <x v="0"/>
    <x v="28"/>
    <x v="2"/>
    <x v="1"/>
    <s v="FUR-CH-10001146"/>
    <x v="0"/>
    <x v="1"/>
    <x v="15"/>
    <n v="194.84800000000001"/>
    <n v="4"/>
    <n v="12.178000000000001"/>
    <x v="1"/>
  </r>
  <r>
    <x v="189"/>
    <x v="101"/>
    <d v="2015-12-04T00:00:00"/>
    <x v="1"/>
    <s v="BT-11395"/>
    <s v="Bill Tyler"/>
    <s v="Corporate"/>
    <x v="0"/>
    <x v="25"/>
    <x v="17"/>
    <x v="3"/>
    <s v="FUR-CH-10002880"/>
    <x v="0"/>
    <x v="1"/>
    <x v="162"/>
    <n v="1106.9100000000001"/>
    <n v="9"/>
    <n v="121.76009999999999"/>
    <x v="0"/>
  </r>
  <r>
    <x v="190"/>
    <x v="181"/>
    <d v="2016-03-05T00:00:00"/>
    <x v="1"/>
    <s v="KD-16270"/>
    <s v="Karen Daniels"/>
    <s v="Consumer"/>
    <x v="0"/>
    <x v="90"/>
    <x v="7"/>
    <x v="2"/>
    <s v="FUR-TA-10001095"/>
    <x v="0"/>
    <x v="2"/>
    <x v="129"/>
    <n v="836.59199999999998"/>
    <n v="8"/>
    <n v="-264.92079999999999"/>
    <x v="9"/>
  </r>
  <r>
    <x v="191"/>
    <x v="182"/>
    <d v="2017-06-10T00:00:00"/>
    <x v="1"/>
    <s v="LW-16990"/>
    <s v="Lindsay Williams"/>
    <s v="Corporate"/>
    <x v="0"/>
    <x v="91"/>
    <x v="30"/>
    <x v="0"/>
    <s v="FUR-FU-10001967"/>
    <x v="0"/>
    <x v="3"/>
    <x v="65"/>
    <n v="31.984000000000002"/>
    <n v="2"/>
    <n v="1.9990000000000001"/>
    <x v="2"/>
  </r>
  <r>
    <x v="192"/>
    <x v="183"/>
    <d v="2014-06-28T00:00:00"/>
    <x v="2"/>
    <s v="NS-18640"/>
    <s v="Noel Staavos"/>
    <s v="Corporate"/>
    <x v="0"/>
    <x v="2"/>
    <x v="2"/>
    <x v="1"/>
    <s v="FUR-TA-10004147"/>
    <x v="0"/>
    <x v="2"/>
    <x v="163"/>
    <n v="447.84"/>
    <n v="5"/>
    <n v="11.196"/>
    <x v="2"/>
  </r>
  <r>
    <x v="193"/>
    <x v="184"/>
    <d v="2016-06-17T00:00:00"/>
    <x v="2"/>
    <s v="PV-18985"/>
    <s v="Paul Van Hugh"/>
    <s v="Home Office"/>
    <x v="0"/>
    <x v="28"/>
    <x v="2"/>
    <x v="1"/>
    <s v="FUR-FU-10000206"/>
    <x v="0"/>
    <x v="3"/>
    <x v="84"/>
    <n v="8.73"/>
    <n v="3"/>
    <n v="4.1031000000000004"/>
    <x v="2"/>
  </r>
  <r>
    <x v="194"/>
    <x v="185"/>
    <d v="2016-11-24T00:00:00"/>
    <x v="1"/>
    <s v="EH-13945"/>
    <s v="Eric Hoffmann"/>
    <s v="Consumer"/>
    <x v="0"/>
    <x v="6"/>
    <x v="5"/>
    <x v="3"/>
    <s v="FUR-FU-10000206"/>
    <x v="0"/>
    <x v="3"/>
    <x v="84"/>
    <n v="2.3279999999999998"/>
    <n v="2"/>
    <n v="-0.75660000000000005"/>
    <x v="0"/>
  </r>
  <r>
    <x v="195"/>
    <x v="186"/>
    <d v="2017-12-23T00:00:00"/>
    <x v="0"/>
    <s v="RA-19915"/>
    <s v="Russell Applegate"/>
    <s v="Consumer"/>
    <x v="0"/>
    <x v="92"/>
    <x v="2"/>
    <x v="1"/>
    <s v="FUR-BO-10002206"/>
    <x v="0"/>
    <x v="0"/>
    <x v="164"/>
    <n v="119.833"/>
    <n v="1"/>
    <n v="-12.6882"/>
    <x v="5"/>
  </r>
  <r>
    <x v="196"/>
    <x v="187"/>
    <d v="2014-01-26T00:00:00"/>
    <x v="1"/>
    <s v="HL-15040"/>
    <s v="Hunter Lopez"/>
    <s v="Consumer"/>
    <x v="0"/>
    <x v="93"/>
    <x v="31"/>
    <x v="0"/>
    <s v="FUR-FU-10003194"/>
    <x v="0"/>
    <x v="3"/>
    <x v="19"/>
    <n v="38.6"/>
    <n v="4"/>
    <n v="11.58"/>
    <x v="8"/>
  </r>
  <r>
    <x v="196"/>
    <x v="187"/>
    <d v="2014-01-26T00:00:00"/>
    <x v="1"/>
    <s v="HL-15040"/>
    <s v="Hunter Lopez"/>
    <s v="Consumer"/>
    <x v="0"/>
    <x v="93"/>
    <x v="31"/>
    <x v="0"/>
    <s v="FUR-CH-10002331"/>
    <x v="0"/>
    <x v="1"/>
    <x v="86"/>
    <n v="1067.94"/>
    <n v="3"/>
    <n v="224.26740000000001"/>
    <x v="8"/>
  </r>
  <r>
    <x v="197"/>
    <x v="188"/>
    <d v="2016-04-16T00:00:00"/>
    <x v="1"/>
    <s v="BD-11605"/>
    <s v="Brian Dahlen"/>
    <s v="Consumer"/>
    <x v="0"/>
    <x v="76"/>
    <x v="25"/>
    <x v="0"/>
    <s v="FUR-TA-10004086"/>
    <x v="0"/>
    <x v="2"/>
    <x v="165"/>
    <n v="343.92"/>
    <n v="4"/>
    <n v="75.662400000000005"/>
    <x v="6"/>
  </r>
  <r>
    <x v="198"/>
    <x v="189"/>
    <d v="2014-10-03T00:00:00"/>
    <x v="1"/>
    <s v="AP-10915"/>
    <s v="Arthur Prichep"/>
    <s v="Consumer"/>
    <x v="0"/>
    <x v="2"/>
    <x v="2"/>
    <x v="1"/>
    <s v="FUR-FU-10004188"/>
    <x v="0"/>
    <x v="3"/>
    <x v="150"/>
    <n v="204.6"/>
    <n v="2"/>
    <n v="53.195999999999998"/>
    <x v="4"/>
  </r>
  <r>
    <x v="199"/>
    <x v="190"/>
    <d v="2015-05-14T00:00:00"/>
    <x v="1"/>
    <s v="CB-12535"/>
    <s v="Claudia Bergmann"/>
    <s v="Corporate"/>
    <x v="0"/>
    <x v="94"/>
    <x v="15"/>
    <x v="2"/>
    <s v="FUR-FU-10001852"/>
    <x v="0"/>
    <x v="3"/>
    <x v="166"/>
    <n v="8.3520000000000003"/>
    <n v="6"/>
    <n v="1.2527999999999999"/>
    <x v="7"/>
  </r>
  <r>
    <x v="200"/>
    <x v="191"/>
    <d v="2014-12-21T00:00:00"/>
    <x v="2"/>
    <s v="PS-19045"/>
    <s v="Penelope Sewall"/>
    <s v="Home Office"/>
    <x v="0"/>
    <x v="95"/>
    <x v="25"/>
    <x v="0"/>
    <s v="FUR-TA-10001932"/>
    <x v="0"/>
    <x v="2"/>
    <x v="167"/>
    <n v="2244.48"/>
    <n v="7"/>
    <n v="493.78559999999999"/>
    <x v="5"/>
  </r>
  <r>
    <x v="200"/>
    <x v="191"/>
    <d v="2014-12-21T00:00:00"/>
    <x v="2"/>
    <s v="PS-19045"/>
    <s v="Penelope Sewall"/>
    <s v="Home Office"/>
    <x v="0"/>
    <x v="95"/>
    <x v="25"/>
    <x v="0"/>
    <s v="FUR-TA-10000617"/>
    <x v="0"/>
    <x v="2"/>
    <x v="72"/>
    <n v="455.1"/>
    <n v="2"/>
    <n v="100.122"/>
    <x v="5"/>
  </r>
  <r>
    <x v="201"/>
    <x v="192"/>
    <d v="2016-07-07T00:00:00"/>
    <x v="0"/>
    <s v="GB-14530"/>
    <s v="George Bell"/>
    <s v="Corporate"/>
    <x v="0"/>
    <x v="2"/>
    <x v="2"/>
    <x v="1"/>
    <s v="FUR-CH-10002126"/>
    <x v="0"/>
    <x v="1"/>
    <x v="168"/>
    <n v="195.184"/>
    <n v="1"/>
    <n v="19.5184"/>
    <x v="3"/>
  </r>
  <r>
    <x v="202"/>
    <x v="64"/>
    <d v="2017-12-10T00:00:00"/>
    <x v="0"/>
    <s v="DL-13315"/>
    <s v="Delfina Latchford"/>
    <s v="Consumer"/>
    <x v="0"/>
    <x v="13"/>
    <x v="7"/>
    <x v="2"/>
    <s v="FUR-FU-10004952"/>
    <x v="0"/>
    <x v="3"/>
    <x v="169"/>
    <n v="109.48"/>
    <n v="2"/>
    <n v="33.938800000000001"/>
    <x v="5"/>
  </r>
  <r>
    <x v="203"/>
    <x v="193"/>
    <d v="2016-12-05T00:00:00"/>
    <x v="1"/>
    <s v="JE-15745"/>
    <s v="Joel Eaton"/>
    <s v="Consumer"/>
    <x v="0"/>
    <x v="96"/>
    <x v="32"/>
    <x v="2"/>
    <s v="FUR-CH-10001270"/>
    <x v="0"/>
    <x v="1"/>
    <x v="170"/>
    <n v="172.5"/>
    <n v="2"/>
    <n v="51.75"/>
    <x v="5"/>
  </r>
  <r>
    <x v="204"/>
    <x v="194"/>
    <d v="2017-02-28T00:00:00"/>
    <x v="0"/>
    <s v="BT-11530"/>
    <s v="Bradley Talbott"/>
    <s v="Home Office"/>
    <x v="0"/>
    <x v="2"/>
    <x v="2"/>
    <x v="1"/>
    <s v="FUR-CH-10003973"/>
    <x v="0"/>
    <x v="1"/>
    <x v="171"/>
    <n v="892.22400000000005"/>
    <n v="3"/>
    <n v="89.222399999999993"/>
    <x v="11"/>
  </r>
  <r>
    <x v="205"/>
    <x v="195"/>
    <d v="2015-09-15T00:00:00"/>
    <x v="3"/>
    <s v="NG-18355"/>
    <s v="Nat Gilpin"/>
    <s v="Corporate"/>
    <x v="0"/>
    <x v="97"/>
    <x v="1"/>
    <x v="0"/>
    <s v="FUR-FU-10002268"/>
    <x v="0"/>
    <x v="3"/>
    <x v="172"/>
    <n v="15.712"/>
    <n v="4"/>
    <n v="2.5531999999999999"/>
    <x v="4"/>
  </r>
  <r>
    <x v="205"/>
    <x v="195"/>
    <d v="2015-09-15T00:00:00"/>
    <x v="3"/>
    <s v="NG-18355"/>
    <s v="Nat Gilpin"/>
    <s v="Corporate"/>
    <x v="0"/>
    <x v="97"/>
    <x v="1"/>
    <x v="0"/>
    <s v="FUR-FU-10003394"/>
    <x v="0"/>
    <x v="3"/>
    <x v="120"/>
    <n v="55.968000000000004"/>
    <n v="1"/>
    <n v="-2.0988000000000002"/>
    <x v="4"/>
  </r>
  <r>
    <x v="206"/>
    <x v="57"/>
    <d v="2016-04-12T00:00:00"/>
    <x v="1"/>
    <s v="ZC-21910"/>
    <s v="Zuschuss Carroll"/>
    <s v="Consumer"/>
    <x v="0"/>
    <x v="6"/>
    <x v="5"/>
    <x v="3"/>
    <s v="FUR-CH-10004540"/>
    <x v="0"/>
    <x v="1"/>
    <x v="173"/>
    <n v="95.983999999999995"/>
    <n v="4"/>
    <n v="-4.1135999999999999"/>
    <x v="6"/>
  </r>
  <r>
    <x v="207"/>
    <x v="196"/>
    <d v="2016-07-24T00:00:00"/>
    <x v="1"/>
    <s v="LS-16945"/>
    <s v="Linda Southworth"/>
    <s v="Corporate"/>
    <x v="0"/>
    <x v="22"/>
    <x v="12"/>
    <x v="1"/>
    <s v="FUR-CH-10002335"/>
    <x v="0"/>
    <x v="1"/>
    <x v="133"/>
    <n v="544.00800000000004"/>
    <n v="3"/>
    <n v="40.800600000000003"/>
    <x v="3"/>
  </r>
  <r>
    <x v="207"/>
    <x v="196"/>
    <d v="2016-07-24T00:00:00"/>
    <x v="1"/>
    <s v="LS-16945"/>
    <s v="Linda Southworth"/>
    <s v="Corporate"/>
    <x v="0"/>
    <x v="22"/>
    <x v="12"/>
    <x v="1"/>
    <s v="FUR-CH-10002331"/>
    <x v="0"/>
    <x v="1"/>
    <x v="86"/>
    <n v="854.35199999999998"/>
    <n v="3"/>
    <n v="10.679399999999999"/>
    <x v="3"/>
  </r>
  <r>
    <x v="208"/>
    <x v="197"/>
    <d v="2016-07-18T00:00:00"/>
    <x v="0"/>
    <s v="SW-20755"/>
    <s v="Steven Ward"/>
    <s v="Corporate"/>
    <x v="0"/>
    <x v="13"/>
    <x v="7"/>
    <x v="2"/>
    <s v="FUR-BO-10004695"/>
    <x v="0"/>
    <x v="0"/>
    <x v="38"/>
    <n v="579.13599999999997"/>
    <n v="4"/>
    <n v="21.717600000000001"/>
    <x v="3"/>
  </r>
  <r>
    <x v="209"/>
    <x v="198"/>
    <d v="2017-09-13T00:00:00"/>
    <x v="1"/>
    <s v="SP-20620"/>
    <s v="Stefania Perrino"/>
    <s v="Corporate"/>
    <x v="0"/>
    <x v="3"/>
    <x v="3"/>
    <x v="2"/>
    <s v="FUR-CH-10004860"/>
    <x v="0"/>
    <x v="1"/>
    <x v="41"/>
    <n v="141.37200000000001"/>
    <n v="2"/>
    <n v="-48.470399999999998"/>
    <x v="4"/>
  </r>
  <r>
    <x v="209"/>
    <x v="198"/>
    <d v="2017-09-13T00:00:00"/>
    <x v="1"/>
    <s v="SP-20620"/>
    <s v="Stefania Perrino"/>
    <s v="Corporate"/>
    <x v="0"/>
    <x v="3"/>
    <x v="3"/>
    <x v="2"/>
    <s v="FUR-FU-10001867"/>
    <x v="0"/>
    <x v="3"/>
    <x v="174"/>
    <n v="17.024000000000001"/>
    <n v="2"/>
    <n v="1.7023999999999999"/>
    <x v="4"/>
  </r>
  <r>
    <x v="210"/>
    <x v="199"/>
    <d v="2016-12-05T00:00:00"/>
    <x v="2"/>
    <s v="BM-11140"/>
    <s v="Becky Martin"/>
    <s v="Consumer"/>
    <x v="0"/>
    <x v="13"/>
    <x v="7"/>
    <x v="2"/>
    <s v="FUR-FU-10001602"/>
    <x v="0"/>
    <x v="3"/>
    <x v="153"/>
    <n v="113.79"/>
    <n v="3"/>
    <n v="20.482199999999999"/>
    <x v="5"/>
  </r>
  <r>
    <x v="211"/>
    <x v="200"/>
    <d v="2017-11-11T00:00:00"/>
    <x v="1"/>
    <s v="ZC-21910"/>
    <s v="Zuschuss Carroll"/>
    <s v="Consumer"/>
    <x v="0"/>
    <x v="2"/>
    <x v="2"/>
    <x v="1"/>
    <s v="FUR-FU-10001424"/>
    <x v="0"/>
    <x v="3"/>
    <x v="144"/>
    <n v="8.73"/>
    <n v="1"/>
    <n v="2.9681999999999999"/>
    <x v="0"/>
  </r>
  <r>
    <x v="212"/>
    <x v="48"/>
    <d v="2016-10-28T00:00:00"/>
    <x v="3"/>
    <s v="PG-18820"/>
    <s v="Patrick Gardner"/>
    <s v="Consumer"/>
    <x v="0"/>
    <x v="98"/>
    <x v="1"/>
    <x v="0"/>
    <s v="FUR-FU-10000076"/>
    <x v="0"/>
    <x v="3"/>
    <x v="175"/>
    <n v="47.951999999999998"/>
    <n v="3"/>
    <n v="13.786199999999999"/>
    <x v="1"/>
  </r>
  <r>
    <x v="212"/>
    <x v="48"/>
    <d v="2016-10-28T00:00:00"/>
    <x v="3"/>
    <s v="PG-18820"/>
    <s v="Patrick Gardner"/>
    <s v="Consumer"/>
    <x v="0"/>
    <x v="98"/>
    <x v="1"/>
    <x v="0"/>
    <s v="FUR-FU-10003268"/>
    <x v="0"/>
    <x v="3"/>
    <x v="176"/>
    <n v="63.968000000000004"/>
    <n v="2"/>
    <n v="0"/>
    <x v="1"/>
  </r>
  <r>
    <x v="212"/>
    <x v="48"/>
    <d v="2016-10-28T00:00:00"/>
    <x v="3"/>
    <s v="PG-18820"/>
    <s v="Patrick Gardner"/>
    <s v="Consumer"/>
    <x v="0"/>
    <x v="98"/>
    <x v="1"/>
    <x v="0"/>
    <s v="FUR-FU-10003553"/>
    <x v="0"/>
    <x v="3"/>
    <x v="117"/>
    <n v="165.048"/>
    <n v="3"/>
    <n v="41.262"/>
    <x v="1"/>
  </r>
  <r>
    <x v="213"/>
    <x v="201"/>
    <d v="2014-08-15T00:00:00"/>
    <x v="1"/>
    <s v="GM-14680"/>
    <s v="Greg Matthias"/>
    <s v="Consumer"/>
    <x v="0"/>
    <x v="15"/>
    <x v="13"/>
    <x v="1"/>
    <s v="FUR-FU-10003691"/>
    <x v="0"/>
    <x v="3"/>
    <x v="177"/>
    <n v="12.35"/>
    <n v="1"/>
    <n v="5.4340000000000002"/>
    <x v="10"/>
  </r>
  <r>
    <x v="214"/>
    <x v="202"/>
    <d v="2014-12-14T00:00:00"/>
    <x v="0"/>
    <s v="NP-18700"/>
    <s v="Nora Preis"/>
    <s v="Consumer"/>
    <x v="0"/>
    <x v="99"/>
    <x v="2"/>
    <x v="1"/>
    <s v="FUR-TA-10004619"/>
    <x v="0"/>
    <x v="2"/>
    <x v="178"/>
    <n v="764.68799999999999"/>
    <n v="6"/>
    <n v="95.585999999999999"/>
    <x v="5"/>
  </r>
  <r>
    <x v="214"/>
    <x v="202"/>
    <d v="2014-12-14T00:00:00"/>
    <x v="0"/>
    <s v="NP-18700"/>
    <s v="Nora Preis"/>
    <s v="Consumer"/>
    <x v="0"/>
    <x v="99"/>
    <x v="2"/>
    <x v="1"/>
    <s v="FUR-TA-10003473"/>
    <x v="0"/>
    <x v="2"/>
    <x v="44"/>
    <n v="3610.848"/>
    <n v="12"/>
    <n v="135.4068"/>
    <x v="5"/>
  </r>
  <r>
    <x v="214"/>
    <x v="202"/>
    <d v="2014-12-14T00:00:00"/>
    <x v="0"/>
    <s v="NP-18700"/>
    <s v="Nora Preis"/>
    <s v="Consumer"/>
    <x v="0"/>
    <x v="99"/>
    <x v="2"/>
    <x v="1"/>
    <s v="FUR-BO-10004467"/>
    <x v="0"/>
    <x v="0"/>
    <x v="179"/>
    <n v="254.97450000000001"/>
    <n v="3"/>
    <n v="11.998799999999999"/>
    <x v="5"/>
  </r>
  <r>
    <x v="215"/>
    <x v="186"/>
    <d v="2017-12-24T00:00:00"/>
    <x v="1"/>
    <s v="DJ-13630"/>
    <s v="Doug Jacobs"/>
    <s v="Consumer"/>
    <x v="0"/>
    <x v="13"/>
    <x v="7"/>
    <x v="2"/>
    <s v="FUR-CH-10001708"/>
    <x v="0"/>
    <x v="1"/>
    <x v="180"/>
    <n v="1141.9380000000001"/>
    <n v="9"/>
    <n v="139.5702"/>
    <x v="5"/>
  </r>
  <r>
    <x v="216"/>
    <x v="203"/>
    <d v="2017-03-14T00:00:00"/>
    <x v="1"/>
    <s v="MH-18115"/>
    <s v="Mick Hernandez"/>
    <s v="Home Office"/>
    <x v="0"/>
    <x v="100"/>
    <x v="3"/>
    <x v="2"/>
    <s v="FUR-FU-10003724"/>
    <x v="0"/>
    <x v="3"/>
    <x v="181"/>
    <n v="6.6959999999999997"/>
    <n v="1"/>
    <n v="0.50219999999999998"/>
    <x v="9"/>
  </r>
  <r>
    <x v="216"/>
    <x v="203"/>
    <d v="2017-03-14T00:00:00"/>
    <x v="1"/>
    <s v="MH-18115"/>
    <s v="Mick Hernandez"/>
    <s v="Home Office"/>
    <x v="0"/>
    <x v="100"/>
    <x v="3"/>
    <x v="2"/>
    <s v="FUR-FU-10003535"/>
    <x v="0"/>
    <x v="3"/>
    <x v="182"/>
    <n v="43.872"/>
    <n v="2"/>
    <n v="11.516400000000001"/>
    <x v="9"/>
  </r>
  <r>
    <x v="217"/>
    <x v="180"/>
    <d v="2016-10-02T00:00:00"/>
    <x v="2"/>
    <s v="CC-12220"/>
    <s v="Chris Cortes"/>
    <s v="Consumer"/>
    <x v="0"/>
    <x v="101"/>
    <x v="6"/>
    <x v="3"/>
    <s v="FUR-FU-10003724"/>
    <x v="0"/>
    <x v="3"/>
    <x v="181"/>
    <n v="41.85"/>
    <n v="5"/>
    <n v="10.881"/>
    <x v="1"/>
  </r>
  <r>
    <x v="218"/>
    <x v="109"/>
    <d v="2014-12-29T00:00:00"/>
    <x v="1"/>
    <s v="JC-16105"/>
    <s v="Julie Creighton"/>
    <s v="Corporate"/>
    <x v="0"/>
    <x v="2"/>
    <x v="2"/>
    <x v="1"/>
    <s v="FUR-CH-10001146"/>
    <x v="0"/>
    <x v="1"/>
    <x v="15"/>
    <n v="292.27199999999999"/>
    <n v="6"/>
    <n v="18.266999999999999"/>
    <x v="5"/>
  </r>
  <r>
    <x v="219"/>
    <x v="204"/>
    <d v="2017-09-27T00:00:00"/>
    <x v="1"/>
    <s v="BG-11695"/>
    <s v="Brooke Gillingham"/>
    <s v="Corporate"/>
    <x v="0"/>
    <x v="74"/>
    <x v="12"/>
    <x v="1"/>
    <s v="FUR-FU-10000246"/>
    <x v="0"/>
    <x v="3"/>
    <x v="82"/>
    <n v="29.327999999999999"/>
    <n v="3"/>
    <n v="3.6659999999999999"/>
    <x v="4"/>
  </r>
  <r>
    <x v="220"/>
    <x v="205"/>
    <d v="2016-05-26T00:00:00"/>
    <x v="3"/>
    <s v="MS-17710"/>
    <s v="Maurice Satty"/>
    <s v="Consumer"/>
    <x v="0"/>
    <x v="50"/>
    <x v="5"/>
    <x v="3"/>
    <s v="FUR-CH-10001973"/>
    <x v="0"/>
    <x v="1"/>
    <x v="183"/>
    <n v="388.43"/>
    <n v="5"/>
    <n v="-88.784000000000006"/>
    <x v="7"/>
  </r>
  <r>
    <x v="221"/>
    <x v="206"/>
    <d v="2016-11-26T00:00:00"/>
    <x v="1"/>
    <s v="TB-21355"/>
    <s v="Todd Boyes"/>
    <s v="Corporate"/>
    <x v="0"/>
    <x v="13"/>
    <x v="7"/>
    <x v="2"/>
    <s v="FUR-FU-10000397"/>
    <x v="0"/>
    <x v="3"/>
    <x v="14"/>
    <n v="39.880000000000003"/>
    <n v="2"/>
    <n v="11.166399999999999"/>
    <x v="0"/>
  </r>
  <r>
    <x v="222"/>
    <x v="207"/>
    <d v="2016-12-25T00:00:00"/>
    <x v="0"/>
    <s v="LC-17140"/>
    <s v="Logan Currie"/>
    <s v="Consumer"/>
    <x v="0"/>
    <x v="76"/>
    <x v="25"/>
    <x v="0"/>
    <s v="FUR-FU-10003664"/>
    <x v="0"/>
    <x v="3"/>
    <x v="8"/>
    <n v="572.76"/>
    <n v="6"/>
    <n v="166.10040000000001"/>
    <x v="5"/>
  </r>
  <r>
    <x v="222"/>
    <x v="207"/>
    <d v="2016-12-25T00:00:00"/>
    <x v="0"/>
    <s v="LC-17140"/>
    <s v="Logan Currie"/>
    <s v="Consumer"/>
    <x v="0"/>
    <x v="76"/>
    <x v="25"/>
    <x v="0"/>
    <s v="FUR-FU-10003664"/>
    <x v="0"/>
    <x v="3"/>
    <x v="8"/>
    <n v="286.38"/>
    <n v="3"/>
    <n v="83.050200000000004"/>
    <x v="5"/>
  </r>
  <r>
    <x v="223"/>
    <x v="208"/>
    <d v="2015-09-24T00:00:00"/>
    <x v="0"/>
    <s v="TC-21535"/>
    <s v="Tracy Collins"/>
    <s v="Home Office"/>
    <x v="0"/>
    <x v="58"/>
    <x v="25"/>
    <x v="0"/>
    <s v="FUR-BO-10003433"/>
    <x v="0"/>
    <x v="0"/>
    <x v="184"/>
    <n v="61.96"/>
    <n v="2"/>
    <n v="4.3372000000000002"/>
    <x v="4"/>
  </r>
  <r>
    <x v="224"/>
    <x v="209"/>
    <d v="2017-07-07T00:00:00"/>
    <x v="1"/>
    <s v="CS-12460"/>
    <s v="Chuck Sachs"/>
    <s v="Consumer"/>
    <x v="0"/>
    <x v="29"/>
    <x v="24"/>
    <x v="0"/>
    <s v="FUR-FU-10002554"/>
    <x v="0"/>
    <x v="3"/>
    <x v="185"/>
    <n v="23.99"/>
    <n v="1"/>
    <n v="5.5176999999999996"/>
    <x v="3"/>
  </r>
  <r>
    <x v="225"/>
    <x v="210"/>
    <d v="2016-06-21T00:00:00"/>
    <x v="2"/>
    <s v="RC-19825"/>
    <s v="Roy Collins"/>
    <s v="Consumer"/>
    <x v="0"/>
    <x v="102"/>
    <x v="2"/>
    <x v="1"/>
    <s v="FUR-CH-10003846"/>
    <x v="0"/>
    <x v="1"/>
    <x v="186"/>
    <n v="161.56800000000001"/>
    <n v="2"/>
    <n v="-8.0784000000000002"/>
    <x v="2"/>
  </r>
  <r>
    <x v="226"/>
    <x v="211"/>
    <d v="2016-10-01T00:00:00"/>
    <x v="1"/>
    <s v="PK-19075"/>
    <s v="Pete Kriz"/>
    <s v="Consumer"/>
    <x v="0"/>
    <x v="29"/>
    <x v="15"/>
    <x v="2"/>
    <s v="FUR-CH-10003199"/>
    <x v="0"/>
    <x v="1"/>
    <x v="136"/>
    <n v="155.37200000000001"/>
    <n v="2"/>
    <n v="-13.317600000000001"/>
    <x v="4"/>
  </r>
  <r>
    <x v="227"/>
    <x v="105"/>
    <d v="2016-12-23T00:00:00"/>
    <x v="1"/>
    <s v="HG-14965"/>
    <s v="Henry Goldwyn"/>
    <s v="Corporate"/>
    <x v="0"/>
    <x v="2"/>
    <x v="2"/>
    <x v="1"/>
    <s v="FUR-FU-10004960"/>
    <x v="0"/>
    <x v="3"/>
    <x v="187"/>
    <n v="183.84"/>
    <n v="8"/>
    <n v="62.505600000000001"/>
    <x v="5"/>
  </r>
  <r>
    <x v="228"/>
    <x v="212"/>
    <d v="2015-06-18T00:00:00"/>
    <x v="1"/>
    <s v="AD-10180"/>
    <s v="Alan Dominguez"/>
    <s v="Home Office"/>
    <x v="0"/>
    <x v="3"/>
    <x v="3"/>
    <x v="2"/>
    <s v="FUR-FU-10001867"/>
    <x v="0"/>
    <x v="3"/>
    <x v="174"/>
    <n v="51.072000000000003"/>
    <n v="6"/>
    <n v="5.1071999999999997"/>
    <x v="2"/>
  </r>
  <r>
    <x v="229"/>
    <x v="213"/>
    <d v="2016-05-27T00:00:00"/>
    <x v="1"/>
    <s v="LD-17005"/>
    <s v="Lisa DeCherney"/>
    <s v="Consumer"/>
    <x v="0"/>
    <x v="28"/>
    <x v="2"/>
    <x v="1"/>
    <s v="FUR-FU-10003691"/>
    <x v="0"/>
    <x v="3"/>
    <x v="177"/>
    <n v="37.049999999999997"/>
    <n v="3"/>
    <n v="16.302"/>
    <x v="7"/>
  </r>
  <r>
    <x v="230"/>
    <x v="214"/>
    <d v="2017-04-07T00:00:00"/>
    <x v="1"/>
    <s v="JF-15190"/>
    <s v="Jamie Frazer"/>
    <s v="Consumer"/>
    <x v="0"/>
    <x v="2"/>
    <x v="2"/>
    <x v="1"/>
    <s v="FUR-FU-10003724"/>
    <x v="0"/>
    <x v="3"/>
    <x v="181"/>
    <n v="25.11"/>
    <n v="3"/>
    <n v="6.5286"/>
    <x v="6"/>
  </r>
  <r>
    <x v="231"/>
    <x v="76"/>
    <d v="2017-04-02T00:00:00"/>
    <x v="0"/>
    <s v="CM-12115"/>
    <s v="Chad McGuire"/>
    <s v="Consumer"/>
    <x v="0"/>
    <x v="13"/>
    <x v="7"/>
    <x v="2"/>
    <s v="FUR-FU-10004018"/>
    <x v="0"/>
    <x v="3"/>
    <x v="188"/>
    <n v="29.78"/>
    <n v="2"/>
    <n v="8.0405999999999995"/>
    <x v="9"/>
  </r>
  <r>
    <x v="232"/>
    <x v="215"/>
    <d v="2014-10-08T00:00:00"/>
    <x v="0"/>
    <s v="BP-11290"/>
    <s v="Beth Paige"/>
    <s v="Consumer"/>
    <x v="0"/>
    <x v="103"/>
    <x v="8"/>
    <x v="3"/>
    <s v="FUR-CH-10002880"/>
    <x v="0"/>
    <x v="1"/>
    <x v="162"/>
    <n v="258.279"/>
    <n v="3"/>
    <n v="-70.104299999999995"/>
    <x v="1"/>
  </r>
  <r>
    <x v="233"/>
    <x v="216"/>
    <d v="2017-05-09T00:00:00"/>
    <x v="1"/>
    <s v="LW-16990"/>
    <s v="Lindsay Williams"/>
    <s v="Corporate"/>
    <x v="0"/>
    <x v="28"/>
    <x v="2"/>
    <x v="1"/>
    <s v="FUR-TA-10003473"/>
    <x v="0"/>
    <x v="2"/>
    <x v="44"/>
    <n v="300.904"/>
    <n v="1"/>
    <n v="11.283899999999999"/>
    <x v="7"/>
  </r>
  <r>
    <x v="234"/>
    <x v="217"/>
    <d v="2017-04-27T00:00:00"/>
    <x v="2"/>
    <s v="LB-16735"/>
    <s v="Larry Blacks"/>
    <s v="Consumer"/>
    <x v="0"/>
    <x v="50"/>
    <x v="5"/>
    <x v="3"/>
    <s v="FUR-FU-10000010"/>
    <x v="0"/>
    <x v="3"/>
    <x v="109"/>
    <n v="1.988"/>
    <n v="1"/>
    <n v="-1.4413"/>
    <x v="6"/>
  </r>
  <r>
    <x v="235"/>
    <x v="218"/>
    <d v="2014-10-01T00:00:00"/>
    <x v="0"/>
    <s v="KT-16465"/>
    <s v="Kean Takahito"/>
    <s v="Consumer"/>
    <x v="0"/>
    <x v="2"/>
    <x v="2"/>
    <x v="1"/>
    <s v="FUR-CH-10002961"/>
    <x v="0"/>
    <x v="1"/>
    <x v="189"/>
    <n v="145.56800000000001"/>
    <n v="2"/>
    <n v="0"/>
    <x v="4"/>
  </r>
  <r>
    <x v="236"/>
    <x v="219"/>
    <d v="2017-11-11T00:00:00"/>
    <x v="2"/>
    <s v="AB-10600"/>
    <s v="Ann Blume"/>
    <s v="Corporate"/>
    <x v="0"/>
    <x v="104"/>
    <x v="22"/>
    <x v="1"/>
    <s v="FUR-CH-10003312"/>
    <x v="0"/>
    <x v="1"/>
    <x v="66"/>
    <n v="899.13599999999997"/>
    <n v="4"/>
    <n v="-146.1096"/>
    <x v="0"/>
  </r>
  <r>
    <x v="237"/>
    <x v="220"/>
    <d v="2017-07-11T00:00:00"/>
    <x v="2"/>
    <s v="SZ-20035"/>
    <s v="Sam Zeldin"/>
    <s v="Home Office"/>
    <x v="0"/>
    <x v="105"/>
    <x v="2"/>
    <x v="1"/>
    <s v="FUR-FU-10001588"/>
    <x v="0"/>
    <x v="3"/>
    <x v="63"/>
    <n v="145.9"/>
    <n v="5"/>
    <n v="62.737000000000002"/>
    <x v="3"/>
  </r>
  <r>
    <x v="238"/>
    <x v="37"/>
    <d v="2015-12-28T00:00:00"/>
    <x v="1"/>
    <s v="JR-15670"/>
    <s v="Jim Radford"/>
    <s v="Consumer"/>
    <x v="0"/>
    <x v="30"/>
    <x v="12"/>
    <x v="1"/>
    <s v="FUR-BO-10002613"/>
    <x v="0"/>
    <x v="0"/>
    <x v="35"/>
    <n v="590.05799999999999"/>
    <n v="7"/>
    <n v="-786.74400000000003"/>
    <x v="5"/>
  </r>
  <r>
    <x v="239"/>
    <x v="221"/>
    <d v="2015-09-19T00:00:00"/>
    <x v="1"/>
    <s v="CA-12265"/>
    <s v="Christina Anderson"/>
    <s v="Consumer"/>
    <x v="0"/>
    <x v="106"/>
    <x v="4"/>
    <x v="1"/>
    <s v="FUR-TA-10003008"/>
    <x v="0"/>
    <x v="2"/>
    <x v="190"/>
    <n v="912.75"/>
    <n v="5"/>
    <n v="118.6575"/>
    <x v="4"/>
  </r>
  <r>
    <x v="240"/>
    <x v="222"/>
    <d v="2016-09-09T00:00:00"/>
    <x v="1"/>
    <s v="JK-16120"/>
    <s v="Julie Kriz"/>
    <s v="Home Office"/>
    <x v="0"/>
    <x v="14"/>
    <x v="8"/>
    <x v="3"/>
    <s v="FUR-FU-10003394"/>
    <x v="0"/>
    <x v="3"/>
    <x v="120"/>
    <n v="83.951999999999998"/>
    <n v="3"/>
    <n v="-90.248400000000004"/>
    <x v="4"/>
  </r>
  <r>
    <x v="241"/>
    <x v="223"/>
    <d v="2016-02-05T00:00:00"/>
    <x v="3"/>
    <s v="PP-18955"/>
    <s v="Paul Prost"/>
    <s v="Home Office"/>
    <x v="0"/>
    <x v="107"/>
    <x v="24"/>
    <x v="0"/>
    <s v="FUR-FU-10004091"/>
    <x v="0"/>
    <x v="3"/>
    <x v="191"/>
    <n v="18.84"/>
    <n v="3"/>
    <n v="7.1592000000000002"/>
    <x v="11"/>
  </r>
  <r>
    <x v="241"/>
    <x v="223"/>
    <d v="2016-02-05T00:00:00"/>
    <x v="3"/>
    <s v="PP-18955"/>
    <s v="Paul Prost"/>
    <s v="Home Office"/>
    <x v="0"/>
    <x v="107"/>
    <x v="24"/>
    <x v="0"/>
    <s v="FUR-BO-10004015"/>
    <x v="0"/>
    <x v="0"/>
    <x v="118"/>
    <n v="239.98"/>
    <n v="2"/>
    <n v="52.7956"/>
    <x v="11"/>
  </r>
  <r>
    <x v="242"/>
    <x v="224"/>
    <d v="2017-10-14T00:00:00"/>
    <x v="1"/>
    <s v="CK-12760"/>
    <s v="Cyma Kinney"/>
    <s v="Corporate"/>
    <x v="0"/>
    <x v="14"/>
    <x v="8"/>
    <x v="3"/>
    <s v="FUR-TA-10002958"/>
    <x v="0"/>
    <x v="2"/>
    <x v="192"/>
    <n v="652.45000000000005"/>
    <n v="5"/>
    <n v="-430.61700000000002"/>
    <x v="1"/>
  </r>
  <r>
    <x v="242"/>
    <x v="224"/>
    <d v="2017-10-14T00:00:00"/>
    <x v="1"/>
    <s v="CK-12760"/>
    <s v="Cyma Kinney"/>
    <s v="Corporate"/>
    <x v="0"/>
    <x v="14"/>
    <x v="8"/>
    <x v="3"/>
    <s v="FUR-TA-10001676"/>
    <x v="0"/>
    <x v="2"/>
    <x v="193"/>
    <n v="66.644999999999996"/>
    <n v="3"/>
    <n v="-42.652799999999999"/>
    <x v="1"/>
  </r>
  <r>
    <x v="243"/>
    <x v="225"/>
    <d v="2016-04-25T00:00:00"/>
    <x v="1"/>
    <s v="GM-14455"/>
    <s v="Gary Mitchum"/>
    <s v="Home Office"/>
    <x v="0"/>
    <x v="29"/>
    <x v="15"/>
    <x v="2"/>
    <s v="FUR-TA-10002622"/>
    <x v="0"/>
    <x v="2"/>
    <x v="194"/>
    <n v="205.17599999999999"/>
    <n v="2"/>
    <n v="-58.133200000000002"/>
    <x v="6"/>
  </r>
  <r>
    <x v="244"/>
    <x v="226"/>
    <d v="2014-04-08T00:00:00"/>
    <x v="2"/>
    <s v="SD-20485"/>
    <s v="Shirley Daniels"/>
    <s v="Home Office"/>
    <x v="0"/>
    <x v="3"/>
    <x v="3"/>
    <x v="2"/>
    <s v="FUR-TA-10001039"/>
    <x v="0"/>
    <x v="2"/>
    <x v="165"/>
    <n v="154.76400000000001"/>
    <n v="3"/>
    <n v="-36.111600000000003"/>
    <x v="6"/>
  </r>
  <r>
    <x v="245"/>
    <x v="227"/>
    <d v="2016-09-06T00:00:00"/>
    <x v="1"/>
    <s v="KD-16270"/>
    <s v="Karen Daniels"/>
    <s v="Consumer"/>
    <x v="0"/>
    <x v="13"/>
    <x v="7"/>
    <x v="2"/>
    <s v="FUR-FU-10001967"/>
    <x v="0"/>
    <x v="3"/>
    <x v="65"/>
    <n v="39.979999999999997"/>
    <n v="2"/>
    <n v="9.9949999999999992"/>
    <x v="4"/>
  </r>
  <r>
    <x v="246"/>
    <x v="228"/>
    <d v="2016-09-30T00:00:00"/>
    <x v="1"/>
    <s v="AB-10105"/>
    <s v="Adrian Barton"/>
    <s v="Consumer"/>
    <x v="0"/>
    <x v="43"/>
    <x v="22"/>
    <x v="1"/>
    <s v="FUR-TA-10002356"/>
    <x v="0"/>
    <x v="2"/>
    <x v="147"/>
    <n v="393.16500000000002"/>
    <n v="3"/>
    <n v="-204.44579999999999"/>
    <x v="4"/>
  </r>
  <r>
    <x v="247"/>
    <x v="229"/>
    <d v="2016-07-13T00:00:00"/>
    <x v="1"/>
    <s v="JD-15895"/>
    <s v="Jonathan Doherty"/>
    <s v="Corporate"/>
    <x v="0"/>
    <x v="13"/>
    <x v="7"/>
    <x v="2"/>
    <s v="FUR-CH-10002335"/>
    <x v="0"/>
    <x v="1"/>
    <x v="133"/>
    <n v="408.00599999999997"/>
    <n v="2"/>
    <n v="72.534400000000005"/>
    <x v="3"/>
  </r>
  <r>
    <x v="247"/>
    <x v="229"/>
    <d v="2016-07-13T00:00:00"/>
    <x v="1"/>
    <s v="JD-15895"/>
    <s v="Jonathan Doherty"/>
    <s v="Corporate"/>
    <x v="0"/>
    <x v="13"/>
    <x v="7"/>
    <x v="2"/>
    <s v="FUR-FU-10000723"/>
    <x v="0"/>
    <x v="3"/>
    <x v="100"/>
    <n v="165.28"/>
    <n v="4"/>
    <n v="14.8752"/>
    <x v="3"/>
  </r>
  <r>
    <x v="248"/>
    <x v="230"/>
    <d v="2017-01-31T00:00:00"/>
    <x v="0"/>
    <s v="BT-11305"/>
    <s v="Beth Thompson"/>
    <s v="Home Office"/>
    <x v="0"/>
    <x v="46"/>
    <x v="2"/>
    <x v="1"/>
    <s v="FUR-FU-10003976"/>
    <x v="0"/>
    <x v="3"/>
    <x v="195"/>
    <n v="37.74"/>
    <n v="3"/>
    <n v="12.8316"/>
    <x v="8"/>
  </r>
  <r>
    <x v="249"/>
    <x v="231"/>
    <d v="2015-09-24T00:00:00"/>
    <x v="2"/>
    <s v="SV-20815"/>
    <s v="Stuart Van"/>
    <s v="Corporate"/>
    <x v="0"/>
    <x v="6"/>
    <x v="5"/>
    <x v="3"/>
    <s v="FUR-FU-10001706"/>
    <x v="0"/>
    <x v="3"/>
    <x v="11"/>
    <n v="4.9279999999999999"/>
    <n v="4"/>
    <n v="-1.4783999999999999"/>
    <x v="4"/>
  </r>
  <r>
    <x v="250"/>
    <x v="232"/>
    <d v="2014-12-21T00:00:00"/>
    <x v="0"/>
    <s v="IM-15070"/>
    <s v="Irene Maddox"/>
    <s v="Consumer"/>
    <x v="0"/>
    <x v="73"/>
    <x v="33"/>
    <x v="0"/>
    <s v="FUR-CH-10000513"/>
    <x v="0"/>
    <x v="1"/>
    <x v="16"/>
    <n v="1819.86"/>
    <n v="14"/>
    <n v="163.78739999999999"/>
    <x v="5"/>
  </r>
  <r>
    <x v="251"/>
    <x v="233"/>
    <d v="2015-10-15T00:00:00"/>
    <x v="3"/>
    <s v="JE-15745"/>
    <s v="Joel Eaton"/>
    <s v="Consumer"/>
    <x v="0"/>
    <x v="45"/>
    <x v="5"/>
    <x v="3"/>
    <s v="FUR-CH-10002024"/>
    <x v="0"/>
    <x v="1"/>
    <x v="101"/>
    <n v="2453.4299999999998"/>
    <n v="5"/>
    <n v="-350.49"/>
    <x v="1"/>
  </r>
  <r>
    <x v="252"/>
    <x v="234"/>
    <d v="2017-06-16T00:00:00"/>
    <x v="2"/>
    <s v="SD-20485"/>
    <s v="Shirley Daniels"/>
    <s v="Home Office"/>
    <x v="0"/>
    <x v="9"/>
    <x v="8"/>
    <x v="3"/>
    <s v="FUR-CH-10004289"/>
    <x v="0"/>
    <x v="1"/>
    <x v="196"/>
    <n v="470.30200000000002"/>
    <n v="7"/>
    <n v="-87.341800000000006"/>
    <x v="2"/>
  </r>
  <r>
    <x v="253"/>
    <x v="235"/>
    <d v="2017-06-19T00:00:00"/>
    <x v="1"/>
    <s v="ME-17320"/>
    <s v="Maria Etezadi"/>
    <s v="Home Office"/>
    <x v="0"/>
    <x v="29"/>
    <x v="24"/>
    <x v="0"/>
    <s v="FUR-TA-10002530"/>
    <x v="0"/>
    <x v="2"/>
    <x v="197"/>
    <n v="452.94"/>
    <n v="3"/>
    <n v="67.941000000000003"/>
    <x v="2"/>
  </r>
  <r>
    <x v="254"/>
    <x v="236"/>
    <d v="2014-05-04T00:00:00"/>
    <x v="3"/>
    <s v="AA-10480"/>
    <s v="Andrew Allen"/>
    <s v="Consumer"/>
    <x v="0"/>
    <x v="108"/>
    <x v="19"/>
    <x v="2"/>
    <s v="FUR-FU-10001473"/>
    <x v="0"/>
    <x v="3"/>
    <x v="198"/>
    <n v="27.46"/>
    <n v="2"/>
    <n v="9.8856000000000002"/>
    <x v="7"/>
  </r>
  <r>
    <x v="255"/>
    <x v="237"/>
    <d v="2016-03-15T00:00:00"/>
    <x v="1"/>
    <s v="MB-18085"/>
    <s v="Mick Brown"/>
    <s v="Consumer"/>
    <x v="0"/>
    <x v="109"/>
    <x v="18"/>
    <x v="2"/>
    <s v="FUR-TA-10001095"/>
    <x v="0"/>
    <x v="2"/>
    <x v="129"/>
    <n v="244.006"/>
    <n v="2"/>
    <n v="-31.372199999999999"/>
    <x v="9"/>
  </r>
  <r>
    <x v="256"/>
    <x v="238"/>
    <d v="2016-08-28T00:00:00"/>
    <x v="2"/>
    <s v="LC-16930"/>
    <s v="Linda Cazamias"/>
    <s v="Corporate"/>
    <x v="0"/>
    <x v="102"/>
    <x v="5"/>
    <x v="3"/>
    <s v="FUR-CH-10002126"/>
    <x v="0"/>
    <x v="1"/>
    <x v="168"/>
    <n v="1024.7159999999999"/>
    <n v="6"/>
    <n v="-29.2776"/>
    <x v="10"/>
  </r>
  <r>
    <x v="257"/>
    <x v="98"/>
    <d v="2014-08-14T00:00:00"/>
    <x v="1"/>
    <s v="MB-17305"/>
    <s v="Maria Bertelson"/>
    <s v="Consumer"/>
    <x v="0"/>
    <x v="110"/>
    <x v="22"/>
    <x v="1"/>
    <s v="FUR-FU-10001602"/>
    <x v="0"/>
    <x v="3"/>
    <x v="153"/>
    <n v="121.376"/>
    <n v="4"/>
    <n v="-3.0344000000000002"/>
    <x v="10"/>
  </r>
  <r>
    <x v="258"/>
    <x v="13"/>
    <d v="2017-12-13T00:00:00"/>
    <x v="1"/>
    <s v="DK-12835"/>
    <s v="Damala Kotsonis"/>
    <s v="Corporate"/>
    <x v="0"/>
    <x v="25"/>
    <x v="17"/>
    <x v="3"/>
    <s v="FUR-CH-10000847"/>
    <x v="0"/>
    <x v="1"/>
    <x v="199"/>
    <n v="872.94"/>
    <n v="3"/>
    <n v="226.96440000000001"/>
    <x v="5"/>
  </r>
  <r>
    <x v="259"/>
    <x v="239"/>
    <d v="2015-12-02T00:00:00"/>
    <x v="3"/>
    <s v="NM-18520"/>
    <s v="Neoma Murray"/>
    <s v="Consumer"/>
    <x v="0"/>
    <x v="6"/>
    <x v="5"/>
    <x v="3"/>
    <s v="FUR-FU-10004270"/>
    <x v="0"/>
    <x v="3"/>
    <x v="200"/>
    <n v="6.6879999999999997"/>
    <n v="4"/>
    <n v="-4.0128000000000004"/>
    <x v="5"/>
  </r>
  <r>
    <x v="260"/>
    <x v="240"/>
    <d v="2015-11-07T00:00:00"/>
    <x v="1"/>
    <s v="CM-12655"/>
    <s v="Corinna Mitchell"/>
    <s v="Home Office"/>
    <x v="0"/>
    <x v="2"/>
    <x v="2"/>
    <x v="1"/>
    <s v="FUR-FU-10003347"/>
    <x v="0"/>
    <x v="3"/>
    <x v="80"/>
    <n v="42.6"/>
    <n v="3"/>
    <n v="16.614000000000001"/>
    <x v="0"/>
  </r>
  <r>
    <x v="261"/>
    <x v="241"/>
    <d v="2017-11-28T00:00:00"/>
    <x v="1"/>
    <s v="TS-21370"/>
    <s v="Todd Sumrall"/>
    <s v="Corporate"/>
    <x v="0"/>
    <x v="13"/>
    <x v="7"/>
    <x v="2"/>
    <s v="FUR-CH-10000785"/>
    <x v="0"/>
    <x v="1"/>
    <x v="69"/>
    <n v="977.29200000000003"/>
    <n v="6"/>
    <n v="173.74080000000001"/>
    <x v="0"/>
  </r>
  <r>
    <x v="262"/>
    <x v="242"/>
    <d v="2017-11-03T00:00:00"/>
    <x v="1"/>
    <s v="JW-15220"/>
    <s v="Jane Waco"/>
    <s v="Corporate"/>
    <x v="0"/>
    <x v="57"/>
    <x v="13"/>
    <x v="1"/>
    <s v="FUR-FU-10002885"/>
    <x v="0"/>
    <x v="3"/>
    <x v="152"/>
    <n v="9.64"/>
    <n v="2"/>
    <n v="3.6631999999999998"/>
    <x v="1"/>
  </r>
  <r>
    <x v="263"/>
    <x v="243"/>
    <d v="2016-12-01T00:00:00"/>
    <x v="1"/>
    <s v="AT-10435"/>
    <s v="Alyssa Tate"/>
    <s v="Home Office"/>
    <x v="0"/>
    <x v="2"/>
    <x v="2"/>
    <x v="1"/>
    <s v="FUR-FU-10000010"/>
    <x v="0"/>
    <x v="3"/>
    <x v="109"/>
    <n v="9.94"/>
    <n v="2"/>
    <n v="3.0813999999999999"/>
    <x v="0"/>
  </r>
  <r>
    <x v="264"/>
    <x v="244"/>
    <d v="2015-08-07T00:00:00"/>
    <x v="1"/>
    <s v="PC-19000"/>
    <s v="Pauline Chand"/>
    <s v="Home Office"/>
    <x v="0"/>
    <x v="2"/>
    <x v="2"/>
    <x v="1"/>
    <s v="FUR-TA-10003715"/>
    <x v="0"/>
    <x v="2"/>
    <x v="201"/>
    <n v="1004.976"/>
    <n v="6"/>
    <n v="-175.8708"/>
    <x v="10"/>
  </r>
  <r>
    <x v="265"/>
    <x v="245"/>
    <d v="2017-09-15T00:00:00"/>
    <x v="2"/>
    <s v="JM-15535"/>
    <s v="Jessica Myrick"/>
    <s v="Consumer"/>
    <x v="0"/>
    <x v="2"/>
    <x v="2"/>
    <x v="1"/>
    <s v="FUR-FU-10004270"/>
    <x v="0"/>
    <x v="3"/>
    <x v="200"/>
    <n v="8.36"/>
    <n v="2"/>
    <n v="3.0095999999999998"/>
    <x v="4"/>
  </r>
  <r>
    <x v="266"/>
    <x v="246"/>
    <d v="2017-12-17T00:00:00"/>
    <x v="1"/>
    <s v="AI-10855"/>
    <s v="Arianne Irving"/>
    <s v="Consumer"/>
    <x v="0"/>
    <x v="3"/>
    <x v="3"/>
    <x v="2"/>
    <s v="FUR-CH-10002961"/>
    <x v="0"/>
    <x v="1"/>
    <x v="189"/>
    <n v="63.686"/>
    <n v="1"/>
    <n v="-9.0980000000000008"/>
    <x v="5"/>
  </r>
  <r>
    <x v="267"/>
    <x v="247"/>
    <d v="2017-12-14T00:00:00"/>
    <x v="0"/>
    <s v="MC-17845"/>
    <s v="Michael Chen"/>
    <s v="Consumer"/>
    <x v="0"/>
    <x v="111"/>
    <x v="34"/>
    <x v="1"/>
    <s v="FUR-TA-10004256"/>
    <x v="0"/>
    <x v="2"/>
    <x v="103"/>
    <n v="1669.6"/>
    <n v="4"/>
    <n v="116.872"/>
    <x v="5"/>
  </r>
  <r>
    <x v="268"/>
    <x v="248"/>
    <d v="2015-12-11T00:00:00"/>
    <x v="1"/>
    <s v="GH-14425"/>
    <s v="Gary Hwang"/>
    <s v="Consumer"/>
    <x v="0"/>
    <x v="104"/>
    <x v="22"/>
    <x v="1"/>
    <s v="FUR-FU-10002253"/>
    <x v="0"/>
    <x v="3"/>
    <x v="123"/>
    <n v="206.11199999999999"/>
    <n v="6"/>
    <n v="48.951599999999999"/>
    <x v="5"/>
  </r>
  <r>
    <x v="269"/>
    <x v="249"/>
    <d v="2016-07-27T00:00:00"/>
    <x v="1"/>
    <s v="CJ-12010"/>
    <s v="Caroline Jumper"/>
    <s v="Consumer"/>
    <x v="0"/>
    <x v="112"/>
    <x v="3"/>
    <x v="2"/>
    <s v="FUR-FU-10002456"/>
    <x v="0"/>
    <x v="3"/>
    <x v="202"/>
    <n v="11.648"/>
    <n v="2"/>
    <n v="3.3488000000000002"/>
    <x v="3"/>
  </r>
  <r>
    <x v="270"/>
    <x v="250"/>
    <d v="2017-02-14T00:00:00"/>
    <x v="1"/>
    <s v="MP-18175"/>
    <s v="Mike Pelletier"/>
    <s v="Home Office"/>
    <x v="0"/>
    <x v="113"/>
    <x v="2"/>
    <x v="1"/>
    <s v="FUR-BO-10004015"/>
    <x v="0"/>
    <x v="0"/>
    <x v="118"/>
    <n v="203.983"/>
    <n v="2"/>
    <n v="16.7986"/>
    <x v="11"/>
  </r>
  <r>
    <x v="271"/>
    <x v="102"/>
    <d v="2017-09-17T00:00:00"/>
    <x v="0"/>
    <s v="CL-11890"/>
    <s v="Carl Ludwig"/>
    <s v="Consumer"/>
    <x v="0"/>
    <x v="114"/>
    <x v="20"/>
    <x v="2"/>
    <s v="FUR-BO-10002545"/>
    <x v="0"/>
    <x v="0"/>
    <x v="9"/>
    <n v="782.94"/>
    <n v="3"/>
    <n v="203.56440000000001"/>
    <x v="4"/>
  </r>
  <r>
    <x v="272"/>
    <x v="251"/>
    <d v="2014-03-16T00:00:00"/>
    <x v="0"/>
    <s v="CK-12205"/>
    <s v="Chloris Kastensmidt"/>
    <s v="Consumer"/>
    <x v="0"/>
    <x v="29"/>
    <x v="15"/>
    <x v="2"/>
    <s v="FUR-FU-10003981"/>
    <x v="0"/>
    <x v="3"/>
    <x v="70"/>
    <n v="8.32"/>
    <n v="5"/>
    <n v="2.2879999999999998"/>
    <x v="9"/>
  </r>
  <r>
    <x v="273"/>
    <x v="252"/>
    <d v="2015-01-04T00:00:00"/>
    <x v="0"/>
    <s v="PC-18745"/>
    <s v="Pamela Coakley"/>
    <s v="Corporate"/>
    <x v="0"/>
    <x v="115"/>
    <x v="7"/>
    <x v="2"/>
    <s v="FUR-BO-10002613"/>
    <x v="0"/>
    <x v="0"/>
    <x v="35"/>
    <n v="1573.4880000000001"/>
    <n v="7"/>
    <n v="196.68600000000001"/>
    <x v="5"/>
  </r>
  <r>
    <x v="274"/>
    <x v="253"/>
    <d v="2015-03-18T00:00:00"/>
    <x v="0"/>
    <s v="JE-15475"/>
    <s v="Jeremy Ellison"/>
    <s v="Consumer"/>
    <x v="0"/>
    <x v="15"/>
    <x v="13"/>
    <x v="1"/>
    <s v="FUR-TA-10001039"/>
    <x v="0"/>
    <x v="2"/>
    <x v="165"/>
    <n v="171.96"/>
    <n v="2"/>
    <n v="44.709600000000002"/>
    <x v="9"/>
  </r>
  <r>
    <x v="275"/>
    <x v="254"/>
    <d v="2017-06-30T00:00:00"/>
    <x v="3"/>
    <s v="SG-20470"/>
    <s v="Sheri Gordon"/>
    <s v="Consumer"/>
    <x v="0"/>
    <x v="13"/>
    <x v="7"/>
    <x v="2"/>
    <s v="FUR-TA-10000577"/>
    <x v="0"/>
    <x v="2"/>
    <x v="2"/>
    <n v="1044.6300000000001"/>
    <n v="5"/>
    <n v="-295.9785"/>
    <x v="2"/>
  </r>
  <r>
    <x v="276"/>
    <x v="255"/>
    <d v="2014-11-25T00:00:00"/>
    <x v="2"/>
    <s v="SC-20095"/>
    <s v="Sanjit Chand"/>
    <s v="Consumer"/>
    <x v="0"/>
    <x v="2"/>
    <x v="2"/>
    <x v="1"/>
    <s v="FUR-CH-10000863"/>
    <x v="0"/>
    <x v="1"/>
    <x v="20"/>
    <n v="603.91999999999996"/>
    <n v="5"/>
    <n v="-67.941000000000003"/>
    <x v="0"/>
  </r>
  <r>
    <x v="276"/>
    <x v="255"/>
    <d v="2014-11-25T00:00:00"/>
    <x v="2"/>
    <s v="SC-20095"/>
    <s v="Sanjit Chand"/>
    <s v="Consumer"/>
    <x v="0"/>
    <x v="2"/>
    <x v="2"/>
    <x v="1"/>
    <s v="FUR-CH-10000595"/>
    <x v="0"/>
    <x v="1"/>
    <x v="97"/>
    <n v="381.44"/>
    <n v="2"/>
    <n v="23.84"/>
    <x v="0"/>
  </r>
  <r>
    <x v="277"/>
    <x v="256"/>
    <d v="2014-12-18T00:00:00"/>
    <x v="2"/>
    <s v="MC-18100"/>
    <s v="Mick Crebagga"/>
    <s v="Consumer"/>
    <x v="0"/>
    <x v="116"/>
    <x v="5"/>
    <x v="3"/>
    <s v="FUR-CH-10004675"/>
    <x v="0"/>
    <x v="1"/>
    <x v="135"/>
    <n v="763.28"/>
    <n v="5"/>
    <n v="-21.808"/>
    <x v="5"/>
  </r>
  <r>
    <x v="278"/>
    <x v="38"/>
    <d v="2015-08-12T00:00:00"/>
    <x v="2"/>
    <s v="NP-18325"/>
    <s v="Naresj Patel"/>
    <s v="Consumer"/>
    <x v="0"/>
    <x v="13"/>
    <x v="7"/>
    <x v="2"/>
    <s v="FUR-TA-10002607"/>
    <x v="0"/>
    <x v="2"/>
    <x v="48"/>
    <n v="382.80599999999998"/>
    <n v="9"/>
    <n v="-153.1224"/>
    <x v="10"/>
  </r>
  <r>
    <x v="278"/>
    <x v="38"/>
    <d v="2015-08-12T00:00:00"/>
    <x v="2"/>
    <s v="NP-18325"/>
    <s v="Naresj Patel"/>
    <s v="Consumer"/>
    <x v="0"/>
    <x v="13"/>
    <x v="7"/>
    <x v="2"/>
    <s v="FUR-FU-10002157"/>
    <x v="0"/>
    <x v="3"/>
    <x v="26"/>
    <n v="47.04"/>
    <n v="3"/>
    <n v="18.345600000000001"/>
    <x v="10"/>
  </r>
  <r>
    <x v="278"/>
    <x v="38"/>
    <d v="2015-08-12T00:00:00"/>
    <x v="2"/>
    <s v="NP-18325"/>
    <s v="Naresj Patel"/>
    <s v="Consumer"/>
    <x v="0"/>
    <x v="13"/>
    <x v="7"/>
    <x v="2"/>
    <s v="FUR-FU-10001706"/>
    <x v="0"/>
    <x v="3"/>
    <x v="11"/>
    <n v="6.16"/>
    <n v="2"/>
    <n v="2.9567999999999999"/>
    <x v="10"/>
  </r>
  <r>
    <x v="279"/>
    <x v="257"/>
    <d v="2015-03-27T00:00:00"/>
    <x v="2"/>
    <s v="DP-13390"/>
    <s v="Dennis Pardue"/>
    <s v="Home Office"/>
    <x v="0"/>
    <x v="117"/>
    <x v="8"/>
    <x v="3"/>
    <s v="FUR-BO-10000362"/>
    <x v="0"/>
    <x v="0"/>
    <x v="203"/>
    <n v="359.05799999999999"/>
    <n v="3"/>
    <n v="-35.905799999999999"/>
    <x v="9"/>
  </r>
  <r>
    <x v="280"/>
    <x v="258"/>
    <d v="2017-05-12T00:00:00"/>
    <x v="1"/>
    <s v="MD-17350"/>
    <s v="Maribeth Dona"/>
    <s v="Consumer"/>
    <x v="0"/>
    <x v="29"/>
    <x v="15"/>
    <x v="2"/>
    <s v="FUR-CH-10004540"/>
    <x v="0"/>
    <x v="1"/>
    <x v="173"/>
    <n v="47.991999999999997"/>
    <n v="2"/>
    <n v="-2.0568"/>
    <x v="7"/>
  </r>
  <r>
    <x v="281"/>
    <x v="259"/>
    <d v="2017-10-18T00:00:00"/>
    <x v="2"/>
    <s v="MY-17380"/>
    <s v="Maribeth Yedwab"/>
    <s v="Corporate"/>
    <x v="0"/>
    <x v="13"/>
    <x v="7"/>
    <x v="2"/>
    <s v="FUR-FU-10001290"/>
    <x v="0"/>
    <x v="3"/>
    <x v="95"/>
    <n v="547.29999999999995"/>
    <n v="13"/>
    <n v="175.136"/>
    <x v="1"/>
  </r>
  <r>
    <x v="282"/>
    <x v="49"/>
    <d v="2017-11-21T00:00:00"/>
    <x v="0"/>
    <s v="AB-10150"/>
    <s v="Aimee Bixby"/>
    <s v="Consumer"/>
    <x v="0"/>
    <x v="118"/>
    <x v="5"/>
    <x v="3"/>
    <s v="FUR-FU-10001967"/>
    <x v="0"/>
    <x v="3"/>
    <x v="65"/>
    <n v="15.992000000000001"/>
    <n v="2"/>
    <n v="-13.993"/>
    <x v="0"/>
  </r>
  <r>
    <x v="283"/>
    <x v="260"/>
    <d v="2016-05-13T00:00:00"/>
    <x v="0"/>
    <s v="GB-14530"/>
    <s v="George Bell"/>
    <s v="Corporate"/>
    <x v="0"/>
    <x v="63"/>
    <x v="14"/>
    <x v="2"/>
    <s v="FUR-FU-10001488"/>
    <x v="0"/>
    <x v="3"/>
    <x v="204"/>
    <n v="211.96"/>
    <n v="2"/>
    <n v="42.392000000000003"/>
    <x v="7"/>
  </r>
  <r>
    <x v="284"/>
    <x v="261"/>
    <d v="2014-05-30T00:00:00"/>
    <x v="1"/>
    <s v="ML-17395"/>
    <s v="Marina Lichtenstein"/>
    <s v="Corporate"/>
    <x v="0"/>
    <x v="2"/>
    <x v="2"/>
    <x v="1"/>
    <s v="FUR-BO-10000362"/>
    <x v="0"/>
    <x v="0"/>
    <x v="203"/>
    <n v="290.666"/>
    <n v="2"/>
    <n v="27.3568"/>
    <x v="7"/>
  </r>
  <r>
    <x v="285"/>
    <x v="220"/>
    <d v="2017-07-15T00:00:00"/>
    <x v="1"/>
    <s v="JC-15385"/>
    <s v="Jenna Caffey"/>
    <s v="Consumer"/>
    <x v="0"/>
    <x v="119"/>
    <x v="13"/>
    <x v="1"/>
    <s v="FUR-FU-10002937"/>
    <x v="0"/>
    <x v="3"/>
    <x v="205"/>
    <n v="198.46"/>
    <n v="2"/>
    <n v="99.23"/>
    <x v="3"/>
  </r>
  <r>
    <x v="286"/>
    <x v="262"/>
    <d v="2015-09-30T00:00:00"/>
    <x v="1"/>
    <s v="MC-17275"/>
    <s v="Marc Crier"/>
    <s v="Consumer"/>
    <x v="0"/>
    <x v="120"/>
    <x v="35"/>
    <x v="0"/>
    <s v="FUR-CH-10001270"/>
    <x v="0"/>
    <x v="1"/>
    <x v="170"/>
    <n v="517.5"/>
    <n v="6"/>
    <n v="155.25"/>
    <x v="4"/>
  </r>
  <r>
    <x v="287"/>
    <x v="263"/>
    <d v="2017-06-25T00:00:00"/>
    <x v="0"/>
    <s v="AS-10240"/>
    <s v="Alan Shonely"/>
    <s v="Consumer"/>
    <x v="0"/>
    <x v="59"/>
    <x v="15"/>
    <x v="2"/>
    <s v="FUR-FU-10004415"/>
    <x v="0"/>
    <x v="3"/>
    <x v="206"/>
    <n v="17.920000000000002"/>
    <n v="5"/>
    <n v="2.464"/>
    <x v="2"/>
  </r>
  <r>
    <x v="288"/>
    <x v="205"/>
    <d v="2016-06-01T00:00:00"/>
    <x v="1"/>
    <s v="TB-21280"/>
    <s v="Toby Braunhardt"/>
    <s v="Consumer"/>
    <x v="0"/>
    <x v="85"/>
    <x v="29"/>
    <x v="2"/>
    <s v="FUR-FU-10000629"/>
    <x v="0"/>
    <x v="3"/>
    <x v="22"/>
    <n v="41.37"/>
    <n v="3"/>
    <n v="17.375399999999999"/>
    <x v="7"/>
  </r>
  <r>
    <x v="289"/>
    <x v="264"/>
    <d v="2014-05-15T00:00:00"/>
    <x v="2"/>
    <s v="HL-15040"/>
    <s v="Hunter Lopez"/>
    <s v="Consumer"/>
    <x v="0"/>
    <x v="79"/>
    <x v="16"/>
    <x v="3"/>
    <s v="FUR-FU-10000010"/>
    <x v="0"/>
    <x v="3"/>
    <x v="109"/>
    <n v="34.79"/>
    <n v="7"/>
    <n v="10.7849"/>
    <x v="7"/>
  </r>
  <r>
    <x v="290"/>
    <x v="265"/>
    <d v="2015-01-15T00:00:00"/>
    <x v="1"/>
    <s v="MM-17920"/>
    <s v="Michael Moore"/>
    <s v="Consumer"/>
    <x v="0"/>
    <x v="13"/>
    <x v="7"/>
    <x v="2"/>
    <s v="FUR-TA-10001889"/>
    <x v="0"/>
    <x v="2"/>
    <x v="87"/>
    <n v="1018.104"/>
    <n v="4"/>
    <n v="-373.3048"/>
    <x v="8"/>
  </r>
  <r>
    <x v="291"/>
    <x v="5"/>
    <d v="2015-09-21T00:00:00"/>
    <x v="1"/>
    <s v="SF-20965"/>
    <s v="Sylvia Foulston"/>
    <s v="Corporate"/>
    <x v="0"/>
    <x v="6"/>
    <x v="5"/>
    <x v="3"/>
    <s v="FUR-FU-10003535"/>
    <x v="0"/>
    <x v="3"/>
    <x v="182"/>
    <n v="21.936"/>
    <n v="2"/>
    <n v="-10.419600000000001"/>
    <x v="4"/>
  </r>
  <r>
    <x v="292"/>
    <x v="266"/>
    <d v="2014-09-13T00:00:00"/>
    <x v="1"/>
    <s v="SB-20290"/>
    <s v="Sean Braxton"/>
    <s v="Corporate"/>
    <x v="0"/>
    <x v="3"/>
    <x v="3"/>
    <x v="2"/>
    <s v="FUR-FU-10000758"/>
    <x v="0"/>
    <x v="3"/>
    <x v="207"/>
    <n v="42.368000000000002"/>
    <n v="2"/>
    <n v="8.4735999999999994"/>
    <x v="4"/>
  </r>
  <r>
    <x v="293"/>
    <x v="267"/>
    <d v="2016-11-12T00:00:00"/>
    <x v="1"/>
    <s v="CB-12535"/>
    <s v="Claudia Bergmann"/>
    <s v="Corporate"/>
    <x v="0"/>
    <x v="28"/>
    <x v="2"/>
    <x v="1"/>
    <s v="FUR-FU-10002597"/>
    <x v="0"/>
    <x v="3"/>
    <x v="132"/>
    <n v="14.82"/>
    <n v="3"/>
    <n v="6.2244000000000002"/>
    <x v="0"/>
  </r>
  <r>
    <x v="294"/>
    <x v="247"/>
    <d v="2017-12-12T00:00:00"/>
    <x v="2"/>
    <s v="AW-10840"/>
    <s v="Anthony Witt"/>
    <s v="Consumer"/>
    <x v="0"/>
    <x v="3"/>
    <x v="3"/>
    <x v="2"/>
    <s v="FUR-FU-10004306"/>
    <x v="0"/>
    <x v="3"/>
    <x v="130"/>
    <n v="310.88"/>
    <n v="2"/>
    <n v="23.315999999999999"/>
    <x v="5"/>
  </r>
  <r>
    <x v="295"/>
    <x v="268"/>
    <d v="2014-08-20T00:00:00"/>
    <x v="1"/>
    <s v="TS-21610"/>
    <s v="Troy Staebel"/>
    <s v="Consumer"/>
    <x v="0"/>
    <x v="3"/>
    <x v="3"/>
    <x v="2"/>
    <s v="FUR-TA-10001539"/>
    <x v="0"/>
    <x v="2"/>
    <x v="4"/>
    <n v="853.09199999999998"/>
    <n v="6"/>
    <n v="-227.49119999999999"/>
    <x v="10"/>
  </r>
  <r>
    <x v="296"/>
    <x v="269"/>
    <d v="2016-03-19T00:00:00"/>
    <x v="1"/>
    <s v="HZ-14950"/>
    <s v="Henia Zydlo"/>
    <s v="Consumer"/>
    <x v="0"/>
    <x v="29"/>
    <x v="15"/>
    <x v="2"/>
    <s v="FUR-FU-10004020"/>
    <x v="0"/>
    <x v="3"/>
    <x v="104"/>
    <n v="21.88"/>
    <n v="5"/>
    <n v="6.2904999999999998"/>
    <x v="9"/>
  </r>
  <r>
    <x v="297"/>
    <x v="270"/>
    <d v="2014-06-07T00:00:00"/>
    <x v="0"/>
    <s v="SC-20725"/>
    <s v="Steven Cartwright"/>
    <s v="Consumer"/>
    <x v="0"/>
    <x v="15"/>
    <x v="13"/>
    <x v="1"/>
    <s v="FUR-TA-10004086"/>
    <x v="0"/>
    <x v="2"/>
    <x v="165"/>
    <n v="515.88"/>
    <n v="6"/>
    <n v="113.4936"/>
    <x v="2"/>
  </r>
  <r>
    <x v="298"/>
    <x v="271"/>
    <d v="2015-07-15T00:00:00"/>
    <x v="0"/>
    <s v="ND-18370"/>
    <s v="Natalie DeCherney"/>
    <s v="Consumer"/>
    <x v="0"/>
    <x v="13"/>
    <x v="7"/>
    <x v="2"/>
    <s v="FUR-CH-10000595"/>
    <x v="0"/>
    <x v="1"/>
    <x v="97"/>
    <n v="1931.04"/>
    <n v="9"/>
    <n v="321.83999999999997"/>
    <x v="3"/>
  </r>
  <r>
    <x v="299"/>
    <x v="242"/>
    <d v="2017-11-05T00:00:00"/>
    <x v="1"/>
    <s v="JK-15205"/>
    <s v="Jamie Kunitz"/>
    <s v="Consumer"/>
    <x v="0"/>
    <x v="28"/>
    <x v="2"/>
    <x v="1"/>
    <s v="FUR-CH-10003061"/>
    <x v="0"/>
    <x v="1"/>
    <x v="12"/>
    <n v="71.992000000000004"/>
    <n v="1"/>
    <n v="-0.89990000000000003"/>
    <x v="1"/>
  </r>
  <r>
    <x v="300"/>
    <x v="272"/>
    <d v="2017-09-13T00:00:00"/>
    <x v="0"/>
    <s v="MM-18055"/>
    <s v="Michelle Moray"/>
    <s v="Consumer"/>
    <x v="0"/>
    <x v="9"/>
    <x v="8"/>
    <x v="3"/>
    <s v="FUR-TA-10004289"/>
    <x v="0"/>
    <x v="2"/>
    <x v="36"/>
    <n v="765.625"/>
    <n v="7"/>
    <n v="-566.5625"/>
    <x v="4"/>
  </r>
  <r>
    <x v="301"/>
    <x v="273"/>
    <d v="2017-10-13T00:00:00"/>
    <x v="1"/>
    <s v="DC-13285"/>
    <s v="Debra Catini"/>
    <s v="Consumer"/>
    <x v="0"/>
    <x v="28"/>
    <x v="2"/>
    <x v="1"/>
    <s v="FUR-BO-10003965"/>
    <x v="0"/>
    <x v="0"/>
    <x v="208"/>
    <n v="307.666"/>
    <n v="2"/>
    <n v="-14.478400000000001"/>
    <x v="1"/>
  </r>
  <r>
    <x v="302"/>
    <x v="128"/>
    <d v="2016-05-24T00:00:00"/>
    <x v="1"/>
    <s v="BN-11515"/>
    <s v="Bradley Nguyen"/>
    <s v="Consumer"/>
    <x v="0"/>
    <x v="13"/>
    <x v="7"/>
    <x v="2"/>
    <s v="FUR-FU-10002088"/>
    <x v="0"/>
    <x v="3"/>
    <x v="209"/>
    <n v="35.92"/>
    <n v="4"/>
    <n v="15.086399999999999"/>
    <x v="7"/>
  </r>
  <r>
    <x v="302"/>
    <x v="128"/>
    <d v="2016-05-24T00:00:00"/>
    <x v="1"/>
    <s v="BN-11515"/>
    <s v="Bradley Nguyen"/>
    <s v="Consumer"/>
    <x v="0"/>
    <x v="13"/>
    <x v="7"/>
    <x v="2"/>
    <s v="FUR-FU-10000010"/>
    <x v="0"/>
    <x v="3"/>
    <x v="109"/>
    <n v="39.76"/>
    <n v="8"/>
    <n v="12.3256"/>
    <x v="7"/>
  </r>
  <r>
    <x v="303"/>
    <x v="274"/>
    <d v="2015-12-25T00:00:00"/>
    <x v="1"/>
    <s v="KD-16345"/>
    <s v="Katherine Ducich"/>
    <s v="Consumer"/>
    <x v="0"/>
    <x v="9"/>
    <x v="8"/>
    <x v="3"/>
    <s v="FUR-BO-10003966"/>
    <x v="0"/>
    <x v="0"/>
    <x v="210"/>
    <n v="359.05799999999999"/>
    <n v="3"/>
    <n v="-71.811599999999999"/>
    <x v="5"/>
  </r>
  <r>
    <x v="304"/>
    <x v="275"/>
    <d v="2017-05-04T00:00:00"/>
    <x v="0"/>
    <s v="FM-14215"/>
    <s v="Filia McAdams"/>
    <s v="Corporate"/>
    <x v="0"/>
    <x v="24"/>
    <x v="15"/>
    <x v="2"/>
    <s v="FUR-TA-10001307"/>
    <x v="0"/>
    <x v="2"/>
    <x v="211"/>
    <n v="1048.3499999999999"/>
    <n v="5"/>
    <n v="-69.89"/>
    <x v="6"/>
  </r>
  <r>
    <x v="305"/>
    <x v="242"/>
    <d v="2017-11-03T00:00:00"/>
    <x v="1"/>
    <s v="MC-18100"/>
    <s v="Mick Crebagga"/>
    <s v="Consumer"/>
    <x v="0"/>
    <x v="3"/>
    <x v="3"/>
    <x v="2"/>
    <s v="FUR-FU-10004415"/>
    <x v="0"/>
    <x v="3"/>
    <x v="206"/>
    <n v="7.1680000000000001"/>
    <n v="2"/>
    <n v="0.98560000000000003"/>
    <x v="1"/>
  </r>
  <r>
    <x v="306"/>
    <x v="276"/>
    <d v="2015-11-27T00:00:00"/>
    <x v="1"/>
    <s v="MO-17800"/>
    <s v="Meg O'Connel"/>
    <s v="Home Office"/>
    <x v="0"/>
    <x v="21"/>
    <x v="5"/>
    <x v="3"/>
    <s v="FUR-TA-10004607"/>
    <x v="0"/>
    <x v="2"/>
    <x v="212"/>
    <n v="206.96199999999999"/>
    <n v="2"/>
    <n v="-32.522599999999997"/>
    <x v="0"/>
  </r>
  <r>
    <x v="307"/>
    <x v="277"/>
    <d v="2017-10-17T00:00:00"/>
    <x v="2"/>
    <s v="JW-15955"/>
    <s v="Joni Wasserman"/>
    <s v="Consumer"/>
    <x v="0"/>
    <x v="121"/>
    <x v="2"/>
    <x v="1"/>
    <s v="FUR-FU-10001918"/>
    <x v="0"/>
    <x v="3"/>
    <x v="60"/>
    <n v="9.4600000000000009"/>
    <n v="2"/>
    <n v="3.6894"/>
    <x v="1"/>
  </r>
  <r>
    <x v="308"/>
    <x v="278"/>
    <d v="2015-09-09T00:00:00"/>
    <x v="1"/>
    <s v="AG-10900"/>
    <s v="Arthur Gainer"/>
    <s v="Consumer"/>
    <x v="0"/>
    <x v="53"/>
    <x v="2"/>
    <x v="1"/>
    <s v="FUR-BO-10000330"/>
    <x v="0"/>
    <x v="0"/>
    <x v="213"/>
    <n v="411.33199999999999"/>
    <n v="4"/>
    <n v="-4.8391999999999999"/>
    <x v="4"/>
  </r>
  <r>
    <x v="308"/>
    <x v="278"/>
    <d v="2015-09-09T00:00:00"/>
    <x v="1"/>
    <s v="AG-10900"/>
    <s v="Arthur Gainer"/>
    <s v="Consumer"/>
    <x v="0"/>
    <x v="53"/>
    <x v="2"/>
    <x v="1"/>
    <s v="FUR-BO-10003159"/>
    <x v="0"/>
    <x v="0"/>
    <x v="214"/>
    <n v="293.19900000000001"/>
    <n v="3"/>
    <n v="-20.696400000000001"/>
    <x v="4"/>
  </r>
  <r>
    <x v="309"/>
    <x v="279"/>
    <d v="2016-08-08T00:00:00"/>
    <x v="1"/>
    <s v="ML-17755"/>
    <s v="Max Ludwig"/>
    <s v="Home Office"/>
    <x v="0"/>
    <x v="122"/>
    <x v="25"/>
    <x v="0"/>
    <s v="FUR-FU-10001591"/>
    <x v="0"/>
    <x v="3"/>
    <x v="215"/>
    <n v="109.8"/>
    <n v="9"/>
    <n v="46.116"/>
    <x v="10"/>
  </r>
  <r>
    <x v="310"/>
    <x v="280"/>
    <d v="2014-12-03T00:00:00"/>
    <x v="2"/>
    <s v="RP-19390"/>
    <s v="Resi Pšlking"/>
    <s v="Consumer"/>
    <x v="0"/>
    <x v="123"/>
    <x v="16"/>
    <x v="3"/>
    <s v="FUR-CH-10001854"/>
    <x v="0"/>
    <x v="1"/>
    <x v="216"/>
    <n v="2807.84"/>
    <n v="8"/>
    <n v="673.88160000000005"/>
    <x v="5"/>
  </r>
  <r>
    <x v="311"/>
    <x v="281"/>
    <d v="2016-07-11T00:00:00"/>
    <x v="1"/>
    <s v="RM-19375"/>
    <s v="Raymond Messe"/>
    <s v="Consumer"/>
    <x v="0"/>
    <x v="124"/>
    <x v="2"/>
    <x v="1"/>
    <s v="FUR-FU-10003039"/>
    <x v="0"/>
    <x v="3"/>
    <x v="102"/>
    <n v="215.65"/>
    <n v="5"/>
    <n v="73.320999999999998"/>
    <x v="3"/>
  </r>
  <r>
    <x v="312"/>
    <x v="282"/>
    <d v="2016-11-19T00:00:00"/>
    <x v="1"/>
    <s v="AS-10135"/>
    <s v="Adrian Shami"/>
    <s v="Home Office"/>
    <x v="0"/>
    <x v="83"/>
    <x v="13"/>
    <x v="1"/>
    <s v="FUR-FU-10004270"/>
    <x v="0"/>
    <x v="3"/>
    <x v="200"/>
    <n v="4.18"/>
    <n v="1"/>
    <n v="1.5047999999999999"/>
    <x v="0"/>
  </r>
  <r>
    <x v="313"/>
    <x v="283"/>
    <d v="2016-10-29T00:00:00"/>
    <x v="1"/>
    <s v="HK-14890"/>
    <s v="Heather Kirkland"/>
    <s v="Corporate"/>
    <x v="0"/>
    <x v="9"/>
    <x v="8"/>
    <x v="3"/>
    <s v="FUR-FU-10001196"/>
    <x v="0"/>
    <x v="3"/>
    <x v="217"/>
    <n v="16.155999999999999"/>
    <n v="7"/>
    <n v="-12.117000000000001"/>
    <x v="1"/>
  </r>
  <r>
    <x v="314"/>
    <x v="2"/>
    <d v="2014-06-11T00:00:00"/>
    <x v="0"/>
    <s v="FO-14305"/>
    <s v="Frank Olsen"/>
    <s v="Consumer"/>
    <x v="0"/>
    <x v="95"/>
    <x v="25"/>
    <x v="0"/>
    <s v="FUR-TA-10004534"/>
    <x v="0"/>
    <x v="2"/>
    <x v="28"/>
    <n v="1441.3"/>
    <n v="7"/>
    <n v="245.02099999999999"/>
    <x v="2"/>
  </r>
  <r>
    <x v="315"/>
    <x v="93"/>
    <d v="2017-11-26T00:00:00"/>
    <x v="1"/>
    <s v="BT-11680"/>
    <s v="Brian Thompson"/>
    <s v="Consumer"/>
    <x v="0"/>
    <x v="19"/>
    <x v="15"/>
    <x v="2"/>
    <s v="FUR-FU-10001861"/>
    <x v="0"/>
    <x v="3"/>
    <x v="57"/>
    <n v="77.599999999999994"/>
    <n v="5"/>
    <n v="28.13"/>
    <x v="0"/>
  </r>
  <r>
    <x v="315"/>
    <x v="93"/>
    <d v="2017-11-26T00:00:00"/>
    <x v="1"/>
    <s v="BT-11680"/>
    <s v="Brian Thompson"/>
    <s v="Consumer"/>
    <x v="0"/>
    <x v="19"/>
    <x v="15"/>
    <x v="2"/>
    <s v="FUR-FU-10000206"/>
    <x v="0"/>
    <x v="3"/>
    <x v="84"/>
    <n v="4.6559999999999997"/>
    <n v="2"/>
    <n v="1.5713999999999999"/>
    <x v="0"/>
  </r>
  <r>
    <x v="316"/>
    <x v="221"/>
    <d v="2015-09-18T00:00:00"/>
    <x v="1"/>
    <s v="SP-20620"/>
    <s v="Stefania Perrino"/>
    <s v="Corporate"/>
    <x v="0"/>
    <x v="2"/>
    <x v="2"/>
    <x v="1"/>
    <s v="FUR-TA-10002607"/>
    <x v="0"/>
    <x v="2"/>
    <x v="48"/>
    <n v="170.136"/>
    <n v="3"/>
    <n v="-8.5068000000000001"/>
    <x v="4"/>
  </r>
  <r>
    <x v="317"/>
    <x v="284"/>
    <d v="2014-05-29T00:00:00"/>
    <x v="1"/>
    <s v="JL-15235"/>
    <s v="Janet Lee"/>
    <s v="Consumer"/>
    <x v="0"/>
    <x v="9"/>
    <x v="8"/>
    <x v="3"/>
    <s v="FUR-FU-10002553"/>
    <x v="0"/>
    <x v="3"/>
    <x v="218"/>
    <n v="29.32"/>
    <n v="2"/>
    <n v="-24.189"/>
    <x v="7"/>
  </r>
  <r>
    <x v="318"/>
    <x v="285"/>
    <d v="2016-02-20T00:00:00"/>
    <x v="1"/>
    <s v="EA-14035"/>
    <s v="Erin Ashbrook"/>
    <s v="Corporate"/>
    <x v="0"/>
    <x v="9"/>
    <x v="8"/>
    <x v="3"/>
    <s v="FUR-CH-10004754"/>
    <x v="0"/>
    <x v="1"/>
    <x v="219"/>
    <n v="62.957999999999998"/>
    <n v="3"/>
    <n v="-2.6981999999999999"/>
    <x v="11"/>
  </r>
  <r>
    <x v="319"/>
    <x v="286"/>
    <d v="2016-12-28T00:00:00"/>
    <x v="1"/>
    <s v="SA-20830"/>
    <s v="Sue Ann Reed"/>
    <s v="Consumer"/>
    <x v="0"/>
    <x v="125"/>
    <x v="36"/>
    <x v="1"/>
    <s v="FUR-FU-10001935"/>
    <x v="0"/>
    <x v="3"/>
    <x v="73"/>
    <n v="11.84"/>
    <n v="4"/>
    <n v="3.1080000000000001"/>
    <x v="5"/>
  </r>
  <r>
    <x v="319"/>
    <x v="286"/>
    <d v="2016-12-28T00:00:00"/>
    <x v="1"/>
    <s v="SA-20830"/>
    <s v="Sue Ann Reed"/>
    <s v="Consumer"/>
    <x v="0"/>
    <x v="125"/>
    <x v="36"/>
    <x v="1"/>
    <s v="FUR-FU-10002878"/>
    <x v="0"/>
    <x v="3"/>
    <x v="220"/>
    <n v="22.783999999999999"/>
    <n v="1"/>
    <n v="4.8415999999999997"/>
    <x v="5"/>
  </r>
  <r>
    <x v="320"/>
    <x v="85"/>
    <d v="2017-10-21T00:00:00"/>
    <x v="3"/>
    <s v="SL-20155"/>
    <s v="Sara Luxemburg"/>
    <s v="Home Office"/>
    <x v="0"/>
    <x v="126"/>
    <x v="37"/>
    <x v="3"/>
    <s v="FUR-TA-10002356"/>
    <x v="0"/>
    <x v="2"/>
    <x v="147"/>
    <n v="262.11"/>
    <n v="1"/>
    <n v="62.906399999999998"/>
    <x v="1"/>
  </r>
  <r>
    <x v="321"/>
    <x v="287"/>
    <d v="2015-11-09T00:00:00"/>
    <x v="1"/>
    <s v="GB-14530"/>
    <s v="George Bell"/>
    <s v="Corporate"/>
    <x v="0"/>
    <x v="91"/>
    <x v="30"/>
    <x v="0"/>
    <s v="FUR-CH-10001270"/>
    <x v="0"/>
    <x v="1"/>
    <x v="170"/>
    <n v="207"/>
    <n v="3"/>
    <n v="25.875"/>
    <x v="0"/>
  </r>
  <r>
    <x v="322"/>
    <x v="288"/>
    <d v="2014-08-05T00:00:00"/>
    <x v="1"/>
    <s v="BF-10975"/>
    <s v="Barbara Fisher"/>
    <s v="Corporate"/>
    <x v="0"/>
    <x v="127"/>
    <x v="30"/>
    <x v="0"/>
    <s v="FUR-FU-10000629"/>
    <x v="0"/>
    <x v="3"/>
    <x v="22"/>
    <n v="44.128"/>
    <n v="4"/>
    <n v="12.135199999999999"/>
    <x v="10"/>
  </r>
  <r>
    <x v="323"/>
    <x v="196"/>
    <d v="2016-07-23T00:00:00"/>
    <x v="1"/>
    <s v="KH-16330"/>
    <s v="Katharine Harms"/>
    <s v="Corporate"/>
    <x v="0"/>
    <x v="128"/>
    <x v="0"/>
    <x v="0"/>
    <s v="FUR-CH-10000988"/>
    <x v="0"/>
    <x v="1"/>
    <x v="221"/>
    <n v="140.81"/>
    <n v="1"/>
    <n v="39.4268"/>
    <x v="3"/>
  </r>
  <r>
    <x v="324"/>
    <x v="289"/>
    <d v="2015-02-11T00:00:00"/>
    <x v="0"/>
    <s v="FA-14230"/>
    <s v="Frank Atkinson"/>
    <s v="Corporate"/>
    <x v="0"/>
    <x v="21"/>
    <x v="5"/>
    <x v="3"/>
    <s v="FUR-FU-10001986"/>
    <x v="0"/>
    <x v="3"/>
    <x v="222"/>
    <n v="40.783999999999999"/>
    <n v="2"/>
    <n v="-30.588000000000001"/>
    <x v="11"/>
  </r>
  <r>
    <x v="325"/>
    <x v="290"/>
    <d v="2017-01-17T00:00:00"/>
    <x v="0"/>
    <s v="DA-13450"/>
    <s v="Dianna Arnett"/>
    <s v="Home Office"/>
    <x v="0"/>
    <x v="85"/>
    <x v="29"/>
    <x v="2"/>
    <s v="FUR-FU-10004973"/>
    <x v="0"/>
    <x v="3"/>
    <x v="223"/>
    <n v="37.68"/>
    <n v="2"/>
    <n v="15.8256"/>
    <x v="8"/>
  </r>
  <r>
    <x v="326"/>
    <x v="291"/>
    <d v="2017-09-10T00:00:00"/>
    <x v="3"/>
    <s v="FH-14275"/>
    <s v="Frank Hawley"/>
    <s v="Corporate"/>
    <x v="0"/>
    <x v="2"/>
    <x v="2"/>
    <x v="1"/>
    <s v="FUR-CH-10002602"/>
    <x v="0"/>
    <x v="1"/>
    <x v="64"/>
    <n v="362.35199999999998"/>
    <n v="3"/>
    <n v="27.176400000000001"/>
    <x v="4"/>
  </r>
  <r>
    <x v="327"/>
    <x v="292"/>
    <d v="2017-03-27T00:00:00"/>
    <x v="2"/>
    <s v="GM-14440"/>
    <s v="Gary McGarr"/>
    <s v="Consumer"/>
    <x v="0"/>
    <x v="13"/>
    <x v="7"/>
    <x v="2"/>
    <s v="FUR-BO-10001918"/>
    <x v="0"/>
    <x v="0"/>
    <x v="224"/>
    <n v="257.56799999999998"/>
    <n v="2"/>
    <n v="-28.976400000000002"/>
    <x v="9"/>
  </r>
  <r>
    <x v="328"/>
    <x v="25"/>
    <d v="2016-10-17T00:00:00"/>
    <x v="1"/>
    <s v="NC-18625"/>
    <s v="Noah Childs"/>
    <s v="Corporate"/>
    <x v="0"/>
    <x v="14"/>
    <x v="12"/>
    <x v="1"/>
    <s v="FUR-TA-10004575"/>
    <x v="0"/>
    <x v="2"/>
    <x v="67"/>
    <n v="727.45"/>
    <n v="5"/>
    <n v="-465.56799999999998"/>
    <x v="1"/>
  </r>
  <r>
    <x v="328"/>
    <x v="25"/>
    <d v="2016-10-17T00:00:00"/>
    <x v="1"/>
    <s v="NC-18625"/>
    <s v="Noah Childs"/>
    <s v="Corporate"/>
    <x v="0"/>
    <x v="14"/>
    <x v="12"/>
    <x v="1"/>
    <s v="FUR-FU-10001617"/>
    <x v="0"/>
    <x v="3"/>
    <x v="225"/>
    <n v="24.96"/>
    <n v="3"/>
    <n v="4.3680000000000003"/>
    <x v="1"/>
  </r>
  <r>
    <x v="329"/>
    <x v="293"/>
    <d v="2017-04-18T00:00:00"/>
    <x v="2"/>
    <s v="AH-10075"/>
    <s v="Adam Hart"/>
    <s v="Corporate"/>
    <x v="0"/>
    <x v="0"/>
    <x v="34"/>
    <x v="1"/>
    <s v="FUR-FU-10004460"/>
    <x v="0"/>
    <x v="3"/>
    <x v="160"/>
    <n v="196.45"/>
    <n v="5"/>
    <n v="70.721999999999994"/>
    <x v="6"/>
  </r>
  <r>
    <x v="330"/>
    <x v="294"/>
    <d v="2014-07-25T00:00:00"/>
    <x v="1"/>
    <s v="ME-18010"/>
    <s v="Michelle Ellison"/>
    <s v="Corporate"/>
    <x v="0"/>
    <x v="28"/>
    <x v="2"/>
    <x v="1"/>
    <s v="FUR-CH-10001215"/>
    <x v="0"/>
    <x v="1"/>
    <x v="94"/>
    <n v="801.56799999999998"/>
    <n v="2"/>
    <n v="50.097999999999999"/>
    <x v="3"/>
  </r>
  <r>
    <x v="330"/>
    <x v="294"/>
    <d v="2014-07-25T00:00:00"/>
    <x v="1"/>
    <s v="ME-18010"/>
    <s v="Michelle Ellison"/>
    <s v="Corporate"/>
    <x v="0"/>
    <x v="28"/>
    <x v="2"/>
    <x v="1"/>
    <s v="FUR-TA-10004175"/>
    <x v="0"/>
    <x v="2"/>
    <x v="226"/>
    <n v="272.84800000000001"/>
    <n v="1"/>
    <n v="27.284800000000001"/>
    <x v="3"/>
  </r>
  <r>
    <x v="331"/>
    <x v="295"/>
    <d v="2017-11-25T00:00:00"/>
    <x v="1"/>
    <s v="BP-11230"/>
    <s v="Benjamin Patterson"/>
    <s v="Consumer"/>
    <x v="0"/>
    <x v="129"/>
    <x v="13"/>
    <x v="1"/>
    <s v="FUR-TA-10004767"/>
    <x v="0"/>
    <x v="2"/>
    <x v="227"/>
    <n v="70.98"/>
    <n v="1"/>
    <n v="20.584199999999999"/>
    <x v="0"/>
  </r>
  <r>
    <x v="332"/>
    <x v="296"/>
    <d v="2016-03-16T00:00:00"/>
    <x v="1"/>
    <s v="CJ-12010"/>
    <s v="Caroline Jumper"/>
    <s v="Consumer"/>
    <x v="0"/>
    <x v="62"/>
    <x v="7"/>
    <x v="2"/>
    <s v="FUR-BO-10003272"/>
    <x v="0"/>
    <x v="0"/>
    <x v="122"/>
    <n v="176.78399999999999"/>
    <n v="1"/>
    <n v="-22.097999999999999"/>
    <x v="9"/>
  </r>
  <r>
    <x v="333"/>
    <x v="297"/>
    <d v="2018-01-02T00:00:00"/>
    <x v="1"/>
    <s v="JG-15160"/>
    <s v="James Galang"/>
    <s v="Consumer"/>
    <x v="0"/>
    <x v="2"/>
    <x v="2"/>
    <x v="1"/>
    <s v="FUR-CH-10002880"/>
    <x v="0"/>
    <x v="1"/>
    <x v="162"/>
    <n v="393.56799999999998"/>
    <n v="4"/>
    <n v="-44.276400000000002"/>
    <x v="5"/>
  </r>
  <r>
    <x v="334"/>
    <x v="298"/>
    <d v="2015-03-05T00:00:00"/>
    <x v="3"/>
    <s v="LF-17185"/>
    <s v="Luke Foster"/>
    <s v="Consumer"/>
    <x v="0"/>
    <x v="13"/>
    <x v="7"/>
    <x v="2"/>
    <s v="FUR-CH-10001146"/>
    <x v="0"/>
    <x v="1"/>
    <x v="15"/>
    <n v="383.60700000000003"/>
    <n v="7"/>
    <n v="63.9345"/>
    <x v="9"/>
  </r>
  <r>
    <x v="335"/>
    <x v="74"/>
    <d v="2016-04-26T00:00:00"/>
    <x v="0"/>
    <s v="PG-18895"/>
    <s v="Paul Gonzalez"/>
    <s v="Consumer"/>
    <x v="0"/>
    <x v="28"/>
    <x v="2"/>
    <x v="1"/>
    <s v="FUR-FU-10001889"/>
    <x v="0"/>
    <x v="3"/>
    <x v="228"/>
    <n v="31.56"/>
    <n v="3"/>
    <n v="10.4148"/>
    <x v="6"/>
  </r>
  <r>
    <x v="336"/>
    <x v="299"/>
    <d v="2014-10-22T00:00:00"/>
    <x v="2"/>
    <s v="TB-21520"/>
    <s v="Tracy Blumstein"/>
    <s v="Consumer"/>
    <x v="0"/>
    <x v="130"/>
    <x v="15"/>
    <x v="2"/>
    <s v="FUR-TA-10000617"/>
    <x v="0"/>
    <x v="2"/>
    <x v="72"/>
    <n v="409.59"/>
    <n v="3"/>
    <n v="-122.877"/>
    <x v="1"/>
  </r>
  <r>
    <x v="337"/>
    <x v="300"/>
    <d v="2014-09-02T00:00:00"/>
    <x v="0"/>
    <s v="RA-19945"/>
    <s v="Ryan Akin"/>
    <s v="Consumer"/>
    <x v="0"/>
    <x v="89"/>
    <x v="1"/>
    <x v="0"/>
    <s v="FUR-TA-10001857"/>
    <x v="0"/>
    <x v="2"/>
    <x v="91"/>
    <n v="174.05850000000001"/>
    <n v="3"/>
    <n v="-110.7645"/>
    <x v="10"/>
  </r>
  <r>
    <x v="338"/>
    <x v="85"/>
    <d v="2017-10-22T00:00:00"/>
    <x v="2"/>
    <s v="DK-12835"/>
    <s v="Damala Kotsonis"/>
    <s v="Corporate"/>
    <x v="0"/>
    <x v="76"/>
    <x v="36"/>
    <x v="1"/>
    <s v="FUR-CH-10000155"/>
    <x v="0"/>
    <x v="1"/>
    <x v="229"/>
    <n v="478.48"/>
    <n v="2"/>
    <n v="47.847999999999999"/>
    <x v="1"/>
  </r>
  <r>
    <x v="339"/>
    <x v="136"/>
    <d v="2015-02-04T00:00:00"/>
    <x v="2"/>
    <s v="RW-19540"/>
    <s v="Rick Wilson"/>
    <s v="Corporate"/>
    <x v="0"/>
    <x v="2"/>
    <x v="2"/>
    <x v="1"/>
    <s v="FUR-FU-10004093"/>
    <x v="0"/>
    <x v="3"/>
    <x v="230"/>
    <n v="136.91999999999999"/>
    <n v="4"/>
    <n v="41.076000000000001"/>
    <x v="11"/>
  </r>
  <r>
    <x v="340"/>
    <x v="186"/>
    <d v="2017-12-23T00:00:00"/>
    <x v="1"/>
    <s v="DB-13660"/>
    <s v="Duane Benoit"/>
    <s v="Consumer"/>
    <x v="0"/>
    <x v="64"/>
    <x v="7"/>
    <x v="2"/>
    <s v="FUR-FU-10001037"/>
    <x v="0"/>
    <x v="3"/>
    <x v="231"/>
    <n v="18.96"/>
    <n v="2"/>
    <n v="8.532"/>
    <x v="5"/>
  </r>
  <r>
    <x v="341"/>
    <x v="301"/>
    <d v="2017-08-19T00:00:00"/>
    <x v="2"/>
    <s v="EH-13765"/>
    <s v="Edward Hooks"/>
    <s v="Corporate"/>
    <x v="0"/>
    <x v="115"/>
    <x v="7"/>
    <x v="2"/>
    <s v="FUR-CH-10003981"/>
    <x v="0"/>
    <x v="1"/>
    <x v="232"/>
    <n v="462.56400000000002"/>
    <n v="2"/>
    <n v="97.6524"/>
    <x v="10"/>
  </r>
  <r>
    <x v="342"/>
    <x v="302"/>
    <d v="2017-08-10T00:00:00"/>
    <x v="0"/>
    <s v="SV-20365"/>
    <s v="Seth Vernon"/>
    <s v="Consumer"/>
    <x v="0"/>
    <x v="120"/>
    <x v="35"/>
    <x v="0"/>
    <s v="FUR-BO-10000468"/>
    <x v="0"/>
    <x v="0"/>
    <x v="233"/>
    <n v="145.74"/>
    <n v="3"/>
    <n v="23.3184"/>
    <x v="10"/>
  </r>
  <r>
    <x v="342"/>
    <x v="302"/>
    <d v="2017-08-10T00:00:00"/>
    <x v="0"/>
    <s v="SV-20365"/>
    <s v="Seth Vernon"/>
    <s v="Consumer"/>
    <x v="0"/>
    <x v="120"/>
    <x v="35"/>
    <x v="0"/>
    <s v="FUR-FU-10001706"/>
    <x v="0"/>
    <x v="3"/>
    <x v="11"/>
    <n v="15.4"/>
    <n v="5"/>
    <n v="7.3920000000000003"/>
    <x v="10"/>
  </r>
  <r>
    <x v="343"/>
    <x v="303"/>
    <d v="2015-05-27T00:00:00"/>
    <x v="0"/>
    <s v="NP-18685"/>
    <s v="Nora Pelletier"/>
    <s v="Home Office"/>
    <x v="0"/>
    <x v="28"/>
    <x v="2"/>
    <x v="1"/>
    <s v="FUR-FU-10002268"/>
    <x v="0"/>
    <x v="3"/>
    <x v="172"/>
    <n v="14.73"/>
    <n v="3"/>
    <n v="4.8609"/>
    <x v="7"/>
  </r>
  <r>
    <x v="344"/>
    <x v="304"/>
    <d v="2016-07-12T00:00:00"/>
    <x v="1"/>
    <s v="JE-15715"/>
    <s v="Joe Elijah"/>
    <s v="Consumer"/>
    <x v="0"/>
    <x v="131"/>
    <x v="12"/>
    <x v="1"/>
    <s v="FUR-CH-10004287"/>
    <x v="0"/>
    <x v="1"/>
    <x v="32"/>
    <n v="662.88"/>
    <n v="3"/>
    <n v="74.573999999999998"/>
    <x v="3"/>
  </r>
  <r>
    <x v="345"/>
    <x v="113"/>
    <d v="2017-09-06T00:00:00"/>
    <x v="1"/>
    <s v="AC-10615"/>
    <s v="Ann Chong"/>
    <s v="Corporate"/>
    <x v="0"/>
    <x v="13"/>
    <x v="7"/>
    <x v="2"/>
    <s v="FUR-FU-10001196"/>
    <x v="0"/>
    <x v="3"/>
    <x v="217"/>
    <n v="11.54"/>
    <n v="2"/>
    <n v="3.4620000000000002"/>
    <x v="4"/>
  </r>
  <r>
    <x v="345"/>
    <x v="113"/>
    <d v="2017-09-06T00:00:00"/>
    <x v="1"/>
    <s v="AC-10615"/>
    <s v="Ann Chong"/>
    <s v="Corporate"/>
    <x v="0"/>
    <x v="13"/>
    <x v="7"/>
    <x v="2"/>
    <s v="FUR-TA-10001889"/>
    <x v="0"/>
    <x v="2"/>
    <x v="87"/>
    <n v="254.52600000000001"/>
    <n v="1"/>
    <n v="-93.3262"/>
    <x v="4"/>
  </r>
  <r>
    <x v="345"/>
    <x v="113"/>
    <d v="2017-09-06T00:00:00"/>
    <x v="1"/>
    <s v="AC-10615"/>
    <s v="Ann Chong"/>
    <s v="Corporate"/>
    <x v="0"/>
    <x v="13"/>
    <x v="7"/>
    <x v="2"/>
    <s v="FUR-CH-10003379"/>
    <x v="0"/>
    <x v="1"/>
    <x v="96"/>
    <n v="1282.4100000000001"/>
    <n v="5"/>
    <n v="213.73500000000001"/>
    <x v="4"/>
  </r>
  <r>
    <x v="346"/>
    <x v="305"/>
    <d v="2014-10-20T00:00:00"/>
    <x v="0"/>
    <s v="AS-10225"/>
    <s v="Alan Schoenberger"/>
    <s v="Corporate"/>
    <x v="0"/>
    <x v="132"/>
    <x v="33"/>
    <x v="0"/>
    <s v="FUR-CH-10003774"/>
    <x v="0"/>
    <x v="1"/>
    <x v="234"/>
    <n v="545.88"/>
    <n v="6"/>
    <n v="70.964399999999998"/>
    <x v="1"/>
  </r>
  <r>
    <x v="347"/>
    <x v="65"/>
    <d v="2016-04-14T00:00:00"/>
    <x v="3"/>
    <s v="KT-16465"/>
    <s v="Kean Takahito"/>
    <s v="Consumer"/>
    <x v="0"/>
    <x v="110"/>
    <x v="22"/>
    <x v="1"/>
    <s v="FUR-CH-10004086"/>
    <x v="0"/>
    <x v="1"/>
    <x v="61"/>
    <n v="933.53599999999994"/>
    <n v="4"/>
    <n v="105.0228"/>
    <x v="6"/>
  </r>
  <r>
    <x v="348"/>
    <x v="306"/>
    <d v="2014-11-27T00:00:00"/>
    <x v="0"/>
    <s v="LW-16825"/>
    <s v="Laurel Workman"/>
    <s v="Corporate"/>
    <x v="0"/>
    <x v="133"/>
    <x v="2"/>
    <x v="1"/>
    <s v="FUR-FU-10001940"/>
    <x v="0"/>
    <x v="3"/>
    <x v="47"/>
    <n v="23.88"/>
    <n v="3"/>
    <n v="10.507199999999999"/>
    <x v="0"/>
  </r>
  <r>
    <x v="349"/>
    <x v="307"/>
    <d v="2015-11-13T00:00:00"/>
    <x v="1"/>
    <s v="AS-10090"/>
    <s v="Adam Shillingsburg"/>
    <s v="Consumer"/>
    <x v="0"/>
    <x v="76"/>
    <x v="23"/>
    <x v="3"/>
    <s v="FUR-TA-10002855"/>
    <x v="0"/>
    <x v="2"/>
    <x v="235"/>
    <n v="1024.3800000000001"/>
    <n v="7"/>
    <n v="215.1198"/>
    <x v="0"/>
  </r>
  <r>
    <x v="350"/>
    <x v="308"/>
    <d v="2017-12-04T00:00:00"/>
    <x v="0"/>
    <s v="JS-16030"/>
    <s v="Joy Smith"/>
    <s v="Consumer"/>
    <x v="0"/>
    <x v="6"/>
    <x v="5"/>
    <x v="3"/>
    <s v="FUR-FU-10004020"/>
    <x v="0"/>
    <x v="3"/>
    <x v="104"/>
    <n v="8.7520000000000007"/>
    <n v="4"/>
    <n v="-3.7195999999999998"/>
    <x v="5"/>
  </r>
  <r>
    <x v="351"/>
    <x v="19"/>
    <d v="2017-12-28T00:00:00"/>
    <x v="0"/>
    <s v="JW-15955"/>
    <s v="Joni Wasserman"/>
    <s v="Consumer"/>
    <x v="0"/>
    <x v="74"/>
    <x v="0"/>
    <x v="0"/>
    <s v="FUR-CH-10001146"/>
    <x v="0"/>
    <x v="1"/>
    <x v="15"/>
    <n v="304.45"/>
    <n v="5"/>
    <n v="76.112499999999997"/>
    <x v="5"/>
  </r>
  <r>
    <x v="352"/>
    <x v="309"/>
    <d v="2017-08-04T00:00:00"/>
    <x v="2"/>
    <s v="CM-12190"/>
    <s v="Charlotte Melton"/>
    <s v="Consumer"/>
    <x v="0"/>
    <x v="9"/>
    <x v="8"/>
    <x v="3"/>
    <s v="FUR-BO-10003034"/>
    <x v="0"/>
    <x v="0"/>
    <x v="236"/>
    <n v="183.37200000000001"/>
    <n v="2"/>
    <n v="-36.674399999999999"/>
    <x v="10"/>
  </r>
  <r>
    <x v="353"/>
    <x v="126"/>
    <d v="2016-09-23T00:00:00"/>
    <x v="1"/>
    <s v="AM-10705"/>
    <s v="Anne McFarland"/>
    <s v="Consumer"/>
    <x v="0"/>
    <x v="83"/>
    <x v="33"/>
    <x v="0"/>
    <s v="FUR-CH-10001854"/>
    <x v="0"/>
    <x v="1"/>
    <x v="216"/>
    <n v="350.98"/>
    <n v="1"/>
    <n v="84.235200000000006"/>
    <x v="4"/>
  </r>
  <r>
    <x v="354"/>
    <x v="107"/>
    <d v="2016-09-21T00:00:00"/>
    <x v="2"/>
    <s v="RH-19510"/>
    <s v="Rick Huthwaite"/>
    <s v="Home Office"/>
    <x v="0"/>
    <x v="134"/>
    <x v="38"/>
    <x v="2"/>
    <s v="FUR-CH-10004675"/>
    <x v="0"/>
    <x v="1"/>
    <x v="135"/>
    <n v="872.32"/>
    <n v="4"/>
    <n v="244.24959999999999"/>
    <x v="4"/>
  </r>
  <r>
    <x v="355"/>
    <x v="310"/>
    <d v="2015-03-15T00:00:00"/>
    <x v="2"/>
    <s v="MC-17275"/>
    <s v="Marc Crier"/>
    <s v="Consumer"/>
    <x v="0"/>
    <x v="15"/>
    <x v="13"/>
    <x v="1"/>
    <s v="FUR-BO-10004409"/>
    <x v="0"/>
    <x v="0"/>
    <x v="134"/>
    <n v="141.96"/>
    <n v="2"/>
    <n v="39.748800000000003"/>
    <x v="9"/>
  </r>
  <r>
    <x v="356"/>
    <x v="58"/>
    <d v="2017-09-29T00:00:00"/>
    <x v="1"/>
    <s v="CT-11995"/>
    <s v="Carol Triggs"/>
    <s v="Consumer"/>
    <x v="0"/>
    <x v="77"/>
    <x v="11"/>
    <x v="3"/>
    <s v="FUR-CH-10003061"/>
    <x v="0"/>
    <x v="1"/>
    <x v="12"/>
    <n v="269.97000000000003"/>
    <n v="3"/>
    <n v="51.2943"/>
    <x v="4"/>
  </r>
  <r>
    <x v="357"/>
    <x v="311"/>
    <d v="2015-06-23T00:00:00"/>
    <x v="1"/>
    <s v="SN-20560"/>
    <s v="Skye Norling"/>
    <s v="Home Office"/>
    <x v="0"/>
    <x v="117"/>
    <x v="22"/>
    <x v="1"/>
    <s v="FUR-FU-10004973"/>
    <x v="0"/>
    <x v="3"/>
    <x v="223"/>
    <n v="75.36"/>
    <n v="5"/>
    <n v="20.724"/>
    <x v="2"/>
  </r>
  <r>
    <x v="358"/>
    <x v="312"/>
    <d v="2015-07-13T00:00:00"/>
    <x v="2"/>
    <s v="CK-12595"/>
    <s v="Clytie Kelty"/>
    <s v="Consumer"/>
    <x v="0"/>
    <x v="3"/>
    <x v="3"/>
    <x v="2"/>
    <s v="FUR-FU-10004848"/>
    <x v="0"/>
    <x v="3"/>
    <x v="7"/>
    <n v="289.8"/>
    <n v="7"/>
    <n v="36.225000000000001"/>
    <x v="3"/>
  </r>
  <r>
    <x v="358"/>
    <x v="312"/>
    <d v="2015-07-13T00:00:00"/>
    <x v="2"/>
    <s v="CK-12595"/>
    <s v="Clytie Kelty"/>
    <s v="Consumer"/>
    <x v="0"/>
    <x v="3"/>
    <x v="3"/>
    <x v="2"/>
    <s v="FUR-CH-10003833"/>
    <x v="0"/>
    <x v="1"/>
    <x v="237"/>
    <n v="341.488"/>
    <n v="8"/>
    <n v="-73.176000000000002"/>
    <x v="3"/>
  </r>
  <r>
    <x v="358"/>
    <x v="312"/>
    <d v="2015-07-13T00:00:00"/>
    <x v="2"/>
    <s v="CK-12595"/>
    <s v="Clytie Kelty"/>
    <s v="Consumer"/>
    <x v="0"/>
    <x v="3"/>
    <x v="3"/>
    <x v="2"/>
    <s v="FUR-FU-10003142"/>
    <x v="0"/>
    <x v="3"/>
    <x v="238"/>
    <n v="25.344000000000001"/>
    <n v="6"/>
    <n v="3.4847999999999999"/>
    <x v="3"/>
  </r>
  <r>
    <x v="359"/>
    <x v="193"/>
    <d v="2016-12-07T00:00:00"/>
    <x v="1"/>
    <s v="RD-19480"/>
    <s v="Rick Duston"/>
    <s v="Consumer"/>
    <x v="0"/>
    <x v="52"/>
    <x v="6"/>
    <x v="3"/>
    <s v="FUR-FU-10001196"/>
    <x v="0"/>
    <x v="3"/>
    <x v="217"/>
    <n v="17.309999999999999"/>
    <n v="3"/>
    <n v="5.1929999999999996"/>
    <x v="5"/>
  </r>
  <r>
    <x v="360"/>
    <x v="313"/>
    <d v="2017-12-25T00:00:00"/>
    <x v="2"/>
    <s v="TP-21130"/>
    <s v="Theone Pippenger"/>
    <s v="Consumer"/>
    <x v="0"/>
    <x v="25"/>
    <x v="17"/>
    <x v="3"/>
    <s v="FUR-CH-10002335"/>
    <x v="0"/>
    <x v="1"/>
    <x v="133"/>
    <n v="1586.69"/>
    <n v="7"/>
    <n v="412.5394"/>
    <x v="5"/>
  </r>
  <r>
    <x v="360"/>
    <x v="313"/>
    <d v="2017-12-25T00:00:00"/>
    <x v="2"/>
    <s v="TP-21130"/>
    <s v="Theone Pippenger"/>
    <s v="Consumer"/>
    <x v="0"/>
    <x v="25"/>
    <x v="17"/>
    <x v="3"/>
    <s v="FUR-TA-10004534"/>
    <x v="0"/>
    <x v="2"/>
    <x v="28"/>
    <n v="411.8"/>
    <n v="2"/>
    <n v="70.006"/>
    <x v="5"/>
  </r>
  <r>
    <x v="361"/>
    <x v="314"/>
    <d v="2014-11-04T00:00:00"/>
    <x v="1"/>
    <s v="GG-14650"/>
    <s v="Greg Guthrie"/>
    <s v="Corporate"/>
    <x v="0"/>
    <x v="2"/>
    <x v="2"/>
    <x v="1"/>
    <s v="FUR-CH-10003833"/>
    <x v="0"/>
    <x v="1"/>
    <x v="237"/>
    <n v="146.352"/>
    <n v="3"/>
    <n v="-9.1470000000000002"/>
    <x v="1"/>
  </r>
  <r>
    <x v="362"/>
    <x v="315"/>
    <d v="2015-04-19T00:00:00"/>
    <x v="1"/>
    <s v="ZC-21910"/>
    <s v="Zuschuss Carroll"/>
    <s v="Consumer"/>
    <x v="0"/>
    <x v="135"/>
    <x v="2"/>
    <x v="1"/>
    <s v="FUR-TA-10003954"/>
    <x v="0"/>
    <x v="2"/>
    <x v="239"/>
    <n v="710.83199999999999"/>
    <n v="3"/>
    <n v="-97.739400000000003"/>
    <x v="6"/>
  </r>
  <r>
    <x v="363"/>
    <x v="93"/>
    <d v="2017-11-25T00:00:00"/>
    <x v="1"/>
    <s v="KA-16525"/>
    <s v="Kelly Andreada"/>
    <s v="Consumer"/>
    <x v="0"/>
    <x v="136"/>
    <x v="2"/>
    <x v="1"/>
    <s v="FUR-CH-10003956"/>
    <x v="0"/>
    <x v="1"/>
    <x v="76"/>
    <n v="283.92"/>
    <n v="5"/>
    <n v="-46.137"/>
    <x v="0"/>
  </r>
  <r>
    <x v="364"/>
    <x v="280"/>
    <d v="2014-12-05T00:00:00"/>
    <x v="1"/>
    <s v="TR-21325"/>
    <s v="Toby Ritter"/>
    <s v="Consumer"/>
    <x v="0"/>
    <x v="28"/>
    <x v="2"/>
    <x v="1"/>
    <s v="FUR-FU-10001861"/>
    <x v="0"/>
    <x v="3"/>
    <x v="57"/>
    <n v="58.2"/>
    <n v="3"/>
    <n v="28.518000000000001"/>
    <x v="5"/>
  </r>
  <r>
    <x v="365"/>
    <x v="37"/>
    <d v="2015-12-29T00:00:00"/>
    <x v="1"/>
    <s v="MS-17365"/>
    <s v="Maribeth Schnelling"/>
    <s v="Consumer"/>
    <x v="0"/>
    <x v="43"/>
    <x v="22"/>
    <x v="1"/>
    <s v="FUR-FU-10002885"/>
    <x v="0"/>
    <x v="3"/>
    <x v="152"/>
    <n v="7.7119999999999997"/>
    <n v="2"/>
    <n v="1.7352000000000001"/>
    <x v="5"/>
  </r>
  <r>
    <x v="366"/>
    <x v="316"/>
    <d v="2017-07-19T00:00:00"/>
    <x v="1"/>
    <s v="MM-17260"/>
    <s v="Magdelene Morse"/>
    <s v="Consumer"/>
    <x v="0"/>
    <x v="16"/>
    <x v="14"/>
    <x v="2"/>
    <s v="FUR-TA-10004607"/>
    <x v="0"/>
    <x v="2"/>
    <x v="212"/>
    <n v="310.44299999999998"/>
    <n v="3"/>
    <n v="-48.783900000000003"/>
    <x v="3"/>
  </r>
  <r>
    <x v="367"/>
    <x v="317"/>
    <d v="2014-11-21T00:00:00"/>
    <x v="1"/>
    <s v="MP-17470"/>
    <s v="Mark Packer"/>
    <s v="Home Office"/>
    <x v="0"/>
    <x v="137"/>
    <x v="11"/>
    <x v="3"/>
    <s v="FUR-CH-10004289"/>
    <x v="0"/>
    <x v="1"/>
    <x v="196"/>
    <n v="479.9"/>
    <n v="5"/>
    <n v="81.582999999999998"/>
    <x v="0"/>
  </r>
  <r>
    <x v="368"/>
    <x v="318"/>
    <d v="2014-07-18T00:00:00"/>
    <x v="3"/>
    <s v="AH-10120"/>
    <s v="Adrian Hane"/>
    <s v="Home Office"/>
    <x v="0"/>
    <x v="104"/>
    <x v="22"/>
    <x v="1"/>
    <s v="FUR-CH-10002372"/>
    <x v="0"/>
    <x v="1"/>
    <x v="83"/>
    <n v="259.13600000000002"/>
    <n v="4"/>
    <n v="-25.913599999999999"/>
    <x v="3"/>
  </r>
  <r>
    <x v="369"/>
    <x v="319"/>
    <d v="2015-10-31T00:00:00"/>
    <x v="3"/>
    <s v="SG-20080"/>
    <s v="Sandra Glassco"/>
    <s v="Consumer"/>
    <x v="0"/>
    <x v="138"/>
    <x v="2"/>
    <x v="1"/>
    <s v="FUR-CH-10004218"/>
    <x v="0"/>
    <x v="1"/>
    <x v="10"/>
    <n v="323.13600000000002"/>
    <n v="4"/>
    <n v="20.196000000000002"/>
    <x v="1"/>
  </r>
  <r>
    <x v="369"/>
    <x v="319"/>
    <d v="2015-10-31T00:00:00"/>
    <x v="3"/>
    <s v="SG-20080"/>
    <s v="Sandra Glassco"/>
    <s v="Consumer"/>
    <x v="0"/>
    <x v="138"/>
    <x v="2"/>
    <x v="1"/>
    <s v="FUR-BO-10002213"/>
    <x v="0"/>
    <x v="0"/>
    <x v="240"/>
    <n v="425.83300000000003"/>
    <n v="1"/>
    <n v="20.039200000000001"/>
    <x v="1"/>
  </r>
  <r>
    <x v="370"/>
    <x v="33"/>
    <d v="2015-10-17T00:00:00"/>
    <x v="0"/>
    <s v="RK-19300"/>
    <s v="Ralph Kennedy"/>
    <s v="Consumer"/>
    <x v="0"/>
    <x v="77"/>
    <x v="7"/>
    <x v="2"/>
    <s v="FUR-TA-10001307"/>
    <x v="0"/>
    <x v="2"/>
    <x v="211"/>
    <n v="209.67"/>
    <n v="1"/>
    <n v="-13.978"/>
    <x v="1"/>
  </r>
  <r>
    <x v="371"/>
    <x v="17"/>
    <d v="2017-11-11T00:00:00"/>
    <x v="2"/>
    <s v="JB-15400"/>
    <s v="Jennifer Braxton"/>
    <s v="Corporate"/>
    <x v="0"/>
    <x v="139"/>
    <x v="2"/>
    <x v="1"/>
    <s v="FUR-CH-10003061"/>
    <x v="0"/>
    <x v="1"/>
    <x v="12"/>
    <n v="215.976"/>
    <n v="3"/>
    <n v="-2.6997"/>
    <x v="0"/>
  </r>
  <r>
    <x v="372"/>
    <x v="320"/>
    <d v="2017-09-24T00:00:00"/>
    <x v="0"/>
    <s v="EH-14005"/>
    <s v="Erica Hernandez"/>
    <s v="Home Office"/>
    <x v="0"/>
    <x v="140"/>
    <x v="17"/>
    <x v="3"/>
    <s v="FUR-BO-10001972"/>
    <x v="0"/>
    <x v="0"/>
    <x v="75"/>
    <n v="241.96"/>
    <n v="2"/>
    <n v="41.133200000000002"/>
    <x v="4"/>
  </r>
  <r>
    <x v="373"/>
    <x v="103"/>
    <d v="2015-10-09T00:00:00"/>
    <x v="1"/>
    <s v="JK-16120"/>
    <s v="Julie Kriz"/>
    <s v="Home Office"/>
    <x v="0"/>
    <x v="3"/>
    <x v="3"/>
    <x v="2"/>
    <s v="FUR-FU-10003623"/>
    <x v="0"/>
    <x v="3"/>
    <x v="241"/>
    <n v="64.944000000000003"/>
    <n v="3"/>
    <n v="6.4943999999999997"/>
    <x v="1"/>
  </r>
  <r>
    <x v="374"/>
    <x v="321"/>
    <d v="2014-05-22T00:00:00"/>
    <x v="0"/>
    <s v="RF-19345"/>
    <s v="Randy Ferguson"/>
    <s v="Corporate"/>
    <x v="0"/>
    <x v="63"/>
    <x v="28"/>
    <x v="2"/>
    <s v="FUR-FU-10000076"/>
    <x v="0"/>
    <x v="3"/>
    <x v="175"/>
    <n v="139.86000000000001"/>
    <n v="7"/>
    <n v="60.139800000000001"/>
    <x v="7"/>
  </r>
  <r>
    <x v="375"/>
    <x v="322"/>
    <d v="2016-01-05T00:00:00"/>
    <x v="1"/>
    <s v="TB-21625"/>
    <s v="Trudy Brown"/>
    <s v="Consumer"/>
    <x v="0"/>
    <x v="141"/>
    <x v="5"/>
    <x v="3"/>
    <s v="FUR-FU-10002364"/>
    <x v="0"/>
    <x v="3"/>
    <x v="242"/>
    <n v="14.76"/>
    <n v="5"/>
    <n v="-11.439"/>
    <x v="5"/>
  </r>
  <r>
    <x v="376"/>
    <x v="323"/>
    <d v="2014-06-11T00:00:00"/>
    <x v="1"/>
    <s v="GT-14635"/>
    <s v="Grant Thornton"/>
    <s v="Corporate"/>
    <x v="0"/>
    <x v="62"/>
    <x v="7"/>
    <x v="2"/>
    <s v="FUR-TA-10003238"/>
    <x v="0"/>
    <x v="2"/>
    <x v="243"/>
    <n v="991.76400000000001"/>
    <n v="3"/>
    <n v="-347.11739999999998"/>
    <x v="2"/>
  </r>
  <r>
    <x v="377"/>
    <x v="324"/>
    <d v="2016-06-29T00:00:00"/>
    <x v="1"/>
    <s v="TS-21160"/>
    <s v="Theresa Swint"/>
    <s v="Corporate"/>
    <x v="0"/>
    <x v="142"/>
    <x v="3"/>
    <x v="2"/>
    <s v="FUR-CH-10002965"/>
    <x v="0"/>
    <x v="1"/>
    <x v="50"/>
    <n v="422.05799999999999"/>
    <n v="3"/>
    <n v="-18.088200000000001"/>
    <x v="2"/>
  </r>
  <r>
    <x v="378"/>
    <x v="202"/>
    <d v="2014-12-17T00:00:00"/>
    <x v="1"/>
    <s v="WB-21850"/>
    <s v="William Brown"/>
    <s v="Consumer"/>
    <x v="0"/>
    <x v="41"/>
    <x v="2"/>
    <x v="1"/>
    <s v="FUR-FU-10003975"/>
    <x v="0"/>
    <x v="3"/>
    <x v="156"/>
    <n v="43.31"/>
    <n v="1"/>
    <n v="4.3310000000000004"/>
    <x v="5"/>
  </r>
  <r>
    <x v="379"/>
    <x v="49"/>
    <d v="2017-11-26T00:00:00"/>
    <x v="1"/>
    <s v="AF-10870"/>
    <s v="Art Ferguson"/>
    <s v="Consumer"/>
    <x v="0"/>
    <x v="143"/>
    <x v="5"/>
    <x v="3"/>
    <s v="FUR-CH-10001973"/>
    <x v="0"/>
    <x v="1"/>
    <x v="183"/>
    <n v="233.05799999999999"/>
    <n v="3"/>
    <n v="-53.270400000000002"/>
    <x v="0"/>
  </r>
  <r>
    <x v="380"/>
    <x v="325"/>
    <d v="2016-05-05T00:00:00"/>
    <x v="1"/>
    <s v="BF-11170"/>
    <s v="Ben Ferrer"/>
    <s v="Home Office"/>
    <x v="0"/>
    <x v="144"/>
    <x v="5"/>
    <x v="3"/>
    <s v="FUR-FU-10004973"/>
    <x v="0"/>
    <x v="3"/>
    <x v="223"/>
    <n v="22.608000000000001"/>
    <n v="3"/>
    <n v="-10.1736"/>
    <x v="6"/>
  </r>
  <r>
    <x v="381"/>
    <x v="326"/>
    <d v="2016-05-14T00:00:00"/>
    <x v="3"/>
    <s v="LH-17155"/>
    <s v="Logan Haushalter"/>
    <s v="Consumer"/>
    <x v="0"/>
    <x v="145"/>
    <x v="15"/>
    <x v="2"/>
    <s v="FUR-FU-10002937"/>
    <x v="0"/>
    <x v="3"/>
    <x v="205"/>
    <n v="79.384"/>
    <n v="1"/>
    <n v="29.768999999999998"/>
    <x v="7"/>
  </r>
  <r>
    <x v="382"/>
    <x v="25"/>
    <d v="2016-10-19T00:00:00"/>
    <x v="1"/>
    <s v="HA-14920"/>
    <s v="Helen Andreada"/>
    <s v="Consumer"/>
    <x v="0"/>
    <x v="146"/>
    <x v="5"/>
    <x v="3"/>
    <s v="FUR-FU-10003394"/>
    <x v="0"/>
    <x v="3"/>
    <x v="120"/>
    <n v="139.91999999999999"/>
    <n v="5"/>
    <n v="-150.41399999999999"/>
    <x v="1"/>
  </r>
  <r>
    <x v="383"/>
    <x v="49"/>
    <d v="2017-11-25T00:00:00"/>
    <x v="1"/>
    <s v="LC-16930"/>
    <s v="Linda Cazamias"/>
    <s v="Corporate"/>
    <x v="0"/>
    <x v="147"/>
    <x v="5"/>
    <x v="3"/>
    <s v="FUR-CH-10004675"/>
    <x v="0"/>
    <x v="1"/>
    <x v="135"/>
    <n v="305.31200000000001"/>
    <n v="2"/>
    <n v="-8.7232000000000003"/>
    <x v="0"/>
  </r>
  <r>
    <x v="384"/>
    <x v="327"/>
    <d v="2016-05-11T00:00:00"/>
    <x v="1"/>
    <s v="CJ-12010"/>
    <s v="Caroline Jumper"/>
    <s v="Consumer"/>
    <x v="0"/>
    <x v="13"/>
    <x v="7"/>
    <x v="2"/>
    <s v="FUR-CH-10002084"/>
    <x v="0"/>
    <x v="1"/>
    <x v="244"/>
    <n v="442.76400000000001"/>
    <n v="4"/>
    <n v="59.035200000000003"/>
    <x v="7"/>
  </r>
  <r>
    <x v="384"/>
    <x v="327"/>
    <d v="2016-05-11T00:00:00"/>
    <x v="1"/>
    <s v="CJ-12010"/>
    <s v="Caroline Jumper"/>
    <s v="Consumer"/>
    <x v="0"/>
    <x v="13"/>
    <x v="7"/>
    <x v="2"/>
    <s v="FUR-FU-10001940"/>
    <x v="0"/>
    <x v="3"/>
    <x v="47"/>
    <n v="63.68"/>
    <n v="8"/>
    <n v="28.019200000000001"/>
    <x v="7"/>
  </r>
  <r>
    <x v="385"/>
    <x v="328"/>
    <d v="2017-08-15T00:00:00"/>
    <x v="1"/>
    <s v="IL-15100"/>
    <s v="Ivan Liston"/>
    <s v="Consumer"/>
    <x v="0"/>
    <x v="29"/>
    <x v="6"/>
    <x v="3"/>
    <s v="FUR-FU-10003708"/>
    <x v="0"/>
    <x v="3"/>
    <x v="17"/>
    <n v="121.3"/>
    <n v="2"/>
    <n v="25.472999999999999"/>
    <x v="10"/>
  </r>
  <r>
    <x v="386"/>
    <x v="42"/>
    <d v="2014-06-06T00:00:00"/>
    <x v="1"/>
    <s v="LT-17110"/>
    <s v="Liz Thompson"/>
    <s v="Consumer"/>
    <x v="0"/>
    <x v="148"/>
    <x v="31"/>
    <x v="0"/>
    <s v="FUR-FU-10001935"/>
    <x v="0"/>
    <x v="3"/>
    <x v="73"/>
    <n v="22.2"/>
    <n v="6"/>
    <n v="9.1020000000000003"/>
    <x v="2"/>
  </r>
  <r>
    <x v="387"/>
    <x v="329"/>
    <d v="2015-09-12T00:00:00"/>
    <x v="1"/>
    <s v="BT-11305"/>
    <s v="Beth Thompson"/>
    <s v="Home Office"/>
    <x v="0"/>
    <x v="15"/>
    <x v="13"/>
    <x v="1"/>
    <s v="FUR-FU-10004748"/>
    <x v="0"/>
    <x v="3"/>
    <x v="245"/>
    <n v="191.82"/>
    <n v="3"/>
    <n v="74.809799999999996"/>
    <x v="4"/>
  </r>
  <r>
    <x v="388"/>
    <x v="330"/>
    <d v="2015-07-05T00:00:00"/>
    <x v="1"/>
    <s v="SC-20725"/>
    <s v="Steven Cartwright"/>
    <s v="Consumer"/>
    <x v="0"/>
    <x v="68"/>
    <x v="3"/>
    <x v="2"/>
    <s v="FUR-FU-10001473"/>
    <x v="0"/>
    <x v="3"/>
    <x v="246"/>
    <n v="20.103999999999999"/>
    <n v="1"/>
    <n v="1.7591000000000001"/>
    <x v="2"/>
  </r>
  <r>
    <x v="389"/>
    <x v="295"/>
    <d v="2017-11-25T00:00:00"/>
    <x v="1"/>
    <s v="SW-20275"/>
    <s v="Scott Williamson"/>
    <s v="Consumer"/>
    <x v="0"/>
    <x v="13"/>
    <x v="7"/>
    <x v="2"/>
    <s v="FUR-FU-10003535"/>
    <x v="0"/>
    <x v="3"/>
    <x v="182"/>
    <n v="27.42"/>
    <n v="1"/>
    <n v="11.2422"/>
    <x v="0"/>
  </r>
  <r>
    <x v="390"/>
    <x v="95"/>
    <d v="2017-10-02T00:00:00"/>
    <x v="2"/>
    <s v="NS-18505"/>
    <s v="Neola Schneider"/>
    <s v="Consumer"/>
    <x v="0"/>
    <x v="124"/>
    <x v="2"/>
    <x v="1"/>
    <s v="FUR-CH-10000553"/>
    <x v="0"/>
    <x v="1"/>
    <x v="247"/>
    <n v="108.608"/>
    <n v="4"/>
    <n v="9.5031999999999996"/>
    <x v="1"/>
  </r>
  <r>
    <x v="391"/>
    <x v="248"/>
    <d v="2015-12-06T00:00:00"/>
    <x v="3"/>
    <s v="DK-13375"/>
    <s v="Dennis Kane"/>
    <s v="Consumer"/>
    <x v="0"/>
    <x v="149"/>
    <x v="15"/>
    <x v="2"/>
    <s v="FUR-CH-10004860"/>
    <x v="0"/>
    <x v="1"/>
    <x v="41"/>
    <n v="70.686000000000007"/>
    <n v="1"/>
    <n v="-24.235199999999999"/>
    <x v="5"/>
  </r>
  <r>
    <x v="392"/>
    <x v="331"/>
    <d v="2016-03-21T00:00:00"/>
    <x v="0"/>
    <s v="BT-11440"/>
    <s v="Bobby Trafton"/>
    <s v="Consumer"/>
    <x v="0"/>
    <x v="150"/>
    <x v="12"/>
    <x v="1"/>
    <s v="FUR-BO-10002202"/>
    <x v="0"/>
    <x v="0"/>
    <x v="248"/>
    <n v="72.293999999999997"/>
    <n v="1"/>
    <n v="-98.8018"/>
    <x v="9"/>
  </r>
  <r>
    <x v="393"/>
    <x v="180"/>
    <d v="2016-10-05T00:00:00"/>
    <x v="1"/>
    <s v="GM-14680"/>
    <s v="Greg Matthias"/>
    <s v="Consumer"/>
    <x v="0"/>
    <x v="13"/>
    <x v="7"/>
    <x v="2"/>
    <s v="FUR-TA-10003238"/>
    <x v="0"/>
    <x v="2"/>
    <x v="243"/>
    <n v="330.58800000000002"/>
    <n v="1"/>
    <n v="-115.7058"/>
    <x v="1"/>
  </r>
  <r>
    <x v="394"/>
    <x v="332"/>
    <d v="2017-07-01T00:00:00"/>
    <x v="1"/>
    <s v="DB-13405"/>
    <s v="Denny Blanton"/>
    <s v="Consumer"/>
    <x v="0"/>
    <x v="101"/>
    <x v="6"/>
    <x v="3"/>
    <s v="FUR-FU-10000293"/>
    <x v="0"/>
    <x v="3"/>
    <x v="159"/>
    <n v="526.45000000000005"/>
    <n v="5"/>
    <n v="31.587"/>
    <x v="2"/>
  </r>
  <r>
    <x v="395"/>
    <x v="333"/>
    <d v="2017-04-26T00:00:00"/>
    <x v="1"/>
    <s v="SJ-20125"/>
    <s v="Sanjit Jacobs"/>
    <s v="Home Office"/>
    <x v="0"/>
    <x v="9"/>
    <x v="8"/>
    <x v="3"/>
    <s v="FUR-FU-10004597"/>
    <x v="0"/>
    <x v="3"/>
    <x v="249"/>
    <n v="44.4"/>
    <n v="2"/>
    <n v="-52.17"/>
    <x v="6"/>
  </r>
  <r>
    <x v="396"/>
    <x v="334"/>
    <d v="2016-09-22T00:00:00"/>
    <x v="1"/>
    <s v="LA-16780"/>
    <s v="Laura Armstrong"/>
    <s v="Corporate"/>
    <x v="0"/>
    <x v="151"/>
    <x v="39"/>
    <x v="2"/>
    <s v="FUR-FU-10004952"/>
    <x v="0"/>
    <x v="3"/>
    <x v="169"/>
    <n v="109.48"/>
    <n v="2"/>
    <n v="33.938800000000001"/>
    <x v="4"/>
  </r>
  <r>
    <x v="397"/>
    <x v="140"/>
    <d v="2017-06-19T00:00:00"/>
    <x v="2"/>
    <s v="TS-21610"/>
    <s v="Troy Staebel"/>
    <s v="Consumer"/>
    <x v="0"/>
    <x v="28"/>
    <x v="2"/>
    <x v="1"/>
    <s v="FUR-CH-10000015"/>
    <x v="0"/>
    <x v="1"/>
    <x v="79"/>
    <n v="1212.96"/>
    <n v="7"/>
    <n v="90.971999999999994"/>
    <x v="2"/>
  </r>
  <r>
    <x v="398"/>
    <x v="335"/>
    <d v="2017-02-09T00:00:00"/>
    <x v="2"/>
    <s v="MV-17485"/>
    <s v="Mark Van Huff"/>
    <s v="Consumer"/>
    <x v="0"/>
    <x v="58"/>
    <x v="25"/>
    <x v="0"/>
    <s v="FUR-BO-10004015"/>
    <x v="0"/>
    <x v="0"/>
    <x v="118"/>
    <n v="359.97"/>
    <n v="3"/>
    <n v="79.193399999999997"/>
    <x v="11"/>
  </r>
  <r>
    <x v="399"/>
    <x v="336"/>
    <d v="2015-03-11T00:00:00"/>
    <x v="1"/>
    <s v="JL-15850"/>
    <s v="John Lucas"/>
    <s v="Consumer"/>
    <x v="0"/>
    <x v="28"/>
    <x v="2"/>
    <x v="1"/>
    <s v="FUR-FU-10000308"/>
    <x v="0"/>
    <x v="3"/>
    <x v="250"/>
    <n v="435.26"/>
    <n v="7"/>
    <n v="95.757199999999997"/>
    <x v="9"/>
  </r>
  <r>
    <x v="400"/>
    <x v="215"/>
    <d v="2014-10-08T00:00:00"/>
    <x v="0"/>
    <s v="AR-10405"/>
    <s v="Allen Rosenblatt"/>
    <s v="Corporate"/>
    <x v="0"/>
    <x v="2"/>
    <x v="2"/>
    <x v="1"/>
    <s v="FUR-TA-10001866"/>
    <x v="0"/>
    <x v="2"/>
    <x v="251"/>
    <n v="143.43199999999999"/>
    <n v="1"/>
    <n v="3.5857999999999999"/>
    <x v="1"/>
  </r>
  <r>
    <x v="400"/>
    <x v="215"/>
    <d v="2014-10-08T00:00:00"/>
    <x v="0"/>
    <s v="AR-10405"/>
    <s v="Allen Rosenblatt"/>
    <s v="Corporate"/>
    <x v="0"/>
    <x v="2"/>
    <x v="2"/>
    <x v="1"/>
    <s v="FUR-CH-10002774"/>
    <x v="0"/>
    <x v="1"/>
    <x v="5"/>
    <n v="122.352"/>
    <n v="3"/>
    <n v="13.7646"/>
    <x v="1"/>
  </r>
  <r>
    <x v="401"/>
    <x v="337"/>
    <d v="2014-07-01T00:00:00"/>
    <x v="1"/>
    <s v="LM-17065"/>
    <s v="Liz MacKendrick"/>
    <s v="Consumer"/>
    <x v="0"/>
    <x v="152"/>
    <x v="21"/>
    <x v="0"/>
    <s v="FUR-TA-10001039"/>
    <x v="0"/>
    <x v="2"/>
    <x v="165"/>
    <n v="85.98"/>
    <n v="1"/>
    <n v="22.354800000000001"/>
    <x v="2"/>
  </r>
  <r>
    <x v="402"/>
    <x v="242"/>
    <d v="2017-11-02T00:00:00"/>
    <x v="2"/>
    <s v="JK-15625"/>
    <s v="Jim Karlsson"/>
    <s v="Consumer"/>
    <x v="0"/>
    <x v="15"/>
    <x v="13"/>
    <x v="1"/>
    <s v="FUR-CH-10003833"/>
    <x v="0"/>
    <x v="1"/>
    <x v="237"/>
    <n v="97.567999999999998"/>
    <n v="2"/>
    <n v="-6.0979999999999999"/>
    <x v="1"/>
  </r>
  <r>
    <x v="402"/>
    <x v="242"/>
    <d v="2017-11-02T00:00:00"/>
    <x v="2"/>
    <s v="JK-15625"/>
    <s v="Jim Karlsson"/>
    <s v="Consumer"/>
    <x v="0"/>
    <x v="15"/>
    <x v="13"/>
    <x v="1"/>
    <s v="FUR-CH-10004289"/>
    <x v="0"/>
    <x v="1"/>
    <x v="196"/>
    <n v="614.27200000000005"/>
    <n v="8"/>
    <n v="-23.0352"/>
    <x v="1"/>
  </r>
  <r>
    <x v="402"/>
    <x v="242"/>
    <d v="2017-11-02T00:00:00"/>
    <x v="2"/>
    <s v="JK-15625"/>
    <s v="Jim Karlsson"/>
    <s v="Consumer"/>
    <x v="0"/>
    <x v="15"/>
    <x v="13"/>
    <x v="1"/>
    <s v="FUR-BO-10004467"/>
    <x v="0"/>
    <x v="0"/>
    <x v="179"/>
    <n v="199.98"/>
    <n v="2"/>
    <n v="37.996200000000002"/>
    <x v="1"/>
  </r>
  <r>
    <x v="403"/>
    <x v="338"/>
    <d v="2017-01-11T00:00:00"/>
    <x v="2"/>
    <s v="RS-19420"/>
    <s v="Ricardo Sperren"/>
    <s v="Corporate"/>
    <x v="0"/>
    <x v="15"/>
    <x v="13"/>
    <x v="1"/>
    <s v="FUR-TA-10001950"/>
    <x v="0"/>
    <x v="2"/>
    <x v="252"/>
    <n v="892.98"/>
    <n v="2"/>
    <n v="80.368200000000002"/>
    <x v="8"/>
  </r>
  <r>
    <x v="404"/>
    <x v="339"/>
    <d v="2015-04-25T00:00:00"/>
    <x v="1"/>
    <s v="TS-21160"/>
    <s v="Theresa Swint"/>
    <s v="Corporate"/>
    <x v="0"/>
    <x v="29"/>
    <x v="24"/>
    <x v="0"/>
    <s v="FUR-FU-10002937"/>
    <x v="0"/>
    <x v="3"/>
    <x v="205"/>
    <n v="595.38"/>
    <n v="6"/>
    <n v="297.69"/>
    <x v="6"/>
  </r>
  <r>
    <x v="405"/>
    <x v="340"/>
    <d v="2017-12-27T00:00:00"/>
    <x v="1"/>
    <s v="FM-14215"/>
    <s v="Filia McAdams"/>
    <s v="Corporate"/>
    <x v="0"/>
    <x v="108"/>
    <x v="19"/>
    <x v="2"/>
    <s v="FUR-FU-10003708"/>
    <x v="0"/>
    <x v="3"/>
    <x v="17"/>
    <n v="181.95"/>
    <n v="3"/>
    <n v="38.209499999999998"/>
    <x v="5"/>
  </r>
  <r>
    <x v="406"/>
    <x v="341"/>
    <d v="2015-11-05T00:00:00"/>
    <x v="1"/>
    <s v="VD-21670"/>
    <s v="Valerie Dominguez"/>
    <s v="Consumer"/>
    <x v="0"/>
    <x v="13"/>
    <x v="7"/>
    <x v="2"/>
    <s v="FUR-FU-10000965"/>
    <x v="0"/>
    <x v="3"/>
    <x v="143"/>
    <n v="259.7"/>
    <n v="5"/>
    <n v="106.477"/>
    <x v="0"/>
  </r>
  <r>
    <x v="407"/>
    <x v="342"/>
    <d v="2017-09-22T00:00:00"/>
    <x v="0"/>
    <s v="MO-17800"/>
    <s v="Meg O'Connel"/>
    <s v="Home Office"/>
    <x v="0"/>
    <x v="153"/>
    <x v="24"/>
    <x v="0"/>
    <s v="FUR-CH-10000785"/>
    <x v="0"/>
    <x v="1"/>
    <x v="69"/>
    <n v="723.92"/>
    <n v="4"/>
    <n v="188.2192"/>
    <x v="4"/>
  </r>
  <r>
    <x v="408"/>
    <x v="207"/>
    <d v="2016-12-24T00:00:00"/>
    <x v="2"/>
    <s v="BP-11185"/>
    <s v="Ben Peterman"/>
    <s v="Corporate"/>
    <x v="0"/>
    <x v="9"/>
    <x v="8"/>
    <x v="3"/>
    <s v="FUR-BO-10003441"/>
    <x v="0"/>
    <x v="0"/>
    <x v="145"/>
    <n v="141.37200000000001"/>
    <n v="2"/>
    <n v="-14.1372"/>
    <x v="5"/>
  </r>
  <r>
    <x v="409"/>
    <x v="343"/>
    <d v="2017-06-12T00:00:00"/>
    <x v="2"/>
    <s v="BC-11125"/>
    <s v="Becky Castell"/>
    <s v="Home Office"/>
    <x v="0"/>
    <x v="117"/>
    <x v="22"/>
    <x v="1"/>
    <s v="FUR-CH-10001394"/>
    <x v="0"/>
    <x v="1"/>
    <x v="139"/>
    <n v="280.79199999999997"/>
    <n v="1"/>
    <n v="35.098999999999997"/>
    <x v="2"/>
  </r>
  <r>
    <x v="410"/>
    <x v="96"/>
    <d v="2017-07-25T00:00:00"/>
    <x v="1"/>
    <s v="EM-13825"/>
    <s v="Elizabeth Moffitt"/>
    <s v="Corporate"/>
    <x v="0"/>
    <x v="154"/>
    <x v="40"/>
    <x v="3"/>
    <s v="FUR-CH-10003833"/>
    <x v="0"/>
    <x v="1"/>
    <x v="237"/>
    <n v="182.94"/>
    <n v="3"/>
    <n v="27.440999999999999"/>
    <x v="3"/>
  </r>
  <r>
    <x v="411"/>
    <x v="195"/>
    <d v="2015-09-19T00:00:00"/>
    <x v="0"/>
    <s v="BM-11575"/>
    <s v="Brendan Murry"/>
    <s v="Corporate"/>
    <x v="0"/>
    <x v="13"/>
    <x v="7"/>
    <x v="2"/>
    <s v="FUR-BO-10004709"/>
    <x v="0"/>
    <x v="0"/>
    <x v="53"/>
    <n v="46.384"/>
    <n v="1"/>
    <n v="1.1596"/>
    <x v="4"/>
  </r>
  <r>
    <x v="412"/>
    <x v="344"/>
    <d v="2015-12-29T00:00:00"/>
    <x v="1"/>
    <s v="JD-16150"/>
    <s v="Justin Deggeller"/>
    <s v="Corporate"/>
    <x v="0"/>
    <x v="3"/>
    <x v="3"/>
    <x v="2"/>
    <s v="FUR-FU-10001468"/>
    <x v="0"/>
    <x v="3"/>
    <x v="253"/>
    <n v="547.13599999999997"/>
    <n v="4"/>
    <n v="-68.391999999999996"/>
    <x v="5"/>
  </r>
  <r>
    <x v="413"/>
    <x v="252"/>
    <d v="2015-01-03T00:00:00"/>
    <x v="2"/>
    <s v="GM-14455"/>
    <s v="Gary Mitchum"/>
    <s v="Home Office"/>
    <x v="0"/>
    <x v="20"/>
    <x v="20"/>
    <x v="2"/>
    <s v="FUR-FU-10002501"/>
    <x v="0"/>
    <x v="3"/>
    <x v="254"/>
    <n v="63.2"/>
    <n v="5"/>
    <n v="23.384"/>
    <x v="5"/>
  </r>
  <r>
    <x v="414"/>
    <x v="345"/>
    <d v="2016-03-18T00:00:00"/>
    <x v="1"/>
    <s v="LT-17110"/>
    <s v="Liz Thompson"/>
    <s v="Consumer"/>
    <x v="0"/>
    <x v="21"/>
    <x v="5"/>
    <x v="3"/>
    <s v="FUR-TA-10004619"/>
    <x v="0"/>
    <x v="2"/>
    <x v="178"/>
    <n v="557.58500000000004"/>
    <n v="5"/>
    <n v="0"/>
    <x v="9"/>
  </r>
  <r>
    <x v="415"/>
    <x v="346"/>
    <d v="2015-09-02T00:00:00"/>
    <x v="2"/>
    <s v="SC-20260"/>
    <s v="Scott Cohen"/>
    <s v="Corporate"/>
    <x v="0"/>
    <x v="28"/>
    <x v="2"/>
    <x v="1"/>
    <s v="FUR-BO-10002545"/>
    <x v="0"/>
    <x v="0"/>
    <x v="9"/>
    <n v="1552.8309999999999"/>
    <n v="7"/>
    <n v="200.9546"/>
    <x v="10"/>
  </r>
  <r>
    <x v="416"/>
    <x v="347"/>
    <d v="2014-03-21T00:00:00"/>
    <x v="1"/>
    <s v="CP-12340"/>
    <s v="Christine Phan"/>
    <s v="Corporate"/>
    <x v="0"/>
    <x v="13"/>
    <x v="7"/>
    <x v="2"/>
    <s v="FUR-TA-10003473"/>
    <x v="0"/>
    <x v="2"/>
    <x v="44"/>
    <n v="1579.7460000000001"/>
    <n v="7"/>
    <n v="-447.59469999999999"/>
    <x v="9"/>
  </r>
  <r>
    <x v="416"/>
    <x v="347"/>
    <d v="2014-03-21T00:00:00"/>
    <x v="1"/>
    <s v="CP-12340"/>
    <s v="Christine Phan"/>
    <s v="Corporate"/>
    <x v="0"/>
    <x v="13"/>
    <x v="7"/>
    <x v="2"/>
    <s v="FUR-TA-10001950"/>
    <x v="0"/>
    <x v="2"/>
    <x v="252"/>
    <n v="1071.576"/>
    <n v="4"/>
    <n v="-553.64760000000001"/>
    <x v="9"/>
  </r>
  <r>
    <x v="416"/>
    <x v="347"/>
    <d v="2014-03-21T00:00:00"/>
    <x v="1"/>
    <s v="CP-12340"/>
    <s v="Christine Phan"/>
    <s v="Corporate"/>
    <x v="0"/>
    <x v="13"/>
    <x v="7"/>
    <x v="2"/>
    <s v="FUR-TA-10004175"/>
    <x v="0"/>
    <x v="2"/>
    <x v="226"/>
    <n v="613.90800000000002"/>
    <n v="3"/>
    <n v="-122.7816"/>
    <x v="9"/>
  </r>
  <r>
    <x v="417"/>
    <x v="345"/>
    <d v="2016-03-18T00:00:00"/>
    <x v="1"/>
    <s v="AB-10060"/>
    <s v="Adam Bellavance"/>
    <s v="Home Office"/>
    <x v="0"/>
    <x v="61"/>
    <x v="25"/>
    <x v="0"/>
    <s v="FUR-FU-10004864"/>
    <x v="0"/>
    <x v="3"/>
    <x v="92"/>
    <n v="127.88"/>
    <n v="2"/>
    <n v="40.921599999999998"/>
    <x v="9"/>
  </r>
  <r>
    <x v="418"/>
    <x v="168"/>
    <d v="2014-11-26T00:00:00"/>
    <x v="0"/>
    <s v="EH-13990"/>
    <s v="Erica Hackney"/>
    <s v="Consumer"/>
    <x v="0"/>
    <x v="155"/>
    <x v="2"/>
    <x v="1"/>
    <s v="FUR-CH-10001714"/>
    <x v="0"/>
    <x v="1"/>
    <x v="255"/>
    <n v="120.712"/>
    <n v="1"/>
    <n v="-18.1068"/>
    <x v="0"/>
  </r>
  <r>
    <x v="419"/>
    <x v="348"/>
    <d v="2016-09-27T00:00:00"/>
    <x v="1"/>
    <s v="KL-16555"/>
    <s v="Kelly Lampkin"/>
    <s v="Corporate"/>
    <x v="0"/>
    <x v="130"/>
    <x v="15"/>
    <x v="2"/>
    <s v="FUR-FU-10002298"/>
    <x v="0"/>
    <x v="3"/>
    <x v="256"/>
    <n v="532.70399999999995"/>
    <n v="6"/>
    <n v="-26.635200000000001"/>
    <x v="4"/>
  </r>
  <r>
    <x v="420"/>
    <x v="281"/>
    <d v="2016-07-11T00:00:00"/>
    <x v="0"/>
    <s v="BF-11020"/>
    <s v="Barry Franzšsisch"/>
    <s v="Corporate"/>
    <x v="0"/>
    <x v="14"/>
    <x v="8"/>
    <x v="3"/>
    <s v="FUR-FU-10004973"/>
    <x v="0"/>
    <x v="3"/>
    <x v="223"/>
    <n v="60.287999999999997"/>
    <n v="8"/>
    <n v="-27.1296"/>
    <x v="3"/>
  </r>
  <r>
    <x v="420"/>
    <x v="281"/>
    <d v="2016-07-11T00:00:00"/>
    <x v="0"/>
    <s v="BF-11020"/>
    <s v="Barry Franzšsisch"/>
    <s v="Corporate"/>
    <x v="0"/>
    <x v="14"/>
    <x v="8"/>
    <x v="3"/>
    <s v="FUR-CH-10000785"/>
    <x v="0"/>
    <x v="1"/>
    <x v="69"/>
    <n v="253.37200000000001"/>
    <n v="2"/>
    <n v="-14.478400000000001"/>
    <x v="3"/>
  </r>
  <r>
    <x v="421"/>
    <x v="349"/>
    <d v="2016-05-10T00:00:00"/>
    <x v="1"/>
    <s v="BE-11455"/>
    <s v="Brad Eason"/>
    <s v="Home Office"/>
    <x v="0"/>
    <x v="75"/>
    <x v="15"/>
    <x v="2"/>
    <s v="FUR-FU-10004848"/>
    <x v="0"/>
    <x v="3"/>
    <x v="257"/>
    <n v="54.712000000000003"/>
    <n v="7"/>
    <n v="11.626300000000001"/>
    <x v="7"/>
  </r>
  <r>
    <x v="422"/>
    <x v="248"/>
    <d v="2015-12-10T00:00:00"/>
    <x v="1"/>
    <s v="SG-20605"/>
    <s v="Speros Goranitis"/>
    <s v="Consumer"/>
    <x v="0"/>
    <x v="13"/>
    <x v="7"/>
    <x v="2"/>
    <s v="FUR-FU-10002878"/>
    <x v="0"/>
    <x v="3"/>
    <x v="220"/>
    <n v="113.92"/>
    <n v="4"/>
    <n v="42.150399999999998"/>
    <x v="5"/>
  </r>
  <r>
    <x v="423"/>
    <x v="350"/>
    <d v="2016-10-03T00:00:00"/>
    <x v="1"/>
    <s v="HM-14860"/>
    <s v="Harry Marie"/>
    <s v="Corporate"/>
    <x v="0"/>
    <x v="156"/>
    <x v="5"/>
    <x v="3"/>
    <s v="FUR-BO-10000780"/>
    <x v="0"/>
    <x v="0"/>
    <x v="258"/>
    <n v="956.66480000000001"/>
    <n v="7"/>
    <n v="-225.0976"/>
    <x v="4"/>
  </r>
  <r>
    <x v="424"/>
    <x v="351"/>
    <d v="2017-03-25T00:00:00"/>
    <x v="2"/>
    <s v="BE-11335"/>
    <s v="Bill Eplett"/>
    <s v="Home Office"/>
    <x v="0"/>
    <x v="28"/>
    <x v="2"/>
    <x v="1"/>
    <s v="FUR-FU-10000758"/>
    <x v="0"/>
    <x v="3"/>
    <x v="207"/>
    <n v="211.84"/>
    <n v="8"/>
    <n v="76.2624"/>
    <x v="9"/>
  </r>
  <r>
    <x v="425"/>
    <x v="352"/>
    <d v="2014-11-16T00:00:00"/>
    <x v="1"/>
    <s v="JA-15970"/>
    <s v="Joseph Airdo"/>
    <s v="Consumer"/>
    <x v="0"/>
    <x v="2"/>
    <x v="2"/>
    <x v="1"/>
    <s v="FUR-TA-10002356"/>
    <x v="0"/>
    <x v="2"/>
    <x v="147"/>
    <n v="629.06399999999996"/>
    <n v="3"/>
    <n v="31.453199999999999"/>
    <x v="0"/>
  </r>
  <r>
    <x v="426"/>
    <x v="353"/>
    <d v="2017-01-02T00:00:00"/>
    <x v="1"/>
    <s v="TB-21595"/>
    <s v="Troy Blackwell"/>
    <s v="Consumer"/>
    <x v="0"/>
    <x v="79"/>
    <x v="16"/>
    <x v="3"/>
    <s v="FUR-CH-10001714"/>
    <x v="0"/>
    <x v="1"/>
    <x v="255"/>
    <n v="754.45"/>
    <n v="5"/>
    <n v="60.356000000000002"/>
    <x v="5"/>
  </r>
  <r>
    <x v="427"/>
    <x v="171"/>
    <d v="2015-07-11T00:00:00"/>
    <x v="1"/>
    <s v="PP-18955"/>
    <s v="Paul Prost"/>
    <s v="Home Office"/>
    <x v="0"/>
    <x v="157"/>
    <x v="20"/>
    <x v="2"/>
    <s v="FUR-BO-10002824"/>
    <x v="0"/>
    <x v="0"/>
    <x v="88"/>
    <n v="301.95999999999998"/>
    <n v="2"/>
    <n v="60.392000000000003"/>
    <x v="3"/>
  </r>
  <r>
    <x v="428"/>
    <x v="19"/>
    <d v="2017-12-30T00:00:00"/>
    <x v="1"/>
    <s v="SV-20935"/>
    <s v="Susan Vittorini"/>
    <s v="Consumer"/>
    <x v="0"/>
    <x v="130"/>
    <x v="15"/>
    <x v="2"/>
    <s v="FUR-TA-10002645"/>
    <x v="0"/>
    <x v="2"/>
    <x v="259"/>
    <n v="273.06"/>
    <n v="2"/>
    <n v="-104.673"/>
    <x v="5"/>
  </r>
  <r>
    <x v="429"/>
    <x v="354"/>
    <d v="2016-06-17T00:00:00"/>
    <x v="1"/>
    <s v="MZ-17515"/>
    <s v="Mary Zewe"/>
    <s v="Corporate"/>
    <x v="0"/>
    <x v="58"/>
    <x v="5"/>
    <x v="3"/>
    <s v="FUR-FU-10004415"/>
    <x v="0"/>
    <x v="3"/>
    <x v="206"/>
    <n v="12.544"/>
    <n v="7"/>
    <n v="-9.0944000000000003"/>
    <x v="2"/>
  </r>
  <r>
    <x v="430"/>
    <x v="158"/>
    <d v="2018-01-02T00:00:00"/>
    <x v="1"/>
    <s v="HM-14860"/>
    <s v="Harry Marie"/>
    <s v="Corporate"/>
    <x v="0"/>
    <x v="15"/>
    <x v="13"/>
    <x v="1"/>
    <s v="FUR-FU-10001935"/>
    <x v="0"/>
    <x v="3"/>
    <x v="73"/>
    <n v="7.4"/>
    <n v="2"/>
    <n v="3.0339999999999998"/>
    <x v="5"/>
  </r>
  <r>
    <x v="431"/>
    <x v="355"/>
    <d v="2014-04-01T00:00:00"/>
    <x v="1"/>
    <s v="AZ-10750"/>
    <s v="Annie Zypern"/>
    <s v="Consumer"/>
    <x v="0"/>
    <x v="13"/>
    <x v="7"/>
    <x v="2"/>
    <s v="FUR-CH-10002439"/>
    <x v="0"/>
    <x v="1"/>
    <x v="260"/>
    <n v="366.786"/>
    <n v="7"/>
    <n v="65.206400000000002"/>
    <x v="9"/>
  </r>
  <r>
    <x v="432"/>
    <x v="209"/>
    <d v="2017-07-10T00:00:00"/>
    <x v="1"/>
    <s v="CA-12265"/>
    <s v="Christina Anderson"/>
    <s v="Consumer"/>
    <x v="0"/>
    <x v="158"/>
    <x v="41"/>
    <x v="1"/>
    <s v="FUR-FU-10003708"/>
    <x v="0"/>
    <x v="3"/>
    <x v="17"/>
    <n v="545.85"/>
    <n v="9"/>
    <n v="114.6285"/>
    <x v="3"/>
  </r>
  <r>
    <x v="433"/>
    <x v="356"/>
    <d v="2014-11-20T00:00:00"/>
    <x v="0"/>
    <s v="PW-19240"/>
    <s v="Pierre Wener"/>
    <s v="Consumer"/>
    <x v="0"/>
    <x v="74"/>
    <x v="12"/>
    <x v="1"/>
    <s v="FUR-TA-10000849"/>
    <x v="0"/>
    <x v="2"/>
    <x v="261"/>
    <n v="145.97999999999999"/>
    <n v="2"/>
    <n v="-99.266400000000004"/>
    <x v="0"/>
  </r>
  <r>
    <x v="434"/>
    <x v="357"/>
    <d v="2017-07-22T00:00:00"/>
    <x v="1"/>
    <s v="SW-20455"/>
    <s v="Shaun Weien"/>
    <s v="Consumer"/>
    <x v="0"/>
    <x v="26"/>
    <x v="1"/>
    <x v="0"/>
    <s v="FUR-FU-10002597"/>
    <x v="0"/>
    <x v="3"/>
    <x v="132"/>
    <n v="7.9039999999999999"/>
    <n v="2"/>
    <n v="2.1736"/>
    <x v="3"/>
  </r>
  <r>
    <x v="435"/>
    <x v="358"/>
    <d v="2016-05-27T00:00:00"/>
    <x v="1"/>
    <s v="AF-10870"/>
    <s v="Art Ferguson"/>
    <s v="Consumer"/>
    <x v="0"/>
    <x v="159"/>
    <x v="18"/>
    <x v="2"/>
    <s v="FUR-TA-10003748"/>
    <x v="0"/>
    <x v="2"/>
    <x v="40"/>
    <n v="174.286"/>
    <n v="2"/>
    <n v="-19.918399999999998"/>
    <x v="7"/>
  </r>
  <r>
    <x v="436"/>
    <x v="359"/>
    <d v="2016-11-06T00:00:00"/>
    <x v="1"/>
    <s v="BD-11320"/>
    <s v="Bill Donatelli"/>
    <s v="Consumer"/>
    <x v="0"/>
    <x v="3"/>
    <x v="3"/>
    <x v="2"/>
    <s v="FUR-CH-10000988"/>
    <x v="0"/>
    <x v="1"/>
    <x v="221"/>
    <n v="492.83499999999998"/>
    <n v="5"/>
    <n v="-14.081"/>
    <x v="1"/>
  </r>
  <r>
    <x v="437"/>
    <x v="360"/>
    <d v="2016-01-28T00:00:00"/>
    <x v="1"/>
    <s v="CM-11935"/>
    <s v="Carlos Meador"/>
    <s v="Consumer"/>
    <x v="0"/>
    <x v="160"/>
    <x v="30"/>
    <x v="0"/>
    <s v="FUR-FU-10002107"/>
    <x v="0"/>
    <x v="3"/>
    <x v="262"/>
    <n v="14.272"/>
    <n v="8"/>
    <n v="4.2816000000000001"/>
    <x v="8"/>
  </r>
  <r>
    <x v="437"/>
    <x v="360"/>
    <d v="2016-01-28T00:00:00"/>
    <x v="1"/>
    <s v="CM-11935"/>
    <s v="Carlos Meador"/>
    <s v="Consumer"/>
    <x v="0"/>
    <x v="160"/>
    <x v="30"/>
    <x v="0"/>
    <s v="FUR-BO-10002213"/>
    <x v="0"/>
    <x v="0"/>
    <x v="263"/>
    <n v="451.13600000000002"/>
    <n v="4"/>
    <n v="-67.670400000000001"/>
    <x v="8"/>
  </r>
  <r>
    <x v="438"/>
    <x v="361"/>
    <d v="2016-11-06T00:00:00"/>
    <x v="2"/>
    <s v="PF-19225"/>
    <s v="Phillip Flathmann"/>
    <s v="Consumer"/>
    <x v="0"/>
    <x v="2"/>
    <x v="2"/>
    <x v="1"/>
    <s v="FUR-CH-10001190"/>
    <x v="0"/>
    <x v="1"/>
    <x v="264"/>
    <n v="217.584"/>
    <n v="2"/>
    <n v="-29.9178"/>
    <x v="0"/>
  </r>
  <r>
    <x v="439"/>
    <x v="362"/>
    <d v="2017-09-08T00:00:00"/>
    <x v="0"/>
    <s v="GM-14695"/>
    <s v="Greg Maxwell"/>
    <s v="Corporate"/>
    <x v="0"/>
    <x v="2"/>
    <x v="2"/>
    <x v="1"/>
    <s v="FUR-TA-10000198"/>
    <x v="0"/>
    <x v="2"/>
    <x v="124"/>
    <n v="1322.3520000000001"/>
    <n v="3"/>
    <n v="-99.176400000000001"/>
    <x v="4"/>
  </r>
  <r>
    <x v="440"/>
    <x v="363"/>
    <d v="2017-09-03T00:00:00"/>
    <x v="1"/>
    <s v="KN-16705"/>
    <s v="Kristina Nunn"/>
    <s v="Home Office"/>
    <x v="0"/>
    <x v="15"/>
    <x v="13"/>
    <x v="1"/>
    <s v="FUR-TA-10000617"/>
    <x v="0"/>
    <x v="2"/>
    <x v="72"/>
    <n v="1137.75"/>
    <n v="5"/>
    <n v="250.30500000000001"/>
    <x v="10"/>
  </r>
  <r>
    <x v="441"/>
    <x v="364"/>
    <d v="2016-09-14T00:00:00"/>
    <x v="0"/>
    <s v="KT-16480"/>
    <s v="Kean Thornton"/>
    <s v="Consumer"/>
    <x v="0"/>
    <x v="6"/>
    <x v="5"/>
    <x v="3"/>
    <s v="FUR-TA-10004086"/>
    <x v="0"/>
    <x v="2"/>
    <x v="165"/>
    <n v="300.93"/>
    <n v="5"/>
    <n v="-34.392000000000003"/>
    <x v="4"/>
  </r>
  <r>
    <x v="442"/>
    <x v="365"/>
    <d v="2014-06-22T00:00:00"/>
    <x v="1"/>
    <s v="SC-20575"/>
    <s v="Sonia Cooley"/>
    <s v="Consumer"/>
    <x v="0"/>
    <x v="161"/>
    <x v="6"/>
    <x v="3"/>
    <s v="FUR-CH-10000225"/>
    <x v="0"/>
    <x v="1"/>
    <x v="85"/>
    <n v="647.84"/>
    <n v="8"/>
    <n v="32.392000000000003"/>
    <x v="2"/>
  </r>
  <r>
    <x v="443"/>
    <x v="366"/>
    <d v="2014-07-27T00:00:00"/>
    <x v="0"/>
    <s v="KL-16645"/>
    <s v="Ken Lonsdale"/>
    <s v="Consumer"/>
    <x v="0"/>
    <x v="28"/>
    <x v="2"/>
    <x v="1"/>
    <s v="FUR-FU-10004351"/>
    <x v="0"/>
    <x v="3"/>
    <x v="47"/>
    <n v="77.92"/>
    <n v="8"/>
    <n v="34.284799999999997"/>
    <x v="3"/>
  </r>
  <r>
    <x v="444"/>
    <x v="367"/>
    <d v="2016-11-17T00:00:00"/>
    <x v="1"/>
    <s v="BB-11545"/>
    <s v="Brenda Bowman"/>
    <s v="Corporate"/>
    <x v="0"/>
    <x v="9"/>
    <x v="8"/>
    <x v="3"/>
    <s v="FUR-CH-10004540"/>
    <x v="0"/>
    <x v="1"/>
    <x v="173"/>
    <n v="47.991999999999997"/>
    <n v="2"/>
    <n v="-2.0568"/>
    <x v="0"/>
  </r>
  <r>
    <x v="445"/>
    <x v="368"/>
    <d v="2017-05-07T00:00:00"/>
    <x v="1"/>
    <s v="DW-13585"/>
    <s v="Dorothy Wardle"/>
    <s v="Corporate"/>
    <x v="0"/>
    <x v="162"/>
    <x v="18"/>
    <x v="2"/>
    <s v="FUR-FU-10003975"/>
    <x v="0"/>
    <x v="3"/>
    <x v="156"/>
    <n v="129.93"/>
    <n v="3"/>
    <n v="12.993"/>
    <x v="7"/>
  </r>
  <r>
    <x v="446"/>
    <x v="369"/>
    <d v="2015-01-29T00:00:00"/>
    <x v="0"/>
    <s v="SV-20365"/>
    <s v="Seth Vernon"/>
    <s v="Consumer"/>
    <x v="0"/>
    <x v="59"/>
    <x v="15"/>
    <x v="2"/>
    <s v="FUR-CH-10000513"/>
    <x v="0"/>
    <x v="1"/>
    <x v="16"/>
    <n v="181.98599999999999"/>
    <n v="2"/>
    <n v="-54.595799999999997"/>
    <x v="8"/>
  </r>
  <r>
    <x v="447"/>
    <x v="370"/>
    <d v="2015-07-16T00:00:00"/>
    <x v="3"/>
    <s v="EM-13810"/>
    <s v="Eleni McCrary"/>
    <s v="Corporate"/>
    <x v="0"/>
    <x v="28"/>
    <x v="2"/>
    <x v="1"/>
    <s v="FUR-CH-10003312"/>
    <x v="0"/>
    <x v="1"/>
    <x v="66"/>
    <n v="1348.704"/>
    <n v="6"/>
    <n v="-219.1644"/>
    <x v="3"/>
  </r>
  <r>
    <x v="447"/>
    <x v="370"/>
    <d v="2015-07-16T00:00:00"/>
    <x v="3"/>
    <s v="EM-13810"/>
    <s v="Eleni McCrary"/>
    <s v="Corporate"/>
    <x v="0"/>
    <x v="28"/>
    <x v="2"/>
    <x v="1"/>
    <s v="FUR-CH-10004086"/>
    <x v="0"/>
    <x v="1"/>
    <x v="61"/>
    <n v="700.15200000000004"/>
    <n v="3"/>
    <n v="78.767099999999999"/>
    <x v="3"/>
  </r>
  <r>
    <x v="448"/>
    <x v="325"/>
    <d v="2016-05-04T00:00:00"/>
    <x v="1"/>
    <s v="KD-16615"/>
    <s v="Ken Dana"/>
    <s v="Corporate"/>
    <x v="0"/>
    <x v="163"/>
    <x v="22"/>
    <x v="1"/>
    <s v="FUR-FU-10002759"/>
    <x v="0"/>
    <x v="3"/>
    <x v="115"/>
    <n v="111.88800000000001"/>
    <n v="7"/>
    <n v="22.377600000000001"/>
    <x v="6"/>
  </r>
  <r>
    <x v="449"/>
    <x v="63"/>
    <d v="2016-09-14T00:00:00"/>
    <x v="1"/>
    <s v="AP-10720"/>
    <s v="Anne Pryor"/>
    <s v="Home Office"/>
    <x v="0"/>
    <x v="164"/>
    <x v="20"/>
    <x v="2"/>
    <s v="FUR-BO-10003450"/>
    <x v="0"/>
    <x v="0"/>
    <x v="265"/>
    <n v="173.94"/>
    <n v="3"/>
    <n v="13.9152"/>
    <x v="4"/>
  </r>
  <r>
    <x v="450"/>
    <x v="371"/>
    <d v="2017-04-20T00:00:00"/>
    <x v="1"/>
    <s v="JE-15745"/>
    <s v="Joel Eaton"/>
    <s v="Consumer"/>
    <x v="0"/>
    <x v="124"/>
    <x v="2"/>
    <x v="1"/>
    <s v="FUR-BO-10001337"/>
    <x v="0"/>
    <x v="0"/>
    <x v="90"/>
    <n v="102.833"/>
    <n v="1"/>
    <n v="-6.0490000000000004"/>
    <x v="6"/>
  </r>
  <r>
    <x v="451"/>
    <x v="49"/>
    <d v="2017-11-23T00:00:00"/>
    <x v="1"/>
    <s v="AB-10105"/>
    <s v="Adrian Barton"/>
    <s v="Consumer"/>
    <x v="0"/>
    <x v="0"/>
    <x v="0"/>
    <x v="0"/>
    <s v="FUR-FU-10004665"/>
    <x v="0"/>
    <x v="3"/>
    <x v="266"/>
    <n v="821.88"/>
    <n v="6"/>
    <n v="213.68879999999999"/>
    <x v="0"/>
  </r>
  <r>
    <x v="452"/>
    <x v="372"/>
    <d v="2016-10-14T00:00:00"/>
    <x v="1"/>
    <s v="BW-11110"/>
    <s v="Bart Watters"/>
    <s v="Corporate"/>
    <x v="0"/>
    <x v="6"/>
    <x v="5"/>
    <x v="3"/>
    <s v="FUR-FU-10004909"/>
    <x v="0"/>
    <x v="3"/>
    <x v="267"/>
    <n v="51.712000000000003"/>
    <n v="8"/>
    <n v="-32.32"/>
    <x v="1"/>
  </r>
  <r>
    <x v="453"/>
    <x v="151"/>
    <d v="2015-06-04T00:00:00"/>
    <x v="1"/>
    <s v="TM-21010"/>
    <s v="Tamara Manning"/>
    <s v="Consumer"/>
    <x v="0"/>
    <x v="4"/>
    <x v="4"/>
    <x v="1"/>
    <s v="FUR-BO-10004357"/>
    <x v="0"/>
    <x v="0"/>
    <x v="268"/>
    <n v="1406.86"/>
    <n v="7"/>
    <n v="140.68600000000001"/>
    <x v="7"/>
  </r>
  <r>
    <x v="454"/>
    <x v="373"/>
    <d v="2017-11-03T00:00:00"/>
    <x v="0"/>
    <s v="SF-20200"/>
    <s v="Sarah Foster"/>
    <s v="Consumer"/>
    <x v="0"/>
    <x v="165"/>
    <x v="13"/>
    <x v="1"/>
    <s v="FUR-TA-10003954"/>
    <x v="0"/>
    <x v="2"/>
    <x v="239"/>
    <n v="2665.62"/>
    <n v="9"/>
    <n v="239.9058"/>
    <x v="0"/>
  </r>
  <r>
    <x v="455"/>
    <x v="374"/>
    <d v="2017-07-14T00:00:00"/>
    <x v="1"/>
    <s v="SM-20320"/>
    <s v="Sean Miller"/>
    <s v="Home Office"/>
    <x v="0"/>
    <x v="120"/>
    <x v="6"/>
    <x v="3"/>
    <s v="FUR-FU-10000293"/>
    <x v="0"/>
    <x v="3"/>
    <x v="159"/>
    <n v="526.45000000000005"/>
    <n v="5"/>
    <n v="31.587"/>
    <x v="3"/>
  </r>
  <r>
    <x v="456"/>
    <x v="375"/>
    <d v="2014-01-31T00:00:00"/>
    <x v="1"/>
    <s v="SD-20485"/>
    <s v="Shirley Daniels"/>
    <s v="Home Office"/>
    <x v="0"/>
    <x v="166"/>
    <x v="25"/>
    <x v="0"/>
    <s v="FUR-FU-10004587"/>
    <x v="0"/>
    <x v="3"/>
    <x v="269"/>
    <n v="62.82"/>
    <n v="3"/>
    <n v="30.7818"/>
    <x v="8"/>
  </r>
  <r>
    <x v="456"/>
    <x v="375"/>
    <d v="2014-01-31T00:00:00"/>
    <x v="1"/>
    <s v="SD-20485"/>
    <s v="Shirley Daniels"/>
    <s v="Home Office"/>
    <x v="0"/>
    <x v="166"/>
    <x v="25"/>
    <x v="0"/>
    <s v="FUR-FU-10001847"/>
    <x v="0"/>
    <x v="3"/>
    <x v="270"/>
    <n v="12.42"/>
    <n v="3"/>
    <n v="4.4711999999999996"/>
    <x v="8"/>
  </r>
  <r>
    <x v="457"/>
    <x v="254"/>
    <d v="2017-07-06T00:00:00"/>
    <x v="1"/>
    <s v="RA-19285"/>
    <s v="Ralph Arnett"/>
    <s v="Consumer"/>
    <x v="0"/>
    <x v="13"/>
    <x v="7"/>
    <x v="2"/>
    <s v="FUR-FU-10002045"/>
    <x v="0"/>
    <x v="3"/>
    <x v="271"/>
    <n v="22.23"/>
    <n v="1"/>
    <n v="9.7812000000000001"/>
    <x v="2"/>
  </r>
  <r>
    <x v="458"/>
    <x v="63"/>
    <d v="2016-09-14T00:00:00"/>
    <x v="1"/>
    <s v="SE-20110"/>
    <s v="Sanjit Engle"/>
    <s v="Consumer"/>
    <x v="0"/>
    <x v="167"/>
    <x v="8"/>
    <x v="3"/>
    <s v="FUR-FU-10004671"/>
    <x v="0"/>
    <x v="3"/>
    <x v="272"/>
    <n v="14.135999999999999"/>
    <n v="2"/>
    <n v="-7.7747999999999999"/>
    <x v="4"/>
  </r>
  <r>
    <x v="458"/>
    <x v="63"/>
    <d v="2016-09-14T00:00:00"/>
    <x v="1"/>
    <s v="SE-20110"/>
    <s v="Sanjit Engle"/>
    <s v="Consumer"/>
    <x v="0"/>
    <x v="167"/>
    <x v="8"/>
    <x v="3"/>
    <s v="FUR-TA-10003569"/>
    <x v="0"/>
    <x v="2"/>
    <x v="273"/>
    <n v="601.47"/>
    <n v="3"/>
    <n v="-300.73500000000001"/>
    <x v="4"/>
  </r>
  <r>
    <x v="459"/>
    <x v="41"/>
    <d v="2016-06-04T00:00:00"/>
    <x v="3"/>
    <s v="EN-13780"/>
    <s v="Edward Nazzal"/>
    <s v="Consumer"/>
    <x v="0"/>
    <x v="13"/>
    <x v="7"/>
    <x v="2"/>
    <s v="FUR-BO-10000362"/>
    <x v="0"/>
    <x v="0"/>
    <x v="203"/>
    <n v="136.78399999999999"/>
    <n v="1"/>
    <n v="5.1294000000000004"/>
    <x v="2"/>
  </r>
  <r>
    <x v="459"/>
    <x v="41"/>
    <d v="2016-06-04T00:00:00"/>
    <x v="3"/>
    <s v="EN-13780"/>
    <s v="Edward Nazzal"/>
    <s v="Consumer"/>
    <x v="0"/>
    <x v="13"/>
    <x v="7"/>
    <x v="2"/>
    <s v="FUR-FU-10003878"/>
    <x v="0"/>
    <x v="3"/>
    <x v="142"/>
    <n v="61.12"/>
    <n v="4"/>
    <n v="20.780799999999999"/>
    <x v="2"/>
  </r>
  <r>
    <x v="460"/>
    <x v="306"/>
    <d v="2014-11-30T00:00:00"/>
    <x v="1"/>
    <s v="MC-17590"/>
    <s v="Matt Collister"/>
    <s v="Corporate"/>
    <x v="0"/>
    <x v="58"/>
    <x v="5"/>
    <x v="3"/>
    <s v="FUR-TA-10000577"/>
    <x v="0"/>
    <x v="2"/>
    <x v="2"/>
    <n v="1218.7349999999999"/>
    <n v="5"/>
    <n v="-121.87350000000001"/>
    <x v="0"/>
  </r>
  <r>
    <x v="460"/>
    <x v="306"/>
    <d v="2014-11-30T00:00:00"/>
    <x v="1"/>
    <s v="MC-17590"/>
    <s v="Matt Collister"/>
    <s v="Corporate"/>
    <x v="0"/>
    <x v="58"/>
    <x v="5"/>
    <x v="3"/>
    <s v="FUR-FU-10000221"/>
    <x v="0"/>
    <x v="3"/>
    <x v="111"/>
    <n v="6.0960000000000001"/>
    <n v="3"/>
    <n v="-3.9624000000000001"/>
    <x v="0"/>
  </r>
  <r>
    <x v="461"/>
    <x v="376"/>
    <d v="2016-05-05T00:00:00"/>
    <x v="1"/>
    <s v="BO-11350"/>
    <s v="Bill Overfelt"/>
    <s v="Corporate"/>
    <x v="0"/>
    <x v="2"/>
    <x v="2"/>
    <x v="1"/>
    <s v="FUR-CH-10002304"/>
    <x v="0"/>
    <x v="1"/>
    <x v="158"/>
    <n v="41.567999999999998"/>
    <n v="2"/>
    <n v="2.5979999999999999"/>
    <x v="6"/>
  </r>
  <r>
    <x v="462"/>
    <x v="377"/>
    <d v="2014-05-03T00:00:00"/>
    <x v="1"/>
    <s v="AG-10300"/>
    <s v="Aleksandra Gannaway"/>
    <s v="Corporate"/>
    <x v="0"/>
    <x v="2"/>
    <x v="2"/>
    <x v="1"/>
    <s v="FUR-CH-10004886"/>
    <x v="0"/>
    <x v="1"/>
    <x v="77"/>
    <n v="230.28"/>
    <n v="3"/>
    <n v="23.027999999999999"/>
    <x v="6"/>
  </r>
  <r>
    <x v="463"/>
    <x v="378"/>
    <d v="2017-05-20T00:00:00"/>
    <x v="1"/>
    <s v="JF-15295"/>
    <s v="Jason Fortune-"/>
    <s v="Consumer"/>
    <x v="0"/>
    <x v="15"/>
    <x v="13"/>
    <x v="1"/>
    <s v="FUR-FU-10000076"/>
    <x v="0"/>
    <x v="3"/>
    <x v="175"/>
    <n v="39.96"/>
    <n v="2"/>
    <n v="17.1828"/>
    <x v="7"/>
  </r>
  <r>
    <x v="463"/>
    <x v="378"/>
    <d v="2017-05-20T00:00:00"/>
    <x v="1"/>
    <s v="JF-15295"/>
    <s v="Jason Fortune-"/>
    <s v="Consumer"/>
    <x v="0"/>
    <x v="15"/>
    <x v="13"/>
    <x v="1"/>
    <s v="FUR-CH-10002017"/>
    <x v="0"/>
    <x v="1"/>
    <x v="274"/>
    <n v="42.624000000000002"/>
    <n v="2"/>
    <n v="4.2624000000000004"/>
    <x v="7"/>
  </r>
  <r>
    <x v="463"/>
    <x v="378"/>
    <d v="2017-05-20T00:00:00"/>
    <x v="1"/>
    <s v="JF-15295"/>
    <s v="Jason Fortune-"/>
    <s v="Consumer"/>
    <x v="0"/>
    <x v="15"/>
    <x v="13"/>
    <x v="1"/>
    <s v="FUR-CH-10004287"/>
    <x v="0"/>
    <x v="1"/>
    <x v="32"/>
    <n v="220.96"/>
    <n v="1"/>
    <n v="24.858000000000001"/>
    <x v="7"/>
  </r>
  <r>
    <x v="464"/>
    <x v="379"/>
    <d v="2015-07-10T00:00:00"/>
    <x v="0"/>
    <s v="BF-10975"/>
    <s v="Barbara Fisher"/>
    <s v="Corporate"/>
    <x v="0"/>
    <x v="160"/>
    <x v="30"/>
    <x v="0"/>
    <s v="FUR-FU-10003829"/>
    <x v="0"/>
    <x v="3"/>
    <x v="275"/>
    <n v="4.9279999999999999"/>
    <n v="2"/>
    <n v="0.73919999999999997"/>
    <x v="3"/>
  </r>
  <r>
    <x v="465"/>
    <x v="235"/>
    <d v="2017-06-18T00:00:00"/>
    <x v="1"/>
    <s v="SB-20170"/>
    <s v="Sarah Bern"/>
    <s v="Consumer"/>
    <x v="0"/>
    <x v="13"/>
    <x v="7"/>
    <x v="2"/>
    <s v="FUR-CH-10000595"/>
    <x v="0"/>
    <x v="1"/>
    <x v="97"/>
    <n v="858.24"/>
    <n v="4"/>
    <n v="143.04"/>
    <x v="2"/>
  </r>
  <r>
    <x v="466"/>
    <x v="380"/>
    <d v="2016-04-21T00:00:00"/>
    <x v="0"/>
    <s v="BF-11170"/>
    <s v="Ben Ferrer"/>
    <s v="Home Office"/>
    <x v="0"/>
    <x v="168"/>
    <x v="30"/>
    <x v="0"/>
    <s v="FUR-FU-10000206"/>
    <x v="0"/>
    <x v="3"/>
    <x v="84"/>
    <n v="18.623999999999999"/>
    <n v="8"/>
    <n v="6.2855999999999996"/>
    <x v="6"/>
  </r>
  <r>
    <x v="467"/>
    <x v="266"/>
    <d v="2014-09-12T00:00:00"/>
    <x v="0"/>
    <s v="TB-21400"/>
    <s v="Tom Boeckenhauer"/>
    <s v="Consumer"/>
    <x v="0"/>
    <x v="169"/>
    <x v="37"/>
    <x v="3"/>
    <s v="FUR-FU-10004270"/>
    <x v="0"/>
    <x v="3"/>
    <x v="276"/>
    <n v="57.69"/>
    <n v="3"/>
    <n v="23.652899999999999"/>
    <x v="4"/>
  </r>
  <r>
    <x v="467"/>
    <x v="266"/>
    <d v="2014-09-12T00:00:00"/>
    <x v="0"/>
    <s v="TB-21400"/>
    <s v="Tom Boeckenhauer"/>
    <s v="Consumer"/>
    <x v="0"/>
    <x v="169"/>
    <x v="37"/>
    <x v="3"/>
    <s v="FUR-FU-10004665"/>
    <x v="0"/>
    <x v="3"/>
    <x v="266"/>
    <n v="821.88"/>
    <n v="6"/>
    <n v="213.68879999999999"/>
    <x v="4"/>
  </r>
  <r>
    <x v="468"/>
    <x v="73"/>
    <d v="2016-10-01T00:00:00"/>
    <x v="1"/>
    <s v="SH-19975"/>
    <s v="Sally Hughsby"/>
    <s v="Corporate"/>
    <x v="0"/>
    <x v="170"/>
    <x v="2"/>
    <x v="1"/>
    <s v="FUR-BO-10004467"/>
    <x v="0"/>
    <x v="0"/>
    <x v="179"/>
    <n v="424.95749999999998"/>
    <n v="5"/>
    <n v="19.998000000000001"/>
    <x v="4"/>
  </r>
  <r>
    <x v="469"/>
    <x v="342"/>
    <d v="2017-09-21T00:00:00"/>
    <x v="0"/>
    <s v="AS-10225"/>
    <s v="Alan Schoenberger"/>
    <s v="Corporate"/>
    <x v="0"/>
    <x v="106"/>
    <x v="4"/>
    <x v="1"/>
    <s v="FUR-BO-10003404"/>
    <x v="0"/>
    <x v="0"/>
    <x v="277"/>
    <n v="1292.94"/>
    <n v="3"/>
    <n v="77.576400000000007"/>
    <x v="4"/>
  </r>
  <r>
    <x v="470"/>
    <x v="37"/>
    <d v="2015-12-28T00:00:00"/>
    <x v="1"/>
    <s v="HR-14830"/>
    <s v="Harold Ryan"/>
    <s v="Corporate"/>
    <x v="0"/>
    <x v="171"/>
    <x v="22"/>
    <x v="1"/>
    <s v="FUR-CH-10004287"/>
    <x v="0"/>
    <x v="1"/>
    <x v="32"/>
    <n v="883.84"/>
    <n v="4"/>
    <n v="99.432000000000002"/>
    <x v="5"/>
  </r>
  <r>
    <x v="471"/>
    <x v="381"/>
    <d v="2016-05-04T00:00:00"/>
    <x v="2"/>
    <s v="HF-14995"/>
    <s v="Herbert Flentye"/>
    <s v="Consumer"/>
    <x v="0"/>
    <x v="10"/>
    <x v="9"/>
    <x v="0"/>
    <s v="FUR-TA-10004534"/>
    <x v="0"/>
    <x v="2"/>
    <x v="28"/>
    <n v="370.62"/>
    <n v="3"/>
    <n v="-142.071"/>
    <x v="7"/>
  </r>
  <r>
    <x v="472"/>
    <x v="382"/>
    <d v="2015-08-30T00:00:00"/>
    <x v="1"/>
    <s v="NL-18310"/>
    <s v="Nancy Lomonaco"/>
    <s v="Home Office"/>
    <x v="0"/>
    <x v="2"/>
    <x v="2"/>
    <x v="1"/>
    <s v="FUR-CH-10002774"/>
    <x v="0"/>
    <x v="1"/>
    <x v="5"/>
    <n v="40.783999999999999"/>
    <n v="1"/>
    <n v="4.5881999999999996"/>
    <x v="10"/>
  </r>
  <r>
    <x v="473"/>
    <x v="383"/>
    <d v="2014-09-12T00:00:00"/>
    <x v="0"/>
    <s v="RR-19525"/>
    <s v="Rick Reed"/>
    <s v="Corporate"/>
    <x v="0"/>
    <x v="172"/>
    <x v="20"/>
    <x v="2"/>
    <s v="FUR-CH-10003761"/>
    <x v="0"/>
    <x v="1"/>
    <x v="278"/>
    <n v="785.88"/>
    <n v="6"/>
    <n v="212.1876"/>
    <x v="4"/>
  </r>
  <r>
    <x v="474"/>
    <x v="360"/>
    <d v="2016-01-28T00:00:00"/>
    <x v="1"/>
    <s v="AJ-10795"/>
    <s v="Anthony Johnson"/>
    <s v="Corporate"/>
    <x v="0"/>
    <x v="15"/>
    <x v="13"/>
    <x v="1"/>
    <s v="FUR-FU-10001475"/>
    <x v="0"/>
    <x v="3"/>
    <x v="106"/>
    <n v="109.9"/>
    <n v="5"/>
    <n v="37.366"/>
    <x v="8"/>
  </r>
  <r>
    <x v="475"/>
    <x v="384"/>
    <d v="2014-10-20T00:00:00"/>
    <x v="1"/>
    <s v="DL-12865"/>
    <s v="Dan Lawera"/>
    <s v="Consumer"/>
    <x v="0"/>
    <x v="173"/>
    <x v="1"/>
    <x v="0"/>
    <s v="FUR-FU-10004270"/>
    <x v="0"/>
    <x v="3"/>
    <x v="276"/>
    <n v="15.384"/>
    <n v="1"/>
    <n v="4.0382999999999996"/>
    <x v="1"/>
  </r>
  <r>
    <x v="476"/>
    <x v="385"/>
    <d v="2014-03-23T00:00:00"/>
    <x v="1"/>
    <s v="SM-20320"/>
    <s v="Sean Miller"/>
    <s v="Home Office"/>
    <x v="0"/>
    <x v="51"/>
    <x v="1"/>
    <x v="0"/>
    <s v="FUR-FU-10004270"/>
    <x v="0"/>
    <x v="3"/>
    <x v="276"/>
    <n v="30.768000000000001"/>
    <n v="2"/>
    <n v="8.0765999999999991"/>
    <x v="9"/>
  </r>
  <r>
    <x v="476"/>
    <x v="385"/>
    <d v="2014-03-23T00:00:00"/>
    <x v="1"/>
    <s v="SM-20320"/>
    <s v="Sean Miller"/>
    <s v="Home Office"/>
    <x v="0"/>
    <x v="51"/>
    <x v="1"/>
    <x v="0"/>
    <s v="FUR-FU-10001986"/>
    <x v="0"/>
    <x v="3"/>
    <x v="222"/>
    <n v="122.352"/>
    <n v="3"/>
    <n v="15.294"/>
    <x v="9"/>
  </r>
  <r>
    <x v="477"/>
    <x v="386"/>
    <d v="2015-02-06T00:00:00"/>
    <x v="1"/>
    <s v="CC-12145"/>
    <s v="Charles Crestani"/>
    <s v="Consumer"/>
    <x v="0"/>
    <x v="2"/>
    <x v="2"/>
    <x v="1"/>
    <s v="FUR-FU-10001876"/>
    <x v="0"/>
    <x v="3"/>
    <x v="279"/>
    <n v="227.36"/>
    <n v="7"/>
    <n v="81.849599999999995"/>
    <x v="8"/>
  </r>
  <r>
    <x v="478"/>
    <x v="224"/>
    <d v="2017-10-11T00:00:00"/>
    <x v="2"/>
    <s v="CP-12085"/>
    <s v="Cathy Prescott"/>
    <s v="Corporate"/>
    <x v="0"/>
    <x v="174"/>
    <x v="15"/>
    <x v="2"/>
    <s v="FUR-FU-10003577"/>
    <x v="0"/>
    <x v="3"/>
    <x v="128"/>
    <n v="45.887999999999998"/>
    <n v="4"/>
    <n v="9.1776"/>
    <x v="1"/>
  </r>
  <r>
    <x v="479"/>
    <x v="387"/>
    <d v="2014-12-08T00:00:00"/>
    <x v="0"/>
    <s v="LF-17185"/>
    <s v="Luke Foster"/>
    <s v="Consumer"/>
    <x v="0"/>
    <x v="6"/>
    <x v="5"/>
    <x v="3"/>
    <s v="FUR-FU-10002759"/>
    <x v="0"/>
    <x v="3"/>
    <x v="115"/>
    <n v="23.975999999999999"/>
    <n v="3"/>
    <n v="-14.3856"/>
    <x v="5"/>
  </r>
  <r>
    <x v="480"/>
    <x v="388"/>
    <d v="2017-11-13T00:00:00"/>
    <x v="1"/>
    <s v="EP-13915"/>
    <s v="Emily Phan"/>
    <s v="Consumer"/>
    <x v="0"/>
    <x v="3"/>
    <x v="3"/>
    <x v="2"/>
    <s v="FUR-TA-10000849"/>
    <x v="0"/>
    <x v="2"/>
    <x v="261"/>
    <n v="350.35199999999998"/>
    <n v="4"/>
    <n v="-140.14080000000001"/>
    <x v="0"/>
  </r>
  <r>
    <x v="481"/>
    <x v="389"/>
    <d v="2017-02-19T00:00:00"/>
    <x v="1"/>
    <s v="FH-14350"/>
    <s v="Fred Harton"/>
    <s v="Consumer"/>
    <x v="0"/>
    <x v="15"/>
    <x v="13"/>
    <x v="1"/>
    <s v="FUR-FU-10004017"/>
    <x v="0"/>
    <x v="3"/>
    <x v="45"/>
    <n v="107.53"/>
    <n v="1"/>
    <n v="21.506"/>
    <x v="11"/>
  </r>
  <r>
    <x v="482"/>
    <x v="18"/>
    <d v="2015-11-19T00:00:00"/>
    <x v="1"/>
    <s v="KL-16645"/>
    <s v="Ken Lonsdale"/>
    <s v="Consumer"/>
    <x v="0"/>
    <x v="19"/>
    <x v="14"/>
    <x v="2"/>
    <s v="FUR-BO-10004467"/>
    <x v="0"/>
    <x v="0"/>
    <x v="179"/>
    <n v="299.97000000000003"/>
    <n v="3"/>
    <n v="56.994300000000003"/>
    <x v="0"/>
  </r>
  <r>
    <x v="483"/>
    <x v="53"/>
    <d v="2014-11-08T00:00:00"/>
    <x v="1"/>
    <s v="MS-17530"/>
    <s v="MaryBeth Skach"/>
    <s v="Consumer"/>
    <x v="0"/>
    <x v="53"/>
    <x v="2"/>
    <x v="1"/>
    <s v="FUR-FU-10004671"/>
    <x v="0"/>
    <x v="3"/>
    <x v="272"/>
    <n v="35.340000000000003"/>
    <n v="2"/>
    <n v="13.4292"/>
    <x v="0"/>
  </r>
  <r>
    <x v="484"/>
    <x v="390"/>
    <d v="2015-06-25T00:00:00"/>
    <x v="0"/>
    <s v="SC-20770"/>
    <s v="Stewart Carmichael"/>
    <s v="Corporate"/>
    <x v="0"/>
    <x v="28"/>
    <x v="2"/>
    <x v="1"/>
    <s v="FUR-FU-10002253"/>
    <x v="0"/>
    <x v="3"/>
    <x v="123"/>
    <n v="257.64"/>
    <n v="6"/>
    <n v="100.4796"/>
    <x v="2"/>
  </r>
  <r>
    <x v="485"/>
    <x v="264"/>
    <d v="2014-05-17T00:00:00"/>
    <x v="1"/>
    <s v="KT-16480"/>
    <s v="Kean Thornton"/>
    <s v="Consumer"/>
    <x v="0"/>
    <x v="20"/>
    <x v="20"/>
    <x v="2"/>
    <s v="FUR-TA-10002228"/>
    <x v="0"/>
    <x v="2"/>
    <x v="126"/>
    <n v="700.05600000000004"/>
    <n v="3"/>
    <n v="-130.0104"/>
    <x v="7"/>
  </r>
  <r>
    <x v="486"/>
    <x v="391"/>
    <d v="2014-06-14T00:00:00"/>
    <x v="1"/>
    <s v="CS-11950"/>
    <s v="Carlos Soltero"/>
    <s v="Consumer"/>
    <x v="0"/>
    <x v="15"/>
    <x v="13"/>
    <x v="1"/>
    <s v="FUR-CH-10002758"/>
    <x v="0"/>
    <x v="1"/>
    <x v="280"/>
    <n v="585.55200000000002"/>
    <n v="3"/>
    <n v="73.194000000000003"/>
    <x v="2"/>
  </r>
  <r>
    <x v="487"/>
    <x v="261"/>
    <d v="2014-05-30T00:00:00"/>
    <x v="1"/>
    <s v="HF-14995"/>
    <s v="Herbert Flentye"/>
    <s v="Consumer"/>
    <x v="0"/>
    <x v="2"/>
    <x v="2"/>
    <x v="1"/>
    <s v="FUR-CH-10000988"/>
    <x v="0"/>
    <x v="1"/>
    <x v="221"/>
    <n v="225.29599999999999"/>
    <n v="2"/>
    <n v="22.529599999999999"/>
    <x v="7"/>
  </r>
  <r>
    <x v="488"/>
    <x v="237"/>
    <d v="2016-03-15T00:00:00"/>
    <x v="1"/>
    <s v="JP-16135"/>
    <s v="Julie Prescott"/>
    <s v="Home Office"/>
    <x v="0"/>
    <x v="29"/>
    <x v="24"/>
    <x v="0"/>
    <s v="FUR-FU-10004270"/>
    <x v="0"/>
    <x v="3"/>
    <x v="276"/>
    <n v="76.92"/>
    <n v="4"/>
    <n v="31.537199999999999"/>
    <x v="9"/>
  </r>
  <r>
    <x v="489"/>
    <x v="247"/>
    <d v="2017-12-12T00:00:00"/>
    <x v="2"/>
    <s v="BT-11680"/>
    <s v="Brian Thompson"/>
    <s v="Consumer"/>
    <x v="0"/>
    <x v="1"/>
    <x v="1"/>
    <x v="0"/>
    <s v="FUR-FU-10001940"/>
    <x v="0"/>
    <x v="3"/>
    <x v="47"/>
    <n v="19.103999999999999"/>
    <n v="3"/>
    <n v="5.7312000000000003"/>
    <x v="5"/>
  </r>
  <r>
    <x v="490"/>
    <x v="392"/>
    <d v="2015-07-19T00:00:00"/>
    <x v="0"/>
    <s v="JM-15535"/>
    <s v="Jessica Myrick"/>
    <s v="Consumer"/>
    <x v="0"/>
    <x v="175"/>
    <x v="2"/>
    <x v="1"/>
    <s v="FUR-BO-10003159"/>
    <x v="0"/>
    <x v="0"/>
    <x v="214"/>
    <n v="195.46600000000001"/>
    <n v="2"/>
    <n v="-13.797599999999999"/>
    <x v="3"/>
  </r>
  <r>
    <x v="491"/>
    <x v="393"/>
    <d v="2017-05-05T00:00:00"/>
    <x v="1"/>
    <s v="SS-20140"/>
    <s v="Saphhira Shifley"/>
    <s v="Corporate"/>
    <x v="0"/>
    <x v="176"/>
    <x v="1"/>
    <x v="0"/>
    <s v="FUR-FU-10001935"/>
    <x v="0"/>
    <x v="3"/>
    <x v="73"/>
    <n v="23.68"/>
    <n v="8"/>
    <n v="6.2160000000000002"/>
    <x v="6"/>
  </r>
  <r>
    <x v="492"/>
    <x v="231"/>
    <d v="2015-09-23T00:00:00"/>
    <x v="2"/>
    <s v="CD-12790"/>
    <s v="Cynthia Delaney"/>
    <s v="Home Office"/>
    <x v="0"/>
    <x v="2"/>
    <x v="2"/>
    <x v="1"/>
    <s v="FUR-CH-10004997"/>
    <x v="0"/>
    <x v="1"/>
    <x v="105"/>
    <n v="601.53599999999994"/>
    <n v="4"/>
    <n v="0"/>
    <x v="4"/>
  </r>
  <r>
    <x v="493"/>
    <x v="116"/>
    <d v="2014-12-06T00:00:00"/>
    <x v="1"/>
    <s v="MD-17860"/>
    <s v="Michael Dominguez"/>
    <s v="Corporate"/>
    <x v="0"/>
    <x v="177"/>
    <x v="5"/>
    <x v="3"/>
    <s v="FUR-FU-10001588"/>
    <x v="0"/>
    <x v="3"/>
    <x v="63"/>
    <n v="58.36"/>
    <n v="5"/>
    <n v="-24.803000000000001"/>
    <x v="5"/>
  </r>
  <r>
    <x v="493"/>
    <x v="116"/>
    <d v="2014-12-06T00:00:00"/>
    <x v="1"/>
    <s v="MD-17860"/>
    <s v="Michael Dominguez"/>
    <s v="Corporate"/>
    <x v="0"/>
    <x v="177"/>
    <x v="5"/>
    <x v="3"/>
    <s v="FUR-FU-10002759"/>
    <x v="0"/>
    <x v="3"/>
    <x v="115"/>
    <n v="39.96"/>
    <n v="5"/>
    <n v="-23.975999999999999"/>
    <x v="5"/>
  </r>
  <r>
    <x v="494"/>
    <x v="394"/>
    <d v="2014-04-17T00:00:00"/>
    <x v="1"/>
    <s v="KN-16450"/>
    <s v="Kean Nguyen"/>
    <s v="Corporate"/>
    <x v="0"/>
    <x v="178"/>
    <x v="2"/>
    <x v="1"/>
    <s v="FUR-BO-10001337"/>
    <x v="0"/>
    <x v="0"/>
    <x v="90"/>
    <n v="308.49900000000002"/>
    <n v="3"/>
    <n v="-18.146999999999998"/>
    <x v="6"/>
  </r>
  <r>
    <x v="495"/>
    <x v="54"/>
    <d v="2017-11-08T00:00:00"/>
    <x v="1"/>
    <s v="DL-13330"/>
    <s v="Denise Leinenbach"/>
    <s v="Consumer"/>
    <x v="0"/>
    <x v="179"/>
    <x v="41"/>
    <x v="1"/>
    <s v="FUR-FU-10000629"/>
    <x v="0"/>
    <x v="3"/>
    <x v="22"/>
    <n v="41.37"/>
    <n v="3"/>
    <n v="17.375399999999999"/>
    <x v="0"/>
  </r>
  <r>
    <x v="496"/>
    <x v="395"/>
    <d v="2015-09-11T00:00:00"/>
    <x v="1"/>
    <s v="CC-12145"/>
    <s v="Charles Crestani"/>
    <s v="Consumer"/>
    <x v="0"/>
    <x v="116"/>
    <x v="5"/>
    <x v="3"/>
    <s v="FUR-CH-10000553"/>
    <x v="0"/>
    <x v="1"/>
    <x v="247"/>
    <n v="47.515999999999998"/>
    <n v="2"/>
    <n v="-2.0364"/>
    <x v="4"/>
  </r>
  <r>
    <x v="497"/>
    <x v="396"/>
    <d v="2015-07-27T00:00:00"/>
    <x v="0"/>
    <s v="MH-18025"/>
    <s v="Michelle Huthwaite"/>
    <s v="Consumer"/>
    <x v="0"/>
    <x v="15"/>
    <x v="13"/>
    <x v="1"/>
    <s v="FUR-BO-10002213"/>
    <x v="0"/>
    <x v="0"/>
    <x v="263"/>
    <n v="704.9"/>
    <n v="5"/>
    <n v="56.392000000000003"/>
    <x v="3"/>
  </r>
  <r>
    <x v="497"/>
    <x v="396"/>
    <d v="2015-07-27T00:00:00"/>
    <x v="0"/>
    <s v="MH-18025"/>
    <s v="Michelle Huthwaite"/>
    <s v="Consumer"/>
    <x v="0"/>
    <x v="15"/>
    <x v="13"/>
    <x v="1"/>
    <s v="FUR-CH-10001854"/>
    <x v="0"/>
    <x v="1"/>
    <x v="216"/>
    <n v="561.56799999999998"/>
    <n v="2"/>
    <n v="28.078399999999998"/>
    <x v="3"/>
  </r>
  <r>
    <x v="498"/>
    <x v="397"/>
    <d v="2015-11-18T00:00:00"/>
    <x v="0"/>
    <s v="MP-18175"/>
    <s v="Mike Pelletier"/>
    <s v="Home Office"/>
    <x v="0"/>
    <x v="79"/>
    <x v="16"/>
    <x v="3"/>
    <s v="FUR-FU-10001185"/>
    <x v="0"/>
    <x v="3"/>
    <x v="281"/>
    <n v="185.58"/>
    <n v="6"/>
    <n v="76.087800000000001"/>
    <x v="0"/>
  </r>
  <r>
    <x v="498"/>
    <x v="397"/>
    <d v="2015-11-18T00:00:00"/>
    <x v="0"/>
    <s v="MP-18175"/>
    <s v="Mike Pelletier"/>
    <s v="Home Office"/>
    <x v="0"/>
    <x v="79"/>
    <x v="16"/>
    <x v="3"/>
    <s v="FUR-TA-10001520"/>
    <x v="0"/>
    <x v="2"/>
    <x v="146"/>
    <n v="214.11"/>
    <n v="3"/>
    <n v="36.398699999999998"/>
    <x v="0"/>
  </r>
  <r>
    <x v="498"/>
    <x v="397"/>
    <d v="2015-11-18T00:00:00"/>
    <x v="0"/>
    <s v="MP-18175"/>
    <s v="Mike Pelletier"/>
    <s v="Home Office"/>
    <x v="0"/>
    <x v="79"/>
    <x v="16"/>
    <x v="3"/>
    <s v="FUR-TA-10000688"/>
    <x v="0"/>
    <x v="2"/>
    <x v="116"/>
    <n v="653.54999999999995"/>
    <n v="3"/>
    <n v="111.1035"/>
    <x v="0"/>
  </r>
  <r>
    <x v="499"/>
    <x v="398"/>
    <d v="2015-09-08T00:00:00"/>
    <x v="1"/>
    <s v="DR-12940"/>
    <s v="Daniel Raglin"/>
    <s v="Home Office"/>
    <x v="0"/>
    <x v="20"/>
    <x v="20"/>
    <x v="2"/>
    <s v="FUR-CH-10003817"/>
    <x v="0"/>
    <x v="1"/>
    <x v="33"/>
    <n v="60.74"/>
    <n v="1"/>
    <n v="15.185"/>
    <x v="4"/>
  </r>
  <r>
    <x v="499"/>
    <x v="398"/>
    <d v="2015-09-08T00:00:00"/>
    <x v="1"/>
    <s v="DR-12940"/>
    <s v="Daniel Raglin"/>
    <s v="Home Office"/>
    <x v="0"/>
    <x v="20"/>
    <x v="20"/>
    <x v="2"/>
    <s v="FUR-FU-10000308"/>
    <x v="0"/>
    <x v="3"/>
    <x v="250"/>
    <n v="124.36"/>
    <n v="2"/>
    <n v="27.359200000000001"/>
    <x v="4"/>
  </r>
  <r>
    <x v="500"/>
    <x v="399"/>
    <d v="2016-05-08T00:00:00"/>
    <x v="2"/>
    <s v="DM-13015"/>
    <s v="Darrin Martin"/>
    <s v="Consumer"/>
    <x v="0"/>
    <x v="92"/>
    <x v="2"/>
    <x v="1"/>
    <s v="FUR-TA-10003748"/>
    <x v="0"/>
    <x v="2"/>
    <x v="40"/>
    <n v="298.77600000000001"/>
    <n v="3"/>
    <n v="7.4694000000000003"/>
    <x v="7"/>
  </r>
  <r>
    <x v="501"/>
    <x v="400"/>
    <d v="2014-09-30T00:00:00"/>
    <x v="1"/>
    <s v="MT-18070"/>
    <s v="Michelle Tran"/>
    <s v="Home Office"/>
    <x v="0"/>
    <x v="6"/>
    <x v="5"/>
    <x v="3"/>
    <s v="FUR-BO-10003272"/>
    <x v="0"/>
    <x v="0"/>
    <x v="122"/>
    <n v="300.53280000000001"/>
    <n v="2"/>
    <n v="-97.231200000000001"/>
    <x v="4"/>
  </r>
  <r>
    <x v="502"/>
    <x v="401"/>
    <d v="2014-03-19T00:00:00"/>
    <x v="1"/>
    <s v="CK-12325"/>
    <s v="Christine Kargatis"/>
    <s v="Home Office"/>
    <x v="0"/>
    <x v="180"/>
    <x v="25"/>
    <x v="0"/>
    <s v="FUR-CH-10003379"/>
    <x v="0"/>
    <x v="1"/>
    <x v="96"/>
    <n v="1139.92"/>
    <n v="4"/>
    <n v="284.98"/>
    <x v="9"/>
  </r>
  <r>
    <x v="503"/>
    <x v="402"/>
    <d v="2016-12-31T00:00:00"/>
    <x v="1"/>
    <s v="BG-11695"/>
    <s v="Brooke Gillingham"/>
    <s v="Corporate"/>
    <x v="0"/>
    <x v="181"/>
    <x v="8"/>
    <x v="3"/>
    <s v="FUR-CH-10004853"/>
    <x v="0"/>
    <x v="1"/>
    <x v="110"/>
    <n v="845.48800000000006"/>
    <n v="8"/>
    <n v="-12.0784"/>
    <x v="5"/>
  </r>
  <r>
    <x v="504"/>
    <x v="403"/>
    <d v="2017-04-15T00:00:00"/>
    <x v="1"/>
    <s v="DM-13345"/>
    <s v="Denise Monton"/>
    <s v="Corporate"/>
    <x v="0"/>
    <x v="153"/>
    <x v="24"/>
    <x v="0"/>
    <s v="FUR-FU-10003832"/>
    <x v="0"/>
    <x v="3"/>
    <x v="282"/>
    <n v="56.28"/>
    <n v="6"/>
    <n v="15.7584"/>
    <x v="6"/>
  </r>
  <r>
    <x v="505"/>
    <x v="331"/>
    <d v="2016-03-21T00:00:00"/>
    <x v="0"/>
    <s v="SV-20935"/>
    <s v="Susan Vittorini"/>
    <s v="Consumer"/>
    <x v="0"/>
    <x v="64"/>
    <x v="7"/>
    <x v="2"/>
    <s v="FUR-FU-10000409"/>
    <x v="0"/>
    <x v="3"/>
    <x v="283"/>
    <n v="14.98"/>
    <n v="1"/>
    <n v="6.8907999999999996"/>
    <x v="9"/>
  </r>
  <r>
    <x v="505"/>
    <x v="331"/>
    <d v="2016-03-21T00:00:00"/>
    <x v="0"/>
    <s v="SV-20935"/>
    <s v="Susan Vittorini"/>
    <s v="Consumer"/>
    <x v="0"/>
    <x v="64"/>
    <x v="7"/>
    <x v="2"/>
    <s v="FUR-FU-10000221"/>
    <x v="0"/>
    <x v="3"/>
    <x v="111"/>
    <n v="20.32"/>
    <n v="4"/>
    <n v="6.9088000000000003"/>
    <x v="9"/>
  </r>
  <r>
    <x v="506"/>
    <x v="238"/>
    <d v="2016-08-29T00:00:00"/>
    <x v="2"/>
    <s v="DJ-13510"/>
    <s v="Don Jones"/>
    <s v="Corporate"/>
    <x v="0"/>
    <x v="53"/>
    <x v="2"/>
    <x v="1"/>
    <s v="FUR-CH-10001215"/>
    <x v="0"/>
    <x v="1"/>
    <x v="94"/>
    <n v="1603.136"/>
    <n v="4"/>
    <n v="100.196"/>
    <x v="10"/>
  </r>
  <r>
    <x v="507"/>
    <x v="404"/>
    <d v="2016-08-17T00:00:00"/>
    <x v="0"/>
    <s v="CC-12370"/>
    <s v="Christopher Conant"/>
    <s v="Consumer"/>
    <x v="0"/>
    <x v="160"/>
    <x v="30"/>
    <x v="0"/>
    <s v="FUR-CH-10000988"/>
    <x v="0"/>
    <x v="1"/>
    <x v="221"/>
    <n v="225.29599999999999"/>
    <n v="2"/>
    <n v="22.529599999999999"/>
    <x v="10"/>
  </r>
  <r>
    <x v="508"/>
    <x v="405"/>
    <d v="2017-05-23T00:00:00"/>
    <x v="1"/>
    <s v="SC-20380"/>
    <s v="Shahid Collister"/>
    <s v="Consumer"/>
    <x v="0"/>
    <x v="182"/>
    <x v="24"/>
    <x v="0"/>
    <s v="FUR-BO-10004695"/>
    <x v="0"/>
    <x v="0"/>
    <x v="38"/>
    <n v="1628.82"/>
    <n v="9"/>
    <n v="374.62860000000001"/>
    <x v="7"/>
  </r>
  <r>
    <x v="509"/>
    <x v="235"/>
    <d v="2017-06-19T00:00:00"/>
    <x v="1"/>
    <s v="LC-16885"/>
    <s v="Lena Creighton"/>
    <s v="Consumer"/>
    <x v="0"/>
    <x v="66"/>
    <x v="1"/>
    <x v="0"/>
    <s v="FUR-FU-10001546"/>
    <x v="0"/>
    <x v="3"/>
    <x v="284"/>
    <n v="17.088000000000001"/>
    <n v="2"/>
    <n v="1.0680000000000001"/>
    <x v="2"/>
  </r>
  <r>
    <x v="510"/>
    <x v="406"/>
    <d v="2014-03-26T00:00:00"/>
    <x v="1"/>
    <s v="BF-11275"/>
    <s v="Beth Fritzler"/>
    <s v="Corporate"/>
    <x v="0"/>
    <x v="104"/>
    <x v="22"/>
    <x v="1"/>
    <s v="FUR-CH-10001482"/>
    <x v="0"/>
    <x v="1"/>
    <x v="112"/>
    <n v="314.35199999999998"/>
    <n v="3"/>
    <n v="-35.364600000000003"/>
    <x v="9"/>
  </r>
  <r>
    <x v="511"/>
    <x v="407"/>
    <d v="2016-01-23T00:00:00"/>
    <x v="0"/>
    <s v="TD-20995"/>
    <s v="Tamara Dahlen"/>
    <s v="Consumer"/>
    <x v="0"/>
    <x v="53"/>
    <x v="2"/>
    <x v="1"/>
    <s v="FUR-CH-10004289"/>
    <x v="0"/>
    <x v="1"/>
    <x v="196"/>
    <n v="153.56800000000001"/>
    <n v="2"/>
    <n v="-5.7587999999999999"/>
    <x v="8"/>
  </r>
  <r>
    <x v="511"/>
    <x v="407"/>
    <d v="2016-01-23T00:00:00"/>
    <x v="0"/>
    <s v="TD-20995"/>
    <s v="Tamara Dahlen"/>
    <s v="Consumer"/>
    <x v="0"/>
    <x v="53"/>
    <x v="2"/>
    <x v="1"/>
    <s v="FUR-CH-10000785"/>
    <x v="0"/>
    <x v="1"/>
    <x v="69"/>
    <n v="1013.4880000000001"/>
    <n v="7"/>
    <n v="76.011600000000001"/>
    <x v="8"/>
  </r>
  <r>
    <x v="512"/>
    <x v="367"/>
    <d v="2016-11-16T00:00:00"/>
    <x v="0"/>
    <s v="BK-11260"/>
    <s v="Berenike Kampe"/>
    <s v="Consumer"/>
    <x v="0"/>
    <x v="28"/>
    <x v="2"/>
    <x v="1"/>
    <s v="FUR-FU-10001852"/>
    <x v="0"/>
    <x v="3"/>
    <x v="166"/>
    <n v="6.96"/>
    <n v="4"/>
    <n v="2.2271999999999998"/>
    <x v="0"/>
  </r>
  <r>
    <x v="513"/>
    <x v="408"/>
    <d v="2016-10-22T00:00:00"/>
    <x v="1"/>
    <s v="EP-13915"/>
    <s v="Emily Phan"/>
    <s v="Consumer"/>
    <x v="0"/>
    <x v="183"/>
    <x v="22"/>
    <x v="1"/>
    <s v="FUR-CH-10003396"/>
    <x v="0"/>
    <x v="1"/>
    <x v="81"/>
    <n v="307.92"/>
    <n v="5"/>
    <n v="-34.640999999999998"/>
    <x v="1"/>
  </r>
  <r>
    <x v="514"/>
    <x v="149"/>
    <d v="2014-05-01T00:00:00"/>
    <x v="0"/>
    <s v="HG-14845"/>
    <s v="Harry Greene"/>
    <s v="Consumer"/>
    <x v="0"/>
    <x v="184"/>
    <x v="35"/>
    <x v="0"/>
    <s v="FUR-CH-10002304"/>
    <x v="0"/>
    <x v="1"/>
    <x v="158"/>
    <n v="51.96"/>
    <n v="2"/>
    <n v="12.99"/>
    <x v="6"/>
  </r>
  <r>
    <x v="515"/>
    <x v="409"/>
    <d v="2017-10-29T00:00:00"/>
    <x v="1"/>
    <s v="JC-16105"/>
    <s v="Julie Creighton"/>
    <s v="Corporate"/>
    <x v="0"/>
    <x v="77"/>
    <x v="7"/>
    <x v="2"/>
    <s v="FUR-FU-10000771"/>
    <x v="0"/>
    <x v="3"/>
    <x v="285"/>
    <n v="69.08"/>
    <n v="11"/>
    <n v="29.0136"/>
    <x v="1"/>
  </r>
  <r>
    <x v="516"/>
    <x v="12"/>
    <d v="2015-04-30T00:00:00"/>
    <x v="1"/>
    <s v="PW-19240"/>
    <s v="Pierre Wener"/>
    <s v="Consumer"/>
    <x v="0"/>
    <x v="6"/>
    <x v="5"/>
    <x v="3"/>
    <s v="FUR-CH-10004086"/>
    <x v="0"/>
    <x v="1"/>
    <x v="61"/>
    <n v="408.42200000000003"/>
    <n v="2"/>
    <n v="-5.8346"/>
    <x v="6"/>
  </r>
  <r>
    <x v="517"/>
    <x v="410"/>
    <d v="2016-07-01T00:00:00"/>
    <x v="1"/>
    <s v="KH-16330"/>
    <s v="Katharine Harms"/>
    <s v="Corporate"/>
    <x v="0"/>
    <x v="185"/>
    <x v="8"/>
    <x v="3"/>
    <s v="FUR-CH-10003981"/>
    <x v="0"/>
    <x v="1"/>
    <x v="232"/>
    <n v="539.65800000000002"/>
    <n v="3"/>
    <n v="-7.7093999999999996"/>
    <x v="2"/>
  </r>
  <r>
    <x v="518"/>
    <x v="411"/>
    <d v="2016-11-23T00:00:00"/>
    <x v="3"/>
    <s v="LS-17200"/>
    <s v="Luke Schmidt"/>
    <s v="Corporate"/>
    <x v="0"/>
    <x v="3"/>
    <x v="3"/>
    <x v="2"/>
    <s v="FUR-FU-10002088"/>
    <x v="0"/>
    <x v="3"/>
    <x v="209"/>
    <n v="14.368"/>
    <n v="2"/>
    <n v="3.9512"/>
    <x v="0"/>
  </r>
  <r>
    <x v="518"/>
    <x v="411"/>
    <d v="2016-11-23T00:00:00"/>
    <x v="3"/>
    <s v="LS-17200"/>
    <s v="Luke Schmidt"/>
    <s v="Corporate"/>
    <x v="0"/>
    <x v="3"/>
    <x v="3"/>
    <x v="2"/>
    <s v="FUR-FU-10003976"/>
    <x v="0"/>
    <x v="3"/>
    <x v="195"/>
    <n v="70.447999999999993"/>
    <n v="7"/>
    <n v="12.3284"/>
    <x v="0"/>
  </r>
  <r>
    <x v="519"/>
    <x v="412"/>
    <d v="2014-09-05T00:00:00"/>
    <x v="2"/>
    <s v="JM-16195"/>
    <s v="Justin MacKendrick"/>
    <s v="Consumer"/>
    <x v="0"/>
    <x v="115"/>
    <x v="7"/>
    <x v="2"/>
    <s v="FUR-FU-10002116"/>
    <x v="0"/>
    <x v="3"/>
    <x v="286"/>
    <n v="70.709999999999994"/>
    <n v="1"/>
    <n v="4.9497"/>
    <x v="4"/>
  </r>
  <r>
    <x v="520"/>
    <x v="413"/>
    <d v="2017-07-14T00:00:00"/>
    <x v="0"/>
    <s v="BP-11155"/>
    <s v="Becky Pak"/>
    <s v="Consumer"/>
    <x v="0"/>
    <x v="29"/>
    <x v="24"/>
    <x v="0"/>
    <s v="FUR-FU-10000771"/>
    <x v="0"/>
    <x v="3"/>
    <x v="285"/>
    <n v="18.84"/>
    <n v="3"/>
    <n v="7.9127999999999998"/>
    <x v="3"/>
  </r>
  <r>
    <x v="521"/>
    <x v="414"/>
    <d v="2017-11-24T00:00:00"/>
    <x v="1"/>
    <s v="ME-17320"/>
    <s v="Maria Etezadi"/>
    <s v="Home Office"/>
    <x v="0"/>
    <x v="186"/>
    <x v="17"/>
    <x v="3"/>
    <s v="FUR-FU-10002597"/>
    <x v="0"/>
    <x v="3"/>
    <x v="132"/>
    <n v="19.760000000000002"/>
    <n v="4"/>
    <n v="8.2992000000000008"/>
    <x v="0"/>
  </r>
  <r>
    <x v="522"/>
    <x v="415"/>
    <d v="2015-08-08T00:00:00"/>
    <x v="3"/>
    <s v="TT-21220"/>
    <s v="Thomas Thornton"/>
    <s v="Consumer"/>
    <x v="0"/>
    <x v="28"/>
    <x v="2"/>
    <x v="1"/>
    <s v="FUR-CH-10000785"/>
    <x v="0"/>
    <x v="1"/>
    <x v="69"/>
    <n v="144.78399999999999"/>
    <n v="1"/>
    <n v="10.8588"/>
    <x v="10"/>
  </r>
  <r>
    <x v="523"/>
    <x v="416"/>
    <d v="2017-03-31T00:00:00"/>
    <x v="1"/>
    <s v="JD-16150"/>
    <s v="Justin Deggeller"/>
    <s v="Corporate"/>
    <x v="0"/>
    <x v="79"/>
    <x v="16"/>
    <x v="3"/>
    <s v="FUR-CH-10000422"/>
    <x v="0"/>
    <x v="1"/>
    <x v="287"/>
    <n v="90.99"/>
    <n v="1"/>
    <n v="14.558400000000001"/>
    <x v="9"/>
  </r>
  <r>
    <x v="523"/>
    <x v="416"/>
    <d v="2017-03-31T00:00:00"/>
    <x v="1"/>
    <s v="JD-16150"/>
    <s v="Justin Deggeller"/>
    <s v="Corporate"/>
    <x v="0"/>
    <x v="79"/>
    <x v="16"/>
    <x v="3"/>
    <s v="FUR-CH-10004675"/>
    <x v="0"/>
    <x v="1"/>
    <x v="135"/>
    <n v="1526.56"/>
    <n v="7"/>
    <n v="427.43680000000001"/>
    <x v="9"/>
  </r>
  <r>
    <x v="523"/>
    <x v="416"/>
    <d v="2017-03-31T00:00:00"/>
    <x v="1"/>
    <s v="JD-16150"/>
    <s v="Justin Deggeller"/>
    <s v="Corporate"/>
    <x v="0"/>
    <x v="79"/>
    <x v="16"/>
    <x v="3"/>
    <s v="FUR-CH-10002880"/>
    <x v="0"/>
    <x v="1"/>
    <x v="162"/>
    <n v="368.97"/>
    <n v="3"/>
    <n v="40.5867"/>
    <x v="9"/>
  </r>
  <r>
    <x v="524"/>
    <x v="49"/>
    <d v="2017-11-24T00:00:00"/>
    <x v="1"/>
    <s v="MC-18100"/>
    <s v="Mick Crebagga"/>
    <s v="Consumer"/>
    <x v="0"/>
    <x v="2"/>
    <x v="2"/>
    <x v="1"/>
    <s v="FUR-FU-10002685"/>
    <x v="0"/>
    <x v="3"/>
    <x v="288"/>
    <n v="18.7"/>
    <n v="1"/>
    <n v="7.1059999999999999"/>
    <x v="0"/>
  </r>
  <r>
    <x v="525"/>
    <x v="114"/>
    <d v="2016-11-05T00:00:00"/>
    <x v="2"/>
    <s v="LH-17020"/>
    <s v="Lisa Hazard"/>
    <s v="Consumer"/>
    <x v="0"/>
    <x v="28"/>
    <x v="2"/>
    <x v="1"/>
    <s v="FUR-FU-10004020"/>
    <x v="0"/>
    <x v="3"/>
    <x v="104"/>
    <n v="38.29"/>
    <n v="7"/>
    <n v="16.464700000000001"/>
    <x v="0"/>
  </r>
  <r>
    <x v="526"/>
    <x v="417"/>
    <d v="2017-12-18T00:00:00"/>
    <x v="1"/>
    <s v="MP-18175"/>
    <s v="Mike Pelletier"/>
    <s v="Home Office"/>
    <x v="0"/>
    <x v="53"/>
    <x v="2"/>
    <x v="1"/>
    <s v="FUR-FU-10004963"/>
    <x v="0"/>
    <x v="3"/>
    <x v="289"/>
    <n v="26.25"/>
    <n v="3"/>
    <n v="11.025"/>
    <x v="5"/>
  </r>
  <r>
    <x v="527"/>
    <x v="418"/>
    <d v="2017-11-12T00:00:00"/>
    <x v="3"/>
    <s v="EM-14140"/>
    <s v="Eugene Moren"/>
    <s v="Home Office"/>
    <x v="0"/>
    <x v="110"/>
    <x v="22"/>
    <x v="1"/>
    <s v="FUR-CH-10004875"/>
    <x v="0"/>
    <x v="1"/>
    <x v="290"/>
    <n v="113.88800000000001"/>
    <n v="2"/>
    <n v="9.9651999999999994"/>
    <x v="0"/>
  </r>
  <r>
    <x v="527"/>
    <x v="418"/>
    <d v="2017-11-12T00:00:00"/>
    <x v="3"/>
    <s v="EM-14140"/>
    <s v="Eugene Moren"/>
    <s v="Home Office"/>
    <x v="0"/>
    <x v="110"/>
    <x v="22"/>
    <x v="1"/>
    <s v="FUR-FU-10000305"/>
    <x v="0"/>
    <x v="3"/>
    <x v="291"/>
    <n v="113.568"/>
    <n v="2"/>
    <n v="-5.6783999999999999"/>
    <x v="0"/>
  </r>
  <r>
    <x v="528"/>
    <x v="419"/>
    <d v="2017-07-04T00:00:00"/>
    <x v="1"/>
    <s v="MA-17995"/>
    <s v="Michelle Arnett"/>
    <s v="Home Office"/>
    <x v="0"/>
    <x v="115"/>
    <x v="7"/>
    <x v="2"/>
    <s v="FUR-CH-10002647"/>
    <x v="0"/>
    <x v="1"/>
    <x v="99"/>
    <n v="191.64599999999999"/>
    <n v="3"/>
    <n v="31.940999999999999"/>
    <x v="2"/>
  </r>
  <r>
    <x v="529"/>
    <x v="420"/>
    <d v="2017-12-21T00:00:00"/>
    <x v="0"/>
    <s v="AY-10555"/>
    <s v="Andy Yotov"/>
    <s v="Corporate"/>
    <x v="0"/>
    <x v="64"/>
    <x v="2"/>
    <x v="1"/>
    <s v="FUR-CH-10002774"/>
    <x v="0"/>
    <x v="1"/>
    <x v="5"/>
    <n v="81.567999999999998"/>
    <n v="2"/>
    <n v="9.1763999999999992"/>
    <x v="5"/>
  </r>
  <r>
    <x v="529"/>
    <x v="420"/>
    <d v="2017-12-21T00:00:00"/>
    <x v="0"/>
    <s v="AY-10555"/>
    <s v="Andy Yotov"/>
    <s v="Corporate"/>
    <x v="0"/>
    <x v="64"/>
    <x v="2"/>
    <x v="1"/>
    <s v="FUR-CH-10003817"/>
    <x v="0"/>
    <x v="1"/>
    <x v="33"/>
    <n v="97.183999999999997"/>
    <n v="2"/>
    <n v="6.0739999999999998"/>
    <x v="5"/>
  </r>
  <r>
    <x v="529"/>
    <x v="420"/>
    <d v="2017-12-21T00:00:00"/>
    <x v="0"/>
    <s v="AY-10555"/>
    <s v="Andy Yotov"/>
    <s v="Corporate"/>
    <x v="0"/>
    <x v="64"/>
    <x v="2"/>
    <x v="1"/>
    <s v="FUR-FU-10002445"/>
    <x v="0"/>
    <x v="3"/>
    <x v="292"/>
    <n v="18.96"/>
    <n v="2"/>
    <n v="7.5839999999999996"/>
    <x v="5"/>
  </r>
  <r>
    <x v="530"/>
    <x v="421"/>
    <d v="2014-12-31T00:00:00"/>
    <x v="1"/>
    <s v="Co-12640"/>
    <s v="Corey-Lock"/>
    <s v="Consumer"/>
    <x v="0"/>
    <x v="187"/>
    <x v="8"/>
    <x v="3"/>
    <s v="FUR-FU-10001473"/>
    <x v="0"/>
    <x v="3"/>
    <x v="198"/>
    <n v="32.951999999999998"/>
    <n v="6"/>
    <n v="-19.7712"/>
    <x v="5"/>
  </r>
  <r>
    <x v="531"/>
    <x v="200"/>
    <d v="2017-11-09T00:00:00"/>
    <x v="0"/>
    <s v="JF-15565"/>
    <s v="Jill Fjeld"/>
    <s v="Consumer"/>
    <x v="0"/>
    <x v="160"/>
    <x v="30"/>
    <x v="0"/>
    <s v="FUR-FU-10004671"/>
    <x v="0"/>
    <x v="3"/>
    <x v="272"/>
    <n v="28.271999999999998"/>
    <n v="2"/>
    <n v="6.3612000000000002"/>
    <x v="0"/>
  </r>
  <r>
    <x v="532"/>
    <x v="422"/>
    <d v="2015-05-12T00:00:00"/>
    <x v="1"/>
    <s v="AG-10675"/>
    <s v="Anna Gayman"/>
    <s v="Consumer"/>
    <x v="0"/>
    <x v="188"/>
    <x v="5"/>
    <x v="3"/>
    <s v="FUR-TA-10001095"/>
    <x v="0"/>
    <x v="2"/>
    <x v="129"/>
    <n v="244.006"/>
    <n v="2"/>
    <n v="-31.372199999999999"/>
    <x v="7"/>
  </r>
  <r>
    <x v="533"/>
    <x v="423"/>
    <d v="2017-12-04T00:00:00"/>
    <x v="3"/>
    <s v="DV-13045"/>
    <s v="Darrin Van Huff"/>
    <s v="Corporate"/>
    <x v="0"/>
    <x v="3"/>
    <x v="3"/>
    <x v="2"/>
    <s v="FUR-CH-10001797"/>
    <x v="0"/>
    <x v="1"/>
    <x v="293"/>
    <n v="188.55199999999999"/>
    <n v="7"/>
    <n v="-2.6936"/>
    <x v="5"/>
  </r>
  <r>
    <x v="534"/>
    <x v="424"/>
    <d v="2014-01-16T00:00:00"/>
    <x v="0"/>
    <s v="ND-18370"/>
    <s v="Natalie DeCherney"/>
    <s v="Consumer"/>
    <x v="0"/>
    <x v="189"/>
    <x v="10"/>
    <x v="0"/>
    <s v="FUR-CH-10000422"/>
    <x v="0"/>
    <x v="1"/>
    <x v="287"/>
    <n v="545.94000000000005"/>
    <n v="6"/>
    <n v="87.350399999999993"/>
    <x v="8"/>
  </r>
  <r>
    <x v="535"/>
    <x v="425"/>
    <d v="2015-06-17T00:00:00"/>
    <x v="1"/>
    <s v="GB-14575"/>
    <s v="Giulietta Baptist"/>
    <s v="Consumer"/>
    <x v="0"/>
    <x v="3"/>
    <x v="3"/>
    <x v="2"/>
    <s v="FUR-FU-10003623"/>
    <x v="0"/>
    <x v="3"/>
    <x v="241"/>
    <n v="43.295999999999999"/>
    <n v="2"/>
    <n v="4.3296000000000001"/>
    <x v="2"/>
  </r>
  <r>
    <x v="536"/>
    <x v="56"/>
    <d v="2014-07-18T00:00:00"/>
    <x v="1"/>
    <s v="CL-12565"/>
    <s v="Clay Ludtke"/>
    <s v="Consumer"/>
    <x v="0"/>
    <x v="15"/>
    <x v="13"/>
    <x v="1"/>
    <s v="FUR-CH-10001797"/>
    <x v="0"/>
    <x v="1"/>
    <x v="293"/>
    <n v="123.136"/>
    <n v="4"/>
    <n v="13.8528"/>
    <x v="3"/>
  </r>
  <r>
    <x v="537"/>
    <x v="387"/>
    <d v="2014-12-11T00:00:00"/>
    <x v="0"/>
    <s v="RC-19960"/>
    <s v="Ryan Crowe"/>
    <s v="Consumer"/>
    <x v="0"/>
    <x v="76"/>
    <x v="36"/>
    <x v="1"/>
    <s v="FUR-TA-10003238"/>
    <x v="0"/>
    <x v="2"/>
    <x v="243"/>
    <n v="275.49"/>
    <n v="1"/>
    <n v="-170.8038"/>
    <x v="5"/>
  </r>
  <r>
    <x v="538"/>
    <x v="426"/>
    <d v="2016-05-30T00:00:00"/>
    <x v="1"/>
    <s v="JB-16045"/>
    <s v="Julia Barnett"/>
    <s v="Home Office"/>
    <x v="0"/>
    <x v="29"/>
    <x v="24"/>
    <x v="0"/>
    <s v="FUR-FU-10000755"/>
    <x v="0"/>
    <x v="3"/>
    <x v="294"/>
    <n v="24.96"/>
    <n v="4"/>
    <n v="6.24"/>
    <x v="7"/>
  </r>
  <r>
    <x v="539"/>
    <x v="112"/>
    <d v="2014-06-25T00:00:00"/>
    <x v="1"/>
    <s v="NW-18400"/>
    <s v="Natalie Webber"/>
    <s v="Consumer"/>
    <x v="0"/>
    <x v="3"/>
    <x v="3"/>
    <x v="2"/>
    <s v="FUR-FU-10000550"/>
    <x v="0"/>
    <x v="3"/>
    <x v="295"/>
    <n v="3.984"/>
    <n v="1"/>
    <n v="0.64739999999999998"/>
    <x v="2"/>
  </r>
  <r>
    <x v="540"/>
    <x v="28"/>
    <d v="2016-12-06T00:00:00"/>
    <x v="2"/>
    <s v="JG-15160"/>
    <s v="James Galang"/>
    <s v="Consumer"/>
    <x v="0"/>
    <x v="190"/>
    <x v="0"/>
    <x v="0"/>
    <s v="FUR-FU-10004748"/>
    <x v="0"/>
    <x v="3"/>
    <x v="245"/>
    <n v="191.82"/>
    <n v="3"/>
    <n v="74.809799999999996"/>
    <x v="5"/>
  </r>
  <r>
    <x v="541"/>
    <x v="5"/>
    <d v="2015-09-21T00:00:00"/>
    <x v="1"/>
    <s v="LS-16975"/>
    <s v="Lindsay Shagiari"/>
    <s v="Home Office"/>
    <x v="0"/>
    <x v="13"/>
    <x v="7"/>
    <x v="2"/>
    <s v="FUR-TA-10004154"/>
    <x v="0"/>
    <x v="2"/>
    <x v="149"/>
    <n v="344.22"/>
    <n v="2"/>
    <n v="-103.26600000000001"/>
    <x v="4"/>
  </r>
  <r>
    <x v="542"/>
    <x v="427"/>
    <d v="2016-08-30T00:00:00"/>
    <x v="1"/>
    <s v="MH-18115"/>
    <s v="Mick Hernandez"/>
    <s v="Home Office"/>
    <x v="0"/>
    <x v="191"/>
    <x v="5"/>
    <x v="3"/>
    <s v="FUR-FU-10004973"/>
    <x v="0"/>
    <x v="3"/>
    <x v="223"/>
    <n v="22.608000000000001"/>
    <n v="3"/>
    <n v="-10.1736"/>
    <x v="10"/>
  </r>
  <r>
    <x v="543"/>
    <x v="428"/>
    <d v="2015-11-14T00:00:00"/>
    <x v="1"/>
    <s v="SC-20095"/>
    <s v="Sanjit Chand"/>
    <s v="Consumer"/>
    <x v="0"/>
    <x v="192"/>
    <x v="4"/>
    <x v="1"/>
    <s v="FUR-FU-10004090"/>
    <x v="0"/>
    <x v="3"/>
    <x v="137"/>
    <n v="66.69"/>
    <n v="3"/>
    <n v="22.0077"/>
    <x v="0"/>
  </r>
  <r>
    <x v="544"/>
    <x v="429"/>
    <d v="2017-11-23T00:00:00"/>
    <x v="1"/>
    <s v="JB-16000"/>
    <s v="Joy Bell-"/>
    <s v="Consumer"/>
    <x v="0"/>
    <x v="193"/>
    <x v="5"/>
    <x v="3"/>
    <s v="FUR-BO-10002202"/>
    <x v="0"/>
    <x v="0"/>
    <x v="248"/>
    <n v="327.7328"/>
    <n v="2"/>
    <n v="-14.4588"/>
    <x v="0"/>
  </r>
  <r>
    <x v="545"/>
    <x v="135"/>
    <d v="2017-04-26T00:00:00"/>
    <x v="1"/>
    <s v="MO-17800"/>
    <s v="Meg O'Connel"/>
    <s v="Home Office"/>
    <x v="0"/>
    <x v="3"/>
    <x v="3"/>
    <x v="2"/>
    <s v="FUR-FU-10001488"/>
    <x v="0"/>
    <x v="3"/>
    <x v="204"/>
    <n v="254.352"/>
    <n v="3"/>
    <n v="0"/>
    <x v="6"/>
  </r>
  <r>
    <x v="546"/>
    <x v="430"/>
    <d v="2017-12-21T00:00:00"/>
    <x v="1"/>
    <s v="AI-10855"/>
    <s v="Arianne Irving"/>
    <s v="Consumer"/>
    <x v="0"/>
    <x v="180"/>
    <x v="25"/>
    <x v="0"/>
    <s v="FUR-CH-10003846"/>
    <x v="0"/>
    <x v="1"/>
    <x v="186"/>
    <n v="504.9"/>
    <n v="5"/>
    <n v="80.784000000000006"/>
    <x v="5"/>
  </r>
  <r>
    <x v="547"/>
    <x v="231"/>
    <d v="2015-09-27T00:00:00"/>
    <x v="1"/>
    <s v="DM-12955"/>
    <s v="Dario Medina"/>
    <s v="Corporate"/>
    <x v="0"/>
    <x v="194"/>
    <x v="17"/>
    <x v="3"/>
    <s v="FUR-BO-10000468"/>
    <x v="0"/>
    <x v="0"/>
    <x v="233"/>
    <n v="194.32"/>
    <n v="4"/>
    <n v="31.091200000000001"/>
    <x v="4"/>
  </r>
  <r>
    <x v="548"/>
    <x v="431"/>
    <d v="2016-11-26T00:00:00"/>
    <x v="1"/>
    <s v="JH-16180"/>
    <s v="Justin Hirsh"/>
    <s v="Consumer"/>
    <x v="0"/>
    <x v="195"/>
    <x v="36"/>
    <x v="1"/>
    <s v="FUR-CH-10003833"/>
    <x v="0"/>
    <x v="1"/>
    <x v="237"/>
    <n v="195.136"/>
    <n v="4"/>
    <n v="-12.196"/>
    <x v="0"/>
  </r>
  <r>
    <x v="549"/>
    <x v="432"/>
    <d v="2015-06-16T00:00:00"/>
    <x v="1"/>
    <s v="BD-11605"/>
    <s v="Brian Dahlen"/>
    <s v="Consumer"/>
    <x v="0"/>
    <x v="91"/>
    <x v="35"/>
    <x v="0"/>
    <s v="FUR-FU-10004666"/>
    <x v="0"/>
    <x v="3"/>
    <x v="296"/>
    <n v="29.16"/>
    <n v="2"/>
    <n v="10.789199999999999"/>
    <x v="2"/>
  </r>
  <r>
    <x v="550"/>
    <x v="433"/>
    <d v="2017-10-08T00:00:00"/>
    <x v="1"/>
    <s v="AS-10045"/>
    <s v="Aaron Smayling"/>
    <s v="Corporate"/>
    <x v="0"/>
    <x v="102"/>
    <x v="2"/>
    <x v="1"/>
    <s v="FUR-TA-10001520"/>
    <x v="0"/>
    <x v="2"/>
    <x v="146"/>
    <n v="171.28800000000001"/>
    <n v="3"/>
    <n v="-6.4233000000000002"/>
    <x v="1"/>
  </r>
  <r>
    <x v="551"/>
    <x v="399"/>
    <d v="2016-05-09T00:00:00"/>
    <x v="1"/>
    <s v="ZD-21925"/>
    <s v="Zuschuss Donatelli"/>
    <s v="Consumer"/>
    <x v="0"/>
    <x v="196"/>
    <x v="9"/>
    <x v="0"/>
    <s v="FUR-FU-10004270"/>
    <x v="0"/>
    <x v="3"/>
    <x v="200"/>
    <n v="16.72"/>
    <n v="5"/>
    <n v="3.3439999999999999"/>
    <x v="7"/>
  </r>
  <r>
    <x v="552"/>
    <x v="91"/>
    <d v="2017-09-12T00:00:00"/>
    <x v="3"/>
    <s v="KF-16285"/>
    <s v="Karen Ferguson"/>
    <s v="Home Office"/>
    <x v="0"/>
    <x v="62"/>
    <x v="2"/>
    <x v="1"/>
    <s v="FUR-CH-10002320"/>
    <x v="0"/>
    <x v="1"/>
    <x v="297"/>
    <n v="2054.2719999999999"/>
    <n v="8"/>
    <n v="256.78399999999999"/>
    <x v="4"/>
  </r>
  <r>
    <x v="553"/>
    <x v="214"/>
    <d v="2017-04-04T00:00:00"/>
    <x v="2"/>
    <s v="TC-21475"/>
    <s v="Tony Chapman"/>
    <s v="Home Office"/>
    <x v="0"/>
    <x v="29"/>
    <x v="24"/>
    <x v="0"/>
    <s v="FUR-TA-10004534"/>
    <x v="0"/>
    <x v="2"/>
    <x v="28"/>
    <n v="411.8"/>
    <n v="2"/>
    <n v="70.006"/>
    <x v="6"/>
  </r>
  <r>
    <x v="554"/>
    <x v="434"/>
    <d v="2017-10-11T00:00:00"/>
    <x v="1"/>
    <s v="NZ-18565"/>
    <s v="Nick Zandusky"/>
    <s v="Home Office"/>
    <x v="0"/>
    <x v="197"/>
    <x v="42"/>
    <x v="1"/>
    <s v="FUR-FU-10003247"/>
    <x v="0"/>
    <x v="3"/>
    <x v="298"/>
    <n v="41.96"/>
    <n v="2"/>
    <n v="2.9371999999999998"/>
    <x v="1"/>
  </r>
  <r>
    <x v="555"/>
    <x v="66"/>
    <d v="2017-10-24T00:00:00"/>
    <x v="0"/>
    <s v="HH-15010"/>
    <s v="Hilary Holden"/>
    <s v="Corporate"/>
    <x v="0"/>
    <x v="28"/>
    <x v="2"/>
    <x v="1"/>
    <s v="FUR-FU-10003878"/>
    <x v="0"/>
    <x v="3"/>
    <x v="142"/>
    <n v="30.56"/>
    <n v="2"/>
    <n v="10.3904"/>
    <x v="1"/>
  </r>
  <r>
    <x v="555"/>
    <x v="66"/>
    <d v="2017-10-24T00:00:00"/>
    <x v="0"/>
    <s v="HH-15010"/>
    <s v="Hilary Holden"/>
    <s v="Corporate"/>
    <x v="0"/>
    <x v="28"/>
    <x v="2"/>
    <x v="1"/>
    <s v="FUR-TA-10003837"/>
    <x v="0"/>
    <x v="2"/>
    <x v="299"/>
    <n v="24.367999999999999"/>
    <n v="2"/>
    <n v="-3.3506"/>
    <x v="1"/>
  </r>
  <r>
    <x v="556"/>
    <x v="317"/>
    <d v="2014-11-22T00:00:00"/>
    <x v="1"/>
    <s v="YC-21895"/>
    <s v="Yoseph Carroll"/>
    <s v="Corporate"/>
    <x v="0"/>
    <x v="19"/>
    <x v="14"/>
    <x v="2"/>
    <s v="FUR-FU-10002379"/>
    <x v="0"/>
    <x v="3"/>
    <x v="300"/>
    <n v="124.41"/>
    <n v="3"/>
    <n v="14.9292"/>
    <x v="0"/>
  </r>
  <r>
    <x v="557"/>
    <x v="131"/>
    <d v="2015-10-08T00:00:00"/>
    <x v="1"/>
    <s v="BS-11755"/>
    <s v="Bruce Stewart"/>
    <s v="Consumer"/>
    <x v="0"/>
    <x v="2"/>
    <x v="2"/>
    <x v="1"/>
    <s v="FUR-BO-10004409"/>
    <x v="0"/>
    <x v="0"/>
    <x v="134"/>
    <n v="120.666"/>
    <n v="2"/>
    <n v="18.454799999999999"/>
    <x v="1"/>
  </r>
  <r>
    <x v="558"/>
    <x v="435"/>
    <d v="2014-07-24T00:00:00"/>
    <x v="1"/>
    <s v="KM-16375"/>
    <s v="Katherine Murray"/>
    <s v="Home Office"/>
    <x v="0"/>
    <x v="144"/>
    <x v="5"/>
    <x v="3"/>
    <s v="FUR-FU-10003724"/>
    <x v="0"/>
    <x v="3"/>
    <x v="181"/>
    <n v="16.739999999999998"/>
    <n v="5"/>
    <n v="-14.228999999999999"/>
    <x v="3"/>
  </r>
  <r>
    <x v="558"/>
    <x v="435"/>
    <d v="2014-07-24T00:00:00"/>
    <x v="1"/>
    <s v="KM-16375"/>
    <s v="Katherine Murray"/>
    <s v="Home Office"/>
    <x v="0"/>
    <x v="144"/>
    <x v="5"/>
    <x v="3"/>
    <s v="FUR-CH-10002024"/>
    <x v="0"/>
    <x v="1"/>
    <x v="101"/>
    <n v="981.37199999999996"/>
    <n v="2"/>
    <n v="-140.196"/>
    <x v="3"/>
  </r>
  <r>
    <x v="559"/>
    <x v="436"/>
    <d v="2017-02-14T00:00:00"/>
    <x v="1"/>
    <s v="TP-21415"/>
    <s v="Tom Prescott"/>
    <s v="Consumer"/>
    <x v="0"/>
    <x v="6"/>
    <x v="5"/>
    <x v="3"/>
    <s v="FUR-FU-10000550"/>
    <x v="0"/>
    <x v="3"/>
    <x v="295"/>
    <n v="3.984"/>
    <n v="2"/>
    <n v="-2.6892"/>
    <x v="11"/>
  </r>
  <r>
    <x v="560"/>
    <x v="76"/>
    <d v="2017-04-02T00:00:00"/>
    <x v="0"/>
    <s v="DB-12910"/>
    <s v="Daniel Byrd"/>
    <s v="Home Office"/>
    <x v="0"/>
    <x v="0"/>
    <x v="0"/>
    <x v="0"/>
    <s v="FUR-FU-10001591"/>
    <x v="0"/>
    <x v="3"/>
    <x v="215"/>
    <n v="61"/>
    <n v="5"/>
    <n v="25.62"/>
    <x v="9"/>
  </r>
  <r>
    <x v="561"/>
    <x v="437"/>
    <d v="2017-05-01T00:00:00"/>
    <x v="1"/>
    <s v="CV-12805"/>
    <s v="Cynthia Voltz"/>
    <s v="Corporate"/>
    <x v="0"/>
    <x v="50"/>
    <x v="5"/>
    <x v="3"/>
    <s v="FUR-BO-10002268"/>
    <x v="0"/>
    <x v="0"/>
    <x v="68"/>
    <n v="220.26560000000001"/>
    <n v="4"/>
    <n v="-42.1096"/>
    <x v="6"/>
  </r>
  <r>
    <x v="562"/>
    <x v="438"/>
    <d v="2017-04-19T00:00:00"/>
    <x v="1"/>
    <s v="CS-12355"/>
    <s v="Christine Sundaresam"/>
    <s v="Consumer"/>
    <x v="0"/>
    <x v="13"/>
    <x v="7"/>
    <x v="2"/>
    <s v="FUR-BO-10003441"/>
    <x v="0"/>
    <x v="0"/>
    <x v="145"/>
    <n v="242.352"/>
    <n v="3"/>
    <n v="9.0882000000000005"/>
    <x v="6"/>
  </r>
  <r>
    <x v="563"/>
    <x v="313"/>
    <d v="2017-12-27T00:00:00"/>
    <x v="0"/>
    <s v="JG-15310"/>
    <s v="Jason Gross"/>
    <s v="Corporate"/>
    <x v="0"/>
    <x v="134"/>
    <x v="38"/>
    <x v="2"/>
    <s v="FUR-BO-10003660"/>
    <x v="0"/>
    <x v="0"/>
    <x v="301"/>
    <n v="220.98"/>
    <n v="1"/>
    <n v="50.825400000000002"/>
    <x v="5"/>
  </r>
  <r>
    <x v="564"/>
    <x v="427"/>
    <d v="2016-08-30T00:00:00"/>
    <x v="1"/>
    <s v="MS-17770"/>
    <s v="Maxwell Schwartz"/>
    <s v="Consumer"/>
    <x v="0"/>
    <x v="15"/>
    <x v="13"/>
    <x v="1"/>
    <s v="FUR-CH-10001973"/>
    <x v="0"/>
    <x v="1"/>
    <x v="183"/>
    <n v="532.70399999999995"/>
    <n v="6"/>
    <n v="-39.952800000000003"/>
    <x v="10"/>
  </r>
  <r>
    <x v="565"/>
    <x v="432"/>
    <d v="2015-06-12T00:00:00"/>
    <x v="2"/>
    <s v="JE-15610"/>
    <s v="Jim Epp"/>
    <s v="Corporate"/>
    <x v="0"/>
    <x v="49"/>
    <x v="1"/>
    <x v="0"/>
    <s v="FUR-CH-10003312"/>
    <x v="0"/>
    <x v="1"/>
    <x v="66"/>
    <n v="1123.92"/>
    <n v="5"/>
    <n v="-182.637"/>
    <x v="2"/>
  </r>
  <r>
    <x v="565"/>
    <x v="432"/>
    <d v="2015-06-12T00:00:00"/>
    <x v="2"/>
    <s v="JE-15610"/>
    <s v="Jim Epp"/>
    <s v="Corporate"/>
    <x v="0"/>
    <x v="49"/>
    <x v="1"/>
    <x v="0"/>
    <s v="FUR-FU-10003464"/>
    <x v="0"/>
    <x v="3"/>
    <x v="302"/>
    <n v="48.671999999999997"/>
    <n v="3"/>
    <n v="7.3007999999999997"/>
    <x v="2"/>
  </r>
  <r>
    <x v="566"/>
    <x v="439"/>
    <d v="2014-12-17T00:00:00"/>
    <x v="2"/>
    <s v="CC-12100"/>
    <s v="Chad Cunningham"/>
    <s v="Home Office"/>
    <x v="0"/>
    <x v="2"/>
    <x v="2"/>
    <x v="1"/>
    <s v="FUR-FU-10004090"/>
    <x v="0"/>
    <x v="3"/>
    <x v="137"/>
    <n v="44.46"/>
    <n v="2"/>
    <n v="14.671799999999999"/>
    <x v="5"/>
  </r>
  <r>
    <x v="566"/>
    <x v="439"/>
    <d v="2014-12-17T00:00:00"/>
    <x v="2"/>
    <s v="CC-12100"/>
    <s v="Chad Cunningham"/>
    <s v="Home Office"/>
    <x v="0"/>
    <x v="2"/>
    <x v="2"/>
    <x v="1"/>
    <s v="FUR-CH-10002602"/>
    <x v="0"/>
    <x v="1"/>
    <x v="64"/>
    <n v="241.56800000000001"/>
    <n v="2"/>
    <n v="18.117599999999999"/>
    <x v="5"/>
  </r>
  <r>
    <x v="567"/>
    <x v="440"/>
    <d v="2014-08-26T00:00:00"/>
    <x v="2"/>
    <s v="JP-15460"/>
    <s v="Jennifer Patt"/>
    <s v="Corporate"/>
    <x v="0"/>
    <x v="64"/>
    <x v="7"/>
    <x v="2"/>
    <s v="FUR-FU-10004586"/>
    <x v="0"/>
    <x v="3"/>
    <x v="303"/>
    <n v="13.28"/>
    <n v="2"/>
    <n v="6.3743999999999996"/>
    <x v="10"/>
  </r>
  <r>
    <x v="568"/>
    <x v="418"/>
    <d v="2017-11-18T00:00:00"/>
    <x v="1"/>
    <s v="LS-16975"/>
    <s v="Lindsay Shagiari"/>
    <s v="Home Office"/>
    <x v="0"/>
    <x v="144"/>
    <x v="5"/>
    <x v="3"/>
    <s v="FUR-FU-10001756"/>
    <x v="0"/>
    <x v="3"/>
    <x v="62"/>
    <n v="22.847999999999999"/>
    <n v="3"/>
    <n v="-17.7072"/>
    <x v="0"/>
  </r>
  <r>
    <x v="569"/>
    <x v="26"/>
    <d v="2016-09-11T00:00:00"/>
    <x v="1"/>
    <s v="AR-10825"/>
    <s v="Anthony Rawles"/>
    <s v="Corporate"/>
    <x v="0"/>
    <x v="198"/>
    <x v="5"/>
    <x v="3"/>
    <s v="FUR-CH-10002647"/>
    <x v="0"/>
    <x v="1"/>
    <x v="99"/>
    <n v="347.80200000000002"/>
    <n v="7"/>
    <n v="-24.843"/>
    <x v="4"/>
  </r>
  <r>
    <x v="570"/>
    <x v="441"/>
    <d v="2017-02-13T00:00:00"/>
    <x v="0"/>
    <s v="CS-11845"/>
    <s v="Cari Sayre"/>
    <s v="Corporate"/>
    <x v="0"/>
    <x v="15"/>
    <x v="13"/>
    <x v="1"/>
    <s v="FUR-CH-10004495"/>
    <x v="0"/>
    <x v="1"/>
    <x v="304"/>
    <n v="963.13599999999997"/>
    <n v="4"/>
    <n v="108.3528"/>
    <x v="11"/>
  </r>
  <r>
    <x v="571"/>
    <x v="442"/>
    <d v="2015-12-18T00:00:00"/>
    <x v="2"/>
    <s v="NF-18385"/>
    <s v="Natalie Fritzler"/>
    <s v="Consumer"/>
    <x v="0"/>
    <x v="19"/>
    <x v="15"/>
    <x v="2"/>
    <s v="FUR-FU-10004091"/>
    <x v="0"/>
    <x v="3"/>
    <x v="54"/>
    <n v="262.86399999999998"/>
    <n v="7"/>
    <n v="69.001800000000003"/>
    <x v="5"/>
  </r>
  <r>
    <x v="572"/>
    <x v="108"/>
    <d v="2015-08-28T00:00:00"/>
    <x v="1"/>
    <s v="EM-13810"/>
    <s v="Eleni McCrary"/>
    <s v="Corporate"/>
    <x v="0"/>
    <x v="13"/>
    <x v="7"/>
    <x v="2"/>
    <s v="FUR-TA-10001539"/>
    <x v="0"/>
    <x v="2"/>
    <x v="4"/>
    <n v="284.36399999999998"/>
    <n v="2"/>
    <n v="-75.830399999999997"/>
    <x v="10"/>
  </r>
  <r>
    <x v="573"/>
    <x v="443"/>
    <d v="2016-10-31T00:00:00"/>
    <x v="2"/>
    <s v="KW-16435"/>
    <s v="Katrina Willman"/>
    <s v="Consumer"/>
    <x v="0"/>
    <x v="140"/>
    <x v="17"/>
    <x v="3"/>
    <s v="FUR-FU-10002671"/>
    <x v="0"/>
    <x v="3"/>
    <x v="59"/>
    <n v="67"/>
    <n v="5"/>
    <n v="32.159999999999997"/>
    <x v="1"/>
  </r>
  <r>
    <x v="574"/>
    <x v="444"/>
    <d v="2016-06-03T00:00:00"/>
    <x v="1"/>
    <s v="KC-16675"/>
    <s v="Kimberly Carter"/>
    <s v="Corporate"/>
    <x v="0"/>
    <x v="199"/>
    <x v="1"/>
    <x v="0"/>
    <s v="FUR-CH-10003833"/>
    <x v="0"/>
    <x v="1"/>
    <x v="237"/>
    <n v="390.27199999999999"/>
    <n v="8"/>
    <n v="-24.391999999999999"/>
    <x v="7"/>
  </r>
  <r>
    <x v="575"/>
    <x v="445"/>
    <d v="2016-03-28T00:00:00"/>
    <x v="1"/>
    <s v="KT-16465"/>
    <s v="Kean Takahito"/>
    <s v="Consumer"/>
    <x v="0"/>
    <x v="9"/>
    <x v="8"/>
    <x v="3"/>
    <s v="FUR-CH-10000665"/>
    <x v="0"/>
    <x v="1"/>
    <x v="140"/>
    <n v="528.42999999999995"/>
    <n v="5"/>
    <n v="0"/>
    <x v="9"/>
  </r>
  <r>
    <x v="576"/>
    <x v="204"/>
    <d v="2017-09-29T00:00:00"/>
    <x v="1"/>
    <s v="AP-10915"/>
    <s v="Arthur Prichep"/>
    <s v="Consumer"/>
    <x v="0"/>
    <x v="200"/>
    <x v="12"/>
    <x v="1"/>
    <s v="FUR-BO-10001811"/>
    <x v="0"/>
    <x v="0"/>
    <x v="157"/>
    <n v="180.58799999999999"/>
    <n v="2"/>
    <n v="-240.78399999999999"/>
    <x v="4"/>
  </r>
  <r>
    <x v="577"/>
    <x v="446"/>
    <d v="2017-12-11T00:00:00"/>
    <x v="1"/>
    <s v="SM-20950"/>
    <s v="Suzanne McNair"/>
    <s v="Corporate"/>
    <x v="0"/>
    <x v="13"/>
    <x v="7"/>
    <x v="2"/>
    <s v="FUR-FU-10001487"/>
    <x v="0"/>
    <x v="3"/>
    <x v="3"/>
    <n v="20.94"/>
    <n v="3"/>
    <n v="6.0726000000000004"/>
    <x v="5"/>
  </r>
  <r>
    <x v="577"/>
    <x v="446"/>
    <d v="2017-12-11T00:00:00"/>
    <x v="1"/>
    <s v="SM-20950"/>
    <s v="Suzanne McNair"/>
    <s v="Corporate"/>
    <x v="0"/>
    <x v="13"/>
    <x v="7"/>
    <x v="2"/>
    <s v="FUR-FU-10000521"/>
    <x v="0"/>
    <x v="3"/>
    <x v="31"/>
    <n v="58.68"/>
    <n v="2"/>
    <n v="18.190799999999999"/>
    <x v="5"/>
  </r>
  <r>
    <x v="578"/>
    <x v="447"/>
    <d v="2014-05-20T00:00:00"/>
    <x v="0"/>
    <s v="TT-21070"/>
    <s v="Ted Trevino"/>
    <s v="Consumer"/>
    <x v="0"/>
    <x v="40"/>
    <x v="15"/>
    <x v="2"/>
    <s v="FUR-FU-10000308"/>
    <x v="0"/>
    <x v="3"/>
    <x v="250"/>
    <n v="149.232"/>
    <n v="3"/>
    <n v="3.7307999999999999"/>
    <x v="7"/>
  </r>
  <r>
    <x v="579"/>
    <x v="448"/>
    <d v="2014-11-16T00:00:00"/>
    <x v="1"/>
    <s v="RD-19900"/>
    <s v="Ruben Dartt"/>
    <s v="Consumer"/>
    <x v="0"/>
    <x v="53"/>
    <x v="2"/>
    <x v="1"/>
    <s v="FUR-FU-10000397"/>
    <x v="0"/>
    <x v="3"/>
    <x v="14"/>
    <n v="39.880000000000003"/>
    <n v="2"/>
    <n v="11.166399999999999"/>
    <x v="0"/>
  </r>
  <r>
    <x v="579"/>
    <x v="448"/>
    <d v="2014-11-16T00:00:00"/>
    <x v="1"/>
    <s v="RD-19900"/>
    <s v="Ruben Dartt"/>
    <s v="Consumer"/>
    <x v="0"/>
    <x v="53"/>
    <x v="2"/>
    <x v="1"/>
    <s v="FUR-FU-10001867"/>
    <x v="0"/>
    <x v="3"/>
    <x v="174"/>
    <n v="53.2"/>
    <n v="5"/>
    <n v="14.896000000000001"/>
    <x v="0"/>
  </r>
  <r>
    <x v="580"/>
    <x v="449"/>
    <d v="2017-09-05T00:00:00"/>
    <x v="0"/>
    <s v="BN-11515"/>
    <s v="Bradley Nguyen"/>
    <s v="Consumer"/>
    <x v="0"/>
    <x v="13"/>
    <x v="7"/>
    <x v="2"/>
    <s v="FUR-FU-10004960"/>
    <x v="0"/>
    <x v="3"/>
    <x v="187"/>
    <n v="114.9"/>
    <n v="5"/>
    <n v="39.066000000000003"/>
    <x v="4"/>
  </r>
  <r>
    <x v="581"/>
    <x v="450"/>
    <d v="2016-01-15T00:00:00"/>
    <x v="3"/>
    <s v="RC-19825"/>
    <s v="Roy Collins"/>
    <s v="Consumer"/>
    <x v="0"/>
    <x v="130"/>
    <x v="19"/>
    <x v="2"/>
    <s v="FUR-TA-10002903"/>
    <x v="0"/>
    <x v="2"/>
    <x v="52"/>
    <n v="181.797"/>
    <n v="1"/>
    <n v="-15.582599999999999"/>
    <x v="8"/>
  </r>
  <r>
    <x v="582"/>
    <x v="47"/>
    <d v="2016-11-27T00:00:00"/>
    <x v="1"/>
    <s v="DW-13195"/>
    <s v="David Wiener"/>
    <s v="Corporate"/>
    <x v="0"/>
    <x v="6"/>
    <x v="5"/>
    <x v="3"/>
    <s v="FUR-CH-10003774"/>
    <x v="0"/>
    <x v="1"/>
    <x v="234"/>
    <n v="318.43"/>
    <n v="5"/>
    <n v="-77.332999999999998"/>
    <x v="0"/>
  </r>
  <r>
    <x v="582"/>
    <x v="47"/>
    <d v="2016-11-27T00:00:00"/>
    <x v="1"/>
    <s v="DW-13195"/>
    <s v="David Wiener"/>
    <s v="Corporate"/>
    <x v="0"/>
    <x v="6"/>
    <x v="5"/>
    <x v="3"/>
    <s v="FUR-FU-10000023"/>
    <x v="0"/>
    <x v="3"/>
    <x v="70"/>
    <n v="7.0679999999999996"/>
    <n v="3"/>
    <n v="-2.8271999999999999"/>
    <x v="0"/>
  </r>
  <r>
    <x v="583"/>
    <x v="451"/>
    <d v="2017-12-05T00:00:00"/>
    <x v="1"/>
    <s v="SJ-20215"/>
    <s v="Sarah Jordon"/>
    <s v="Consumer"/>
    <x v="0"/>
    <x v="141"/>
    <x v="5"/>
    <x v="3"/>
    <s v="FUR-CH-10002602"/>
    <x v="0"/>
    <x v="1"/>
    <x v="64"/>
    <n v="317.05799999999999"/>
    <n v="3"/>
    <n v="-18.117599999999999"/>
    <x v="5"/>
  </r>
  <r>
    <x v="584"/>
    <x v="334"/>
    <d v="2016-09-21T00:00:00"/>
    <x v="1"/>
    <s v="SJ-20125"/>
    <s v="Sanjit Jacobs"/>
    <s v="Home Office"/>
    <x v="0"/>
    <x v="15"/>
    <x v="13"/>
    <x v="1"/>
    <s v="FUR-CH-10004875"/>
    <x v="0"/>
    <x v="1"/>
    <x v="290"/>
    <n v="113.88800000000001"/>
    <n v="2"/>
    <n v="9.9651999999999994"/>
    <x v="4"/>
  </r>
  <r>
    <x v="585"/>
    <x v="452"/>
    <d v="2017-04-19T00:00:00"/>
    <x v="2"/>
    <s v="BG-11740"/>
    <s v="Bruce Geld"/>
    <s v="Consumer"/>
    <x v="0"/>
    <x v="3"/>
    <x v="3"/>
    <x v="2"/>
    <s v="FUR-FU-10001473"/>
    <x v="0"/>
    <x v="3"/>
    <x v="246"/>
    <n v="60.311999999999998"/>
    <n v="3"/>
    <n v="5.2773000000000003"/>
    <x v="6"/>
  </r>
  <r>
    <x v="586"/>
    <x v="453"/>
    <d v="2016-12-14T00:00:00"/>
    <x v="0"/>
    <s v="DK-12835"/>
    <s v="Damala Kotsonis"/>
    <s v="Corporate"/>
    <x v="0"/>
    <x v="20"/>
    <x v="9"/>
    <x v="0"/>
    <s v="FUR-TA-10001676"/>
    <x v="0"/>
    <x v="2"/>
    <x v="193"/>
    <n v="79.974000000000004"/>
    <n v="3"/>
    <n v="-29.323799999999999"/>
    <x v="5"/>
  </r>
  <r>
    <x v="587"/>
    <x v="289"/>
    <d v="2015-02-16T00:00:00"/>
    <x v="1"/>
    <s v="SJ-20215"/>
    <s v="Sarah Jordon"/>
    <s v="Consumer"/>
    <x v="0"/>
    <x v="2"/>
    <x v="2"/>
    <x v="1"/>
    <s v="FUR-CH-10002774"/>
    <x v="0"/>
    <x v="1"/>
    <x v="5"/>
    <n v="203.92"/>
    <n v="5"/>
    <n v="22.940999999999999"/>
    <x v="11"/>
  </r>
  <r>
    <x v="588"/>
    <x v="454"/>
    <d v="2014-10-06T00:00:00"/>
    <x v="1"/>
    <s v="MH-17785"/>
    <s v="Maya Herman"/>
    <s v="Corporate"/>
    <x v="0"/>
    <x v="13"/>
    <x v="7"/>
    <x v="2"/>
    <s v="FUR-FU-10000221"/>
    <x v="0"/>
    <x v="3"/>
    <x v="111"/>
    <n v="15.24"/>
    <n v="3"/>
    <n v="5.1816000000000004"/>
    <x v="4"/>
  </r>
  <r>
    <x v="589"/>
    <x v="22"/>
    <d v="2014-12-30T00:00:00"/>
    <x v="1"/>
    <s v="CK-12595"/>
    <s v="Clytie Kelty"/>
    <s v="Consumer"/>
    <x v="0"/>
    <x v="53"/>
    <x v="2"/>
    <x v="1"/>
    <s v="FUR-FU-10001852"/>
    <x v="0"/>
    <x v="3"/>
    <x v="166"/>
    <n v="3.48"/>
    <n v="2"/>
    <n v="1.1135999999999999"/>
    <x v="5"/>
  </r>
  <r>
    <x v="590"/>
    <x v="356"/>
    <d v="2014-11-22T00:00:00"/>
    <x v="1"/>
    <s v="CS-11950"/>
    <s v="Carlos Soltero"/>
    <s v="Consumer"/>
    <x v="0"/>
    <x v="3"/>
    <x v="3"/>
    <x v="2"/>
    <s v="FUR-FU-10001473"/>
    <x v="0"/>
    <x v="3"/>
    <x v="246"/>
    <n v="60.311999999999998"/>
    <n v="3"/>
    <n v="5.2773000000000003"/>
    <x v="0"/>
  </r>
  <r>
    <x v="591"/>
    <x v="174"/>
    <d v="2016-03-25T00:00:00"/>
    <x v="0"/>
    <s v="AH-10030"/>
    <s v="Aaron Hawkins"/>
    <s v="Corporate"/>
    <x v="0"/>
    <x v="201"/>
    <x v="21"/>
    <x v="0"/>
    <s v="FUR-FU-10003691"/>
    <x v="0"/>
    <x v="3"/>
    <x v="177"/>
    <n v="86.45"/>
    <n v="7"/>
    <n v="38.037999999999997"/>
    <x v="9"/>
  </r>
  <r>
    <x v="592"/>
    <x v="52"/>
    <d v="2014-10-01T00:00:00"/>
    <x v="1"/>
    <s v="TH-21100"/>
    <s v="Thea Hendricks"/>
    <s v="Consumer"/>
    <x v="0"/>
    <x v="53"/>
    <x v="2"/>
    <x v="1"/>
    <s v="FUR-CH-10002602"/>
    <x v="0"/>
    <x v="1"/>
    <x v="64"/>
    <n v="603.91999999999996"/>
    <n v="5"/>
    <n v="45.293999999999997"/>
    <x v="4"/>
  </r>
  <r>
    <x v="593"/>
    <x v="455"/>
    <d v="2017-12-28T00:00:00"/>
    <x v="1"/>
    <s v="HG-15025"/>
    <s v="Hunter Glantz"/>
    <s v="Consumer"/>
    <x v="0"/>
    <x v="64"/>
    <x v="7"/>
    <x v="2"/>
    <s v="FUR-CH-10002602"/>
    <x v="0"/>
    <x v="1"/>
    <x v="64"/>
    <n v="271.76400000000001"/>
    <n v="2"/>
    <n v="48.313600000000001"/>
    <x v="5"/>
  </r>
  <r>
    <x v="594"/>
    <x v="219"/>
    <d v="2017-11-15T00:00:00"/>
    <x v="0"/>
    <s v="EB-13750"/>
    <s v="Edward Becker"/>
    <s v="Corporate"/>
    <x v="0"/>
    <x v="82"/>
    <x v="5"/>
    <x v="3"/>
    <s v="FUR-FU-10001468"/>
    <x v="0"/>
    <x v="3"/>
    <x v="253"/>
    <n v="341.96"/>
    <n v="5"/>
    <n v="-427.45"/>
    <x v="0"/>
  </r>
  <r>
    <x v="595"/>
    <x v="191"/>
    <d v="2014-12-25T00:00:00"/>
    <x v="1"/>
    <s v="TS-21505"/>
    <s v="Tony Sayre"/>
    <s v="Consumer"/>
    <x v="0"/>
    <x v="11"/>
    <x v="9"/>
    <x v="0"/>
    <s v="FUR-CH-10004287"/>
    <x v="0"/>
    <x v="1"/>
    <x v="32"/>
    <n v="662.88"/>
    <n v="3"/>
    <n v="74.573999999999998"/>
    <x v="5"/>
  </r>
  <r>
    <x v="596"/>
    <x v="456"/>
    <d v="2015-07-27T00:00:00"/>
    <x v="1"/>
    <s v="TH-21550"/>
    <s v="Tracy Hopkins"/>
    <s v="Home Office"/>
    <x v="0"/>
    <x v="13"/>
    <x v="7"/>
    <x v="2"/>
    <s v="FUR-FU-10002253"/>
    <x v="0"/>
    <x v="3"/>
    <x v="123"/>
    <n v="128.82"/>
    <n v="3"/>
    <n v="50.239800000000002"/>
    <x v="3"/>
  </r>
  <r>
    <x v="597"/>
    <x v="417"/>
    <d v="2017-12-20T00:00:00"/>
    <x v="1"/>
    <s v="GM-14455"/>
    <s v="Gary Mitchum"/>
    <s v="Home Office"/>
    <x v="0"/>
    <x v="9"/>
    <x v="8"/>
    <x v="3"/>
    <s v="FUR-FU-10002963"/>
    <x v="0"/>
    <x v="3"/>
    <x v="305"/>
    <n v="2.032"/>
    <n v="1"/>
    <n v="-1.3208"/>
    <x v="5"/>
  </r>
  <r>
    <x v="598"/>
    <x v="67"/>
    <d v="2017-08-22T00:00:00"/>
    <x v="2"/>
    <s v="PR-18880"/>
    <s v="Patrick Ryan"/>
    <s v="Consumer"/>
    <x v="0"/>
    <x v="121"/>
    <x v="2"/>
    <x v="1"/>
    <s v="FUR-FU-10000193"/>
    <x v="0"/>
    <x v="3"/>
    <x v="306"/>
    <n v="129.91999999999999"/>
    <n v="4"/>
    <n v="10.393599999999999"/>
    <x v="10"/>
  </r>
  <r>
    <x v="598"/>
    <x v="67"/>
    <d v="2017-08-22T00:00:00"/>
    <x v="2"/>
    <s v="PR-18880"/>
    <s v="Patrick Ryan"/>
    <s v="Consumer"/>
    <x v="0"/>
    <x v="121"/>
    <x v="2"/>
    <x v="1"/>
    <s v="FUR-TA-10001539"/>
    <x v="0"/>
    <x v="2"/>
    <x v="4"/>
    <n v="568.72799999999995"/>
    <n v="3"/>
    <n v="28.436399999999999"/>
    <x v="10"/>
  </r>
  <r>
    <x v="599"/>
    <x v="457"/>
    <d v="2016-09-01T00:00:00"/>
    <x v="0"/>
    <s v="TB-21055"/>
    <s v="Ted Butterfield"/>
    <s v="Consumer"/>
    <x v="0"/>
    <x v="202"/>
    <x v="20"/>
    <x v="2"/>
    <s v="FUR-TA-10001307"/>
    <x v="0"/>
    <x v="2"/>
    <x v="211"/>
    <n v="244.61500000000001"/>
    <n v="1"/>
    <n v="20.966999999999999"/>
    <x v="10"/>
  </r>
  <r>
    <x v="600"/>
    <x v="458"/>
    <d v="2014-09-28T00:00:00"/>
    <x v="1"/>
    <s v="BM-11650"/>
    <s v="Brian Moss"/>
    <s v="Corporate"/>
    <x v="0"/>
    <x v="53"/>
    <x v="2"/>
    <x v="1"/>
    <s v="FUR-BO-10002916"/>
    <x v="0"/>
    <x v="0"/>
    <x v="307"/>
    <n v="435.99900000000002"/>
    <n v="3"/>
    <n v="20.517600000000002"/>
    <x v="4"/>
  </r>
  <r>
    <x v="601"/>
    <x v="459"/>
    <d v="2014-07-24T00:00:00"/>
    <x v="1"/>
    <s v="CA-12310"/>
    <s v="Christine Abelman"/>
    <s v="Corporate"/>
    <x v="0"/>
    <x v="203"/>
    <x v="19"/>
    <x v="2"/>
    <s v="FUR-TA-10004152"/>
    <x v="0"/>
    <x v="2"/>
    <x v="308"/>
    <n v="70.56"/>
    <n v="1"/>
    <n v="-4.032"/>
    <x v="3"/>
  </r>
  <r>
    <x v="602"/>
    <x v="460"/>
    <d v="2015-06-08T00:00:00"/>
    <x v="0"/>
    <s v="TC-21535"/>
    <s v="Tracy Collins"/>
    <s v="Home Office"/>
    <x v="0"/>
    <x v="13"/>
    <x v="7"/>
    <x v="2"/>
    <s v="FUR-FU-10000672"/>
    <x v="0"/>
    <x v="3"/>
    <x v="309"/>
    <n v="35.28"/>
    <n v="3"/>
    <n v="11.995200000000001"/>
    <x v="2"/>
  </r>
  <r>
    <x v="603"/>
    <x v="461"/>
    <d v="2016-07-18T00:00:00"/>
    <x v="0"/>
    <s v="MC-17425"/>
    <s v="Mark Cousins"/>
    <s v="Corporate"/>
    <x v="0"/>
    <x v="6"/>
    <x v="5"/>
    <x v="3"/>
    <s v="FUR-FU-10001940"/>
    <x v="0"/>
    <x v="3"/>
    <x v="47"/>
    <n v="9.5519999999999996"/>
    <n v="3"/>
    <n v="-3.8208000000000002"/>
    <x v="3"/>
  </r>
  <r>
    <x v="604"/>
    <x v="462"/>
    <d v="2014-02-02T00:00:00"/>
    <x v="2"/>
    <s v="LC-17050"/>
    <s v="Liz Carlisle"/>
    <s v="Consumer"/>
    <x v="0"/>
    <x v="204"/>
    <x v="2"/>
    <x v="1"/>
    <s v="FUR-BO-10003966"/>
    <x v="0"/>
    <x v="0"/>
    <x v="210"/>
    <n v="290.666"/>
    <n v="2"/>
    <n v="3.4196"/>
    <x v="8"/>
  </r>
  <r>
    <x v="605"/>
    <x v="32"/>
    <d v="2015-11-25T00:00:00"/>
    <x v="1"/>
    <s v="NW-18400"/>
    <s v="Natalie Webber"/>
    <s v="Consumer"/>
    <x v="0"/>
    <x v="205"/>
    <x v="34"/>
    <x v="1"/>
    <s v="FUR-BO-10002598"/>
    <x v="0"/>
    <x v="0"/>
    <x v="310"/>
    <n v="141.96"/>
    <n v="2"/>
    <n v="41.168399999999998"/>
    <x v="0"/>
  </r>
  <r>
    <x v="606"/>
    <x v="463"/>
    <d v="2015-12-10T00:00:00"/>
    <x v="1"/>
    <s v="SO-20335"/>
    <s v="Sean O'Donnell"/>
    <s v="Consumer"/>
    <x v="0"/>
    <x v="206"/>
    <x v="7"/>
    <x v="2"/>
    <s v="FUR-FU-10002445"/>
    <x v="0"/>
    <x v="3"/>
    <x v="292"/>
    <n v="28.44"/>
    <n v="3"/>
    <n v="11.375999999999999"/>
    <x v="5"/>
  </r>
  <r>
    <x v="606"/>
    <x v="463"/>
    <d v="2015-12-10T00:00:00"/>
    <x v="1"/>
    <s v="SO-20335"/>
    <s v="Sean O'Donnell"/>
    <s v="Consumer"/>
    <x v="0"/>
    <x v="206"/>
    <x v="7"/>
    <x v="2"/>
    <s v="FUR-CH-10002372"/>
    <x v="0"/>
    <x v="1"/>
    <x v="83"/>
    <n v="364.41"/>
    <n v="5"/>
    <n v="8.0980000000000008"/>
    <x v="5"/>
  </r>
  <r>
    <x v="606"/>
    <x v="463"/>
    <d v="2015-12-10T00:00:00"/>
    <x v="1"/>
    <s v="SO-20335"/>
    <s v="Sean O'Donnell"/>
    <s v="Consumer"/>
    <x v="0"/>
    <x v="206"/>
    <x v="7"/>
    <x v="2"/>
    <s v="FUR-CH-10002965"/>
    <x v="0"/>
    <x v="1"/>
    <x v="50"/>
    <n v="361.76400000000001"/>
    <n v="2"/>
    <n v="68.333200000000005"/>
    <x v="5"/>
  </r>
  <r>
    <x v="607"/>
    <x v="68"/>
    <d v="2017-11-24T00:00:00"/>
    <x v="2"/>
    <s v="TD-20995"/>
    <s v="Tamara Dahlen"/>
    <s v="Consumer"/>
    <x v="0"/>
    <x v="3"/>
    <x v="3"/>
    <x v="2"/>
    <s v="FUR-FU-10000320"/>
    <x v="0"/>
    <x v="3"/>
    <x v="311"/>
    <n v="24.047999999999998"/>
    <n v="9"/>
    <n v="7.2144000000000004"/>
    <x v="0"/>
  </r>
  <r>
    <x v="608"/>
    <x v="463"/>
    <d v="2015-12-09T00:00:00"/>
    <x v="0"/>
    <s v="MS-17365"/>
    <s v="Maribeth Schnelling"/>
    <s v="Consumer"/>
    <x v="0"/>
    <x v="13"/>
    <x v="7"/>
    <x v="2"/>
    <s v="FUR-CH-10003535"/>
    <x v="0"/>
    <x v="1"/>
    <x v="312"/>
    <n v="384.17399999999998"/>
    <n v="7"/>
    <n v="29.880199999999999"/>
    <x v="5"/>
  </r>
  <r>
    <x v="609"/>
    <x v="273"/>
    <d v="2017-10-11T00:00:00"/>
    <x v="1"/>
    <s v="Dp-13240"/>
    <s v="Dean percer"/>
    <s v="Home Office"/>
    <x v="0"/>
    <x v="127"/>
    <x v="30"/>
    <x v="0"/>
    <s v="FUR-TA-10001039"/>
    <x v="0"/>
    <x v="2"/>
    <x v="165"/>
    <n v="154.76400000000001"/>
    <n v="3"/>
    <n v="-36.111600000000003"/>
    <x v="1"/>
  </r>
  <r>
    <x v="610"/>
    <x v="50"/>
    <d v="2015-05-05T00:00:00"/>
    <x v="2"/>
    <s v="LA-16780"/>
    <s v="Laura Armstrong"/>
    <s v="Corporate"/>
    <x v="0"/>
    <x v="207"/>
    <x v="8"/>
    <x v="3"/>
    <s v="FUR-FU-10001940"/>
    <x v="0"/>
    <x v="3"/>
    <x v="47"/>
    <n v="22.288"/>
    <n v="7"/>
    <n v="-8.9152000000000005"/>
    <x v="7"/>
  </r>
  <r>
    <x v="611"/>
    <x v="464"/>
    <d v="2017-06-05T00:00:00"/>
    <x v="1"/>
    <s v="HZ-14950"/>
    <s v="Henia Zydlo"/>
    <s v="Consumer"/>
    <x v="0"/>
    <x v="6"/>
    <x v="5"/>
    <x v="3"/>
    <s v="FUR-FU-10003919"/>
    <x v="0"/>
    <x v="3"/>
    <x v="313"/>
    <n v="65.424000000000007"/>
    <n v="4"/>
    <n v="-52.339199999999998"/>
    <x v="7"/>
  </r>
  <r>
    <x v="612"/>
    <x v="465"/>
    <d v="2014-04-27T00:00:00"/>
    <x v="1"/>
    <s v="LB-16795"/>
    <s v="Laurel Beltran"/>
    <s v="Home Office"/>
    <x v="0"/>
    <x v="29"/>
    <x v="15"/>
    <x v="2"/>
    <s v="FUR-CH-10002965"/>
    <x v="0"/>
    <x v="1"/>
    <x v="50"/>
    <n v="281.37200000000001"/>
    <n v="2"/>
    <n v="-12.0588"/>
    <x v="6"/>
  </r>
  <r>
    <x v="612"/>
    <x v="465"/>
    <d v="2014-04-27T00:00:00"/>
    <x v="1"/>
    <s v="LB-16795"/>
    <s v="Laurel Beltran"/>
    <s v="Home Office"/>
    <x v="0"/>
    <x v="29"/>
    <x v="15"/>
    <x v="2"/>
    <s v="FUR-CH-10002965"/>
    <x v="0"/>
    <x v="1"/>
    <x v="50"/>
    <n v="281.37200000000001"/>
    <n v="2"/>
    <n v="-12.0588"/>
    <x v="6"/>
  </r>
  <r>
    <x v="612"/>
    <x v="465"/>
    <d v="2014-04-27T00:00:00"/>
    <x v="1"/>
    <s v="LB-16795"/>
    <s v="Laurel Beltran"/>
    <s v="Home Office"/>
    <x v="0"/>
    <x v="29"/>
    <x v="15"/>
    <x v="2"/>
    <s v="FUR-FU-10002191"/>
    <x v="0"/>
    <x v="3"/>
    <x v="154"/>
    <n v="22.335999999999999"/>
    <n v="4"/>
    <n v="7.8175999999999997"/>
    <x v="6"/>
  </r>
  <r>
    <x v="613"/>
    <x v="329"/>
    <d v="2015-09-13T00:00:00"/>
    <x v="1"/>
    <s v="CC-12430"/>
    <s v="Chuck Clark"/>
    <s v="Home Office"/>
    <x v="0"/>
    <x v="13"/>
    <x v="7"/>
    <x v="2"/>
    <s v="FUR-CH-10000665"/>
    <x v="0"/>
    <x v="1"/>
    <x v="140"/>
    <n v="271.76400000000001"/>
    <n v="2"/>
    <n v="60.392000000000003"/>
    <x v="4"/>
  </r>
  <r>
    <x v="614"/>
    <x v="262"/>
    <d v="2015-09-28T00:00:00"/>
    <x v="1"/>
    <s v="DE-13255"/>
    <s v="Deanra Eno"/>
    <s v="Home Office"/>
    <x v="0"/>
    <x v="208"/>
    <x v="26"/>
    <x v="3"/>
    <s v="FUR-CH-10000988"/>
    <x v="0"/>
    <x v="1"/>
    <x v="221"/>
    <n v="1408.1"/>
    <n v="10"/>
    <n v="394.26799999999997"/>
    <x v="4"/>
  </r>
  <r>
    <x v="615"/>
    <x v="209"/>
    <d v="2017-07-06T00:00:00"/>
    <x v="0"/>
    <s v="SZ-20035"/>
    <s v="Sam Zeldin"/>
    <s v="Home Office"/>
    <x v="0"/>
    <x v="68"/>
    <x v="15"/>
    <x v="2"/>
    <s v="FUR-TA-10002041"/>
    <x v="0"/>
    <x v="2"/>
    <x v="74"/>
    <n v="215.148"/>
    <n v="2"/>
    <n v="-103.98820000000001"/>
    <x v="3"/>
  </r>
  <r>
    <x v="616"/>
    <x v="64"/>
    <d v="2017-12-09T00:00:00"/>
    <x v="2"/>
    <s v="LF-17185"/>
    <s v="Luke Foster"/>
    <s v="Consumer"/>
    <x v="0"/>
    <x v="209"/>
    <x v="2"/>
    <x v="1"/>
    <s v="FUR-FU-10002703"/>
    <x v="0"/>
    <x v="3"/>
    <x v="314"/>
    <n v="128.9"/>
    <n v="2"/>
    <n v="15.468"/>
    <x v="5"/>
  </r>
  <r>
    <x v="617"/>
    <x v="466"/>
    <d v="2015-09-29T00:00:00"/>
    <x v="2"/>
    <s v="NM-18520"/>
    <s v="Neoma Murray"/>
    <s v="Consumer"/>
    <x v="0"/>
    <x v="9"/>
    <x v="8"/>
    <x v="3"/>
    <s v="FUR-FU-10003849"/>
    <x v="0"/>
    <x v="3"/>
    <x v="108"/>
    <n v="24.288"/>
    <n v="3"/>
    <n v="-12.751200000000001"/>
    <x v="4"/>
  </r>
  <r>
    <x v="618"/>
    <x v="242"/>
    <d v="2017-10-30T00:00:00"/>
    <x v="3"/>
    <s v="RA-19945"/>
    <s v="Ryan Akin"/>
    <s v="Consumer"/>
    <x v="0"/>
    <x v="144"/>
    <x v="5"/>
    <x v="3"/>
    <s v="FUR-FU-10003849"/>
    <x v="0"/>
    <x v="3"/>
    <x v="108"/>
    <n v="16.192"/>
    <n v="2"/>
    <n v="-8.5007999999999999"/>
    <x v="1"/>
  </r>
  <r>
    <x v="618"/>
    <x v="242"/>
    <d v="2017-10-30T00:00:00"/>
    <x v="3"/>
    <s v="RA-19945"/>
    <s v="Ryan Akin"/>
    <s v="Consumer"/>
    <x v="0"/>
    <x v="144"/>
    <x v="5"/>
    <x v="3"/>
    <s v="FUR-TA-10002041"/>
    <x v="0"/>
    <x v="2"/>
    <x v="74"/>
    <n v="251.006"/>
    <n v="2"/>
    <n v="-68.130200000000002"/>
    <x v="1"/>
  </r>
  <r>
    <x v="619"/>
    <x v="467"/>
    <d v="2017-09-18T00:00:00"/>
    <x v="2"/>
    <s v="AS-10090"/>
    <s v="Adam Shillingsburg"/>
    <s v="Consumer"/>
    <x v="0"/>
    <x v="3"/>
    <x v="3"/>
    <x v="2"/>
    <s v="FUR-FU-10003832"/>
    <x v="0"/>
    <x v="3"/>
    <x v="282"/>
    <n v="22.512"/>
    <n v="3"/>
    <n v="2.2511999999999999"/>
    <x v="4"/>
  </r>
  <r>
    <x v="620"/>
    <x v="468"/>
    <d v="2015-09-14T00:00:00"/>
    <x v="1"/>
    <s v="EH-13765"/>
    <s v="Edward Hooks"/>
    <s v="Corporate"/>
    <x v="0"/>
    <x v="210"/>
    <x v="20"/>
    <x v="2"/>
    <s v="FUR-BO-10004695"/>
    <x v="0"/>
    <x v="0"/>
    <x v="38"/>
    <n v="361.96"/>
    <n v="2"/>
    <n v="83.250799999999998"/>
    <x v="4"/>
  </r>
  <r>
    <x v="621"/>
    <x v="469"/>
    <d v="2016-12-19T00:00:00"/>
    <x v="1"/>
    <s v="MC-17845"/>
    <s v="Michael Chen"/>
    <s v="Consumer"/>
    <x v="0"/>
    <x v="38"/>
    <x v="21"/>
    <x v="0"/>
    <s v="FUR-FU-10002045"/>
    <x v="0"/>
    <x v="3"/>
    <x v="271"/>
    <n v="133.38"/>
    <n v="6"/>
    <n v="58.687199999999997"/>
    <x v="5"/>
  </r>
  <r>
    <x v="622"/>
    <x v="193"/>
    <d v="2016-12-05T00:00:00"/>
    <x v="1"/>
    <s v="CL-11890"/>
    <s v="Carl Ludwig"/>
    <s v="Consumer"/>
    <x v="0"/>
    <x v="28"/>
    <x v="2"/>
    <x v="1"/>
    <s v="FUR-FU-10003724"/>
    <x v="0"/>
    <x v="3"/>
    <x v="181"/>
    <n v="16.739999999999998"/>
    <n v="2"/>
    <n v="4.3524000000000003"/>
    <x v="5"/>
  </r>
  <r>
    <x v="623"/>
    <x v="470"/>
    <d v="2017-03-10T00:00:00"/>
    <x v="1"/>
    <s v="EP-13915"/>
    <s v="Emily Phan"/>
    <s v="Consumer"/>
    <x v="0"/>
    <x v="211"/>
    <x v="17"/>
    <x v="3"/>
    <s v="FUR-CH-10000785"/>
    <x v="0"/>
    <x v="1"/>
    <x v="69"/>
    <n v="180.98"/>
    <n v="1"/>
    <n v="47.0548"/>
    <x v="9"/>
  </r>
  <r>
    <x v="624"/>
    <x v="6"/>
    <d v="2016-12-14T00:00:00"/>
    <x v="1"/>
    <s v="SP-20620"/>
    <s v="Stefania Perrino"/>
    <s v="Corporate"/>
    <x v="0"/>
    <x v="28"/>
    <x v="2"/>
    <x v="1"/>
    <s v="FUR-TA-10003954"/>
    <x v="0"/>
    <x v="2"/>
    <x v="239"/>
    <n v="1421.664"/>
    <n v="6"/>
    <n v="-195.47880000000001"/>
    <x v="5"/>
  </r>
  <r>
    <x v="625"/>
    <x v="471"/>
    <d v="2014-04-10T00:00:00"/>
    <x v="2"/>
    <s v="PJ-19015"/>
    <s v="Pauline Johnson"/>
    <s v="Consumer"/>
    <x v="0"/>
    <x v="212"/>
    <x v="33"/>
    <x v="0"/>
    <s v="FUR-FU-10004415"/>
    <x v="0"/>
    <x v="3"/>
    <x v="206"/>
    <n v="8.9600000000000009"/>
    <n v="2"/>
    <n v="2.7776000000000001"/>
    <x v="6"/>
  </r>
  <r>
    <x v="626"/>
    <x v="472"/>
    <d v="2014-08-29T00:00:00"/>
    <x v="2"/>
    <s v="CC-12610"/>
    <s v="Corey Catlett"/>
    <s v="Corporate"/>
    <x v="0"/>
    <x v="76"/>
    <x v="25"/>
    <x v="0"/>
    <s v="FUR-FU-10002456"/>
    <x v="0"/>
    <x v="3"/>
    <x v="202"/>
    <n v="29.12"/>
    <n v="4"/>
    <n v="12.521599999999999"/>
    <x v="10"/>
  </r>
  <r>
    <x v="626"/>
    <x v="472"/>
    <d v="2014-08-29T00:00:00"/>
    <x v="2"/>
    <s v="CC-12610"/>
    <s v="Corey Catlett"/>
    <s v="Corporate"/>
    <x v="0"/>
    <x v="76"/>
    <x v="25"/>
    <x v="0"/>
    <s v="FUR-TA-10003569"/>
    <x v="0"/>
    <x v="2"/>
    <x v="273"/>
    <n v="1202.94"/>
    <n v="3"/>
    <n v="300.73500000000001"/>
    <x v="10"/>
  </r>
  <r>
    <x v="627"/>
    <x v="473"/>
    <d v="2015-07-06T00:00:00"/>
    <x v="1"/>
    <s v="RH-19600"/>
    <s v="Rob Haberlin"/>
    <s v="Consumer"/>
    <x v="0"/>
    <x v="213"/>
    <x v="8"/>
    <x v="3"/>
    <s v="FUR-CH-10004086"/>
    <x v="0"/>
    <x v="1"/>
    <x v="61"/>
    <n v="408.42200000000003"/>
    <n v="2"/>
    <n v="-5.8346"/>
    <x v="3"/>
  </r>
  <r>
    <x v="627"/>
    <x v="473"/>
    <d v="2015-07-06T00:00:00"/>
    <x v="1"/>
    <s v="RH-19600"/>
    <s v="Rob Haberlin"/>
    <s v="Consumer"/>
    <x v="0"/>
    <x v="213"/>
    <x v="8"/>
    <x v="3"/>
    <s v="FUR-CH-10003774"/>
    <x v="0"/>
    <x v="1"/>
    <x v="234"/>
    <n v="382.11599999999999"/>
    <n v="6"/>
    <n v="-92.799599999999998"/>
    <x v="3"/>
  </r>
  <r>
    <x v="628"/>
    <x v="118"/>
    <d v="2017-09-28T00:00:00"/>
    <x v="1"/>
    <s v="KB-16240"/>
    <s v="Karen Bern"/>
    <s v="Corporate"/>
    <x v="0"/>
    <x v="214"/>
    <x v="11"/>
    <x v="3"/>
    <s v="FUR-CH-10000665"/>
    <x v="0"/>
    <x v="1"/>
    <x v="140"/>
    <n v="603.91999999999996"/>
    <n v="4"/>
    <n v="181.17599999999999"/>
    <x v="4"/>
  </r>
  <r>
    <x v="629"/>
    <x v="474"/>
    <d v="2016-08-15T00:00:00"/>
    <x v="1"/>
    <s v="CA-12055"/>
    <s v="Cathy Armstrong"/>
    <s v="Home Office"/>
    <x v="0"/>
    <x v="2"/>
    <x v="2"/>
    <x v="1"/>
    <s v="FUR-TA-10001932"/>
    <x v="0"/>
    <x v="2"/>
    <x v="167"/>
    <n v="513.024"/>
    <n v="2"/>
    <n v="12.8256"/>
    <x v="10"/>
  </r>
  <r>
    <x v="630"/>
    <x v="475"/>
    <d v="2014-06-24T00:00:00"/>
    <x v="1"/>
    <s v="SC-20020"/>
    <s v="Sam Craven"/>
    <s v="Consumer"/>
    <x v="0"/>
    <x v="215"/>
    <x v="5"/>
    <x v="3"/>
    <s v="FUR-BO-10001608"/>
    <x v="0"/>
    <x v="0"/>
    <x v="315"/>
    <n v="193.06559999999999"/>
    <n v="4"/>
    <n v="-19.874400000000001"/>
    <x v="2"/>
  </r>
  <r>
    <x v="631"/>
    <x v="362"/>
    <d v="2017-09-06T00:00:00"/>
    <x v="2"/>
    <s v="HW-14935"/>
    <s v="Helen Wasserman"/>
    <s v="Corporate"/>
    <x v="0"/>
    <x v="9"/>
    <x v="8"/>
    <x v="3"/>
    <s v="FUR-BO-10000112"/>
    <x v="0"/>
    <x v="0"/>
    <x v="316"/>
    <n v="825.17399999999998"/>
    <n v="9"/>
    <n v="-117.88200000000001"/>
    <x v="4"/>
  </r>
  <r>
    <x v="632"/>
    <x v="476"/>
    <d v="2015-06-25T00:00:00"/>
    <x v="2"/>
    <s v="MG-17875"/>
    <s v="Michael Grace"/>
    <s v="Home Office"/>
    <x v="0"/>
    <x v="14"/>
    <x v="8"/>
    <x v="3"/>
    <s v="FUR-TA-10002645"/>
    <x v="0"/>
    <x v="2"/>
    <x v="259"/>
    <n v="796.42499999999995"/>
    <n v="7"/>
    <n v="-525.64049999999997"/>
    <x v="2"/>
  </r>
  <r>
    <x v="633"/>
    <x v="126"/>
    <d v="2016-09-20T00:00:00"/>
    <x v="2"/>
    <s v="SV-20365"/>
    <s v="Seth Vernon"/>
    <s v="Consumer"/>
    <x v="0"/>
    <x v="29"/>
    <x v="15"/>
    <x v="2"/>
    <s v="FUR-FU-10002107"/>
    <x v="0"/>
    <x v="3"/>
    <x v="262"/>
    <n v="5.3520000000000003"/>
    <n v="3"/>
    <n v="1.6055999999999999"/>
    <x v="4"/>
  </r>
  <r>
    <x v="633"/>
    <x v="126"/>
    <d v="2016-09-20T00:00:00"/>
    <x v="2"/>
    <s v="SV-20365"/>
    <s v="Seth Vernon"/>
    <s v="Consumer"/>
    <x v="0"/>
    <x v="29"/>
    <x v="15"/>
    <x v="2"/>
    <s v="FUR-CH-10002647"/>
    <x v="0"/>
    <x v="1"/>
    <x v="99"/>
    <n v="99.372"/>
    <n v="2"/>
    <n v="-7.0979999999999999"/>
    <x v="4"/>
  </r>
  <r>
    <x v="634"/>
    <x v="242"/>
    <d v="2017-11-01T00:00:00"/>
    <x v="2"/>
    <s v="RD-19810"/>
    <s v="Ross DeVincentis"/>
    <s v="Home Office"/>
    <x v="0"/>
    <x v="52"/>
    <x v="0"/>
    <x v="0"/>
    <s v="FUR-CH-10000553"/>
    <x v="0"/>
    <x v="1"/>
    <x v="247"/>
    <n v="33.94"/>
    <n v="1"/>
    <n v="9.1638000000000002"/>
    <x v="1"/>
  </r>
  <r>
    <x v="635"/>
    <x v="477"/>
    <d v="2016-04-02T00:00:00"/>
    <x v="0"/>
    <s v="ME-17320"/>
    <s v="Maria Etezadi"/>
    <s v="Home Office"/>
    <x v="0"/>
    <x v="9"/>
    <x v="8"/>
    <x v="3"/>
    <s v="FUR-CH-10002965"/>
    <x v="0"/>
    <x v="1"/>
    <x v="50"/>
    <n v="844.11599999999999"/>
    <n v="6"/>
    <n v="-36.176400000000001"/>
    <x v="9"/>
  </r>
  <r>
    <x v="636"/>
    <x v="478"/>
    <d v="2016-09-14T00:00:00"/>
    <x v="0"/>
    <s v="DB-12910"/>
    <s v="Daniel Byrd"/>
    <s v="Home Office"/>
    <x v="0"/>
    <x v="144"/>
    <x v="5"/>
    <x v="3"/>
    <s v="FUR-FU-10003832"/>
    <x v="0"/>
    <x v="3"/>
    <x v="282"/>
    <n v="15.007999999999999"/>
    <n v="4"/>
    <n v="-12.006399999999999"/>
    <x v="4"/>
  </r>
  <r>
    <x v="637"/>
    <x v="81"/>
    <d v="2016-07-29T00:00:00"/>
    <x v="1"/>
    <s v="MT-17815"/>
    <s v="Meg Tillman"/>
    <s v="Consumer"/>
    <x v="0"/>
    <x v="38"/>
    <x v="21"/>
    <x v="0"/>
    <s v="FUR-TA-10004915"/>
    <x v="0"/>
    <x v="2"/>
    <x v="71"/>
    <n v="2430.08"/>
    <n v="8"/>
    <n v="388.81279999999998"/>
    <x v="3"/>
  </r>
  <r>
    <x v="638"/>
    <x v="479"/>
    <d v="2015-12-16T00:00:00"/>
    <x v="1"/>
    <s v="KD-16495"/>
    <s v="Keith Dawkins"/>
    <s v="Corporate"/>
    <x v="0"/>
    <x v="38"/>
    <x v="17"/>
    <x v="3"/>
    <s v="FUR-TA-10003569"/>
    <x v="0"/>
    <x v="2"/>
    <x v="273"/>
    <n v="801.96"/>
    <n v="2"/>
    <n v="200.49"/>
    <x v="5"/>
  </r>
  <r>
    <x v="638"/>
    <x v="479"/>
    <d v="2015-12-16T00:00:00"/>
    <x v="1"/>
    <s v="KD-16495"/>
    <s v="Keith Dawkins"/>
    <s v="Corporate"/>
    <x v="0"/>
    <x v="38"/>
    <x v="17"/>
    <x v="3"/>
    <s v="FUR-CH-10004289"/>
    <x v="0"/>
    <x v="1"/>
    <x v="196"/>
    <n v="191.96"/>
    <n v="2"/>
    <n v="32.633200000000002"/>
    <x v="5"/>
  </r>
  <r>
    <x v="639"/>
    <x v="383"/>
    <d v="2014-09-14T00:00:00"/>
    <x v="0"/>
    <s v="LC-17140"/>
    <s v="Logan Currie"/>
    <s v="Consumer"/>
    <x v="0"/>
    <x v="3"/>
    <x v="3"/>
    <x v="2"/>
    <s v="FUR-FU-10002456"/>
    <x v="0"/>
    <x v="3"/>
    <x v="202"/>
    <n v="17.472000000000001"/>
    <n v="3"/>
    <n v="5.0232000000000001"/>
    <x v="4"/>
  </r>
  <r>
    <x v="640"/>
    <x v="317"/>
    <d v="2014-11-24T00:00:00"/>
    <x v="1"/>
    <s v="RB-19330"/>
    <s v="Randy Bradley"/>
    <s v="Consumer"/>
    <x v="0"/>
    <x v="3"/>
    <x v="3"/>
    <x v="2"/>
    <s v="FUR-CH-10004997"/>
    <x v="0"/>
    <x v="1"/>
    <x v="105"/>
    <n v="657.93"/>
    <n v="5"/>
    <n v="-93.99"/>
    <x v="0"/>
  </r>
  <r>
    <x v="641"/>
    <x v="67"/>
    <d v="2017-08-27T00:00:00"/>
    <x v="1"/>
    <s v="TH-21550"/>
    <s v="Tracy Hopkins"/>
    <s v="Home Office"/>
    <x v="0"/>
    <x v="11"/>
    <x v="32"/>
    <x v="2"/>
    <s v="FUR-FU-10003976"/>
    <x v="0"/>
    <x v="3"/>
    <x v="195"/>
    <n v="25.16"/>
    <n v="2"/>
    <n v="8.5543999999999993"/>
    <x v="10"/>
  </r>
  <r>
    <x v="641"/>
    <x v="67"/>
    <d v="2017-08-27T00:00:00"/>
    <x v="1"/>
    <s v="TH-21550"/>
    <s v="Tracy Hopkins"/>
    <s v="Home Office"/>
    <x v="0"/>
    <x v="11"/>
    <x v="32"/>
    <x v="2"/>
    <s v="FUR-FU-10004960"/>
    <x v="0"/>
    <x v="3"/>
    <x v="187"/>
    <n v="91.92"/>
    <n v="4"/>
    <n v="31.252800000000001"/>
    <x v="10"/>
  </r>
  <r>
    <x v="642"/>
    <x v="49"/>
    <d v="2017-11-21T00:00:00"/>
    <x v="2"/>
    <s v="SC-20770"/>
    <s v="Stewart Carmichael"/>
    <s v="Corporate"/>
    <x v="0"/>
    <x v="21"/>
    <x v="5"/>
    <x v="3"/>
    <s v="FUR-TA-10002622"/>
    <x v="0"/>
    <x v="2"/>
    <x v="194"/>
    <n v="718.11599999999999"/>
    <n v="6"/>
    <n v="-71.811599999999999"/>
    <x v="0"/>
  </r>
  <r>
    <x v="643"/>
    <x v="94"/>
    <d v="2014-09-19T00:00:00"/>
    <x v="1"/>
    <s v="JC-15775"/>
    <s v="John Castell"/>
    <s v="Consumer"/>
    <x v="0"/>
    <x v="216"/>
    <x v="24"/>
    <x v="0"/>
    <s v="FUR-FU-10002878"/>
    <x v="0"/>
    <x v="3"/>
    <x v="220"/>
    <n v="142.4"/>
    <n v="5"/>
    <n v="52.688000000000002"/>
    <x v="4"/>
  </r>
  <r>
    <x v="644"/>
    <x v="405"/>
    <d v="2017-05-21T00:00:00"/>
    <x v="0"/>
    <s v="BC-11125"/>
    <s v="Becky Castell"/>
    <s v="Home Office"/>
    <x v="0"/>
    <x v="28"/>
    <x v="2"/>
    <x v="1"/>
    <s v="FUR-CH-10002647"/>
    <x v="0"/>
    <x v="1"/>
    <x v="99"/>
    <n v="681.40800000000002"/>
    <n v="12"/>
    <n v="42.588000000000001"/>
    <x v="7"/>
  </r>
  <r>
    <x v="645"/>
    <x v="480"/>
    <d v="2016-11-14T00:00:00"/>
    <x v="1"/>
    <s v="PP-18955"/>
    <s v="Paul Prost"/>
    <s v="Home Office"/>
    <x v="0"/>
    <x v="76"/>
    <x v="15"/>
    <x v="2"/>
    <s v="FUR-FU-10000758"/>
    <x v="0"/>
    <x v="3"/>
    <x v="207"/>
    <n v="148.28800000000001"/>
    <n v="7"/>
    <n v="29.657599999999999"/>
    <x v="0"/>
  </r>
  <r>
    <x v="646"/>
    <x v="481"/>
    <d v="2015-03-17T00:00:00"/>
    <x v="1"/>
    <s v="EB-13750"/>
    <s v="Edward Becker"/>
    <s v="Corporate"/>
    <x v="0"/>
    <x v="217"/>
    <x v="1"/>
    <x v="0"/>
    <s v="FUR-FU-10003194"/>
    <x v="0"/>
    <x v="3"/>
    <x v="19"/>
    <n v="30.88"/>
    <n v="4"/>
    <n v="3.86"/>
    <x v="9"/>
  </r>
  <r>
    <x v="646"/>
    <x v="481"/>
    <d v="2015-03-17T00:00:00"/>
    <x v="1"/>
    <s v="EB-13750"/>
    <s v="Edward Becker"/>
    <s v="Corporate"/>
    <x v="0"/>
    <x v="217"/>
    <x v="1"/>
    <x v="0"/>
    <s v="FUR-FU-10001731"/>
    <x v="0"/>
    <x v="3"/>
    <x v="317"/>
    <n v="6.4080000000000004"/>
    <n v="3"/>
    <n v="1.4418"/>
    <x v="9"/>
  </r>
  <r>
    <x v="647"/>
    <x v="200"/>
    <d v="2017-11-11T00:00:00"/>
    <x v="1"/>
    <s v="ML-17410"/>
    <s v="Maris LaWare"/>
    <s v="Consumer"/>
    <x v="0"/>
    <x v="3"/>
    <x v="3"/>
    <x v="2"/>
    <s v="FUR-CH-10003774"/>
    <x v="0"/>
    <x v="1"/>
    <x v="234"/>
    <n v="127.372"/>
    <n v="2"/>
    <n v="-30.933199999999999"/>
    <x v="0"/>
  </r>
  <r>
    <x v="648"/>
    <x v="482"/>
    <d v="2015-12-09T00:00:00"/>
    <x v="1"/>
    <s v="MH-17620"/>
    <s v="Matt Hagelstein"/>
    <s v="Corporate"/>
    <x v="0"/>
    <x v="53"/>
    <x v="2"/>
    <x v="1"/>
    <s v="FUR-FU-10004090"/>
    <x v="0"/>
    <x v="3"/>
    <x v="137"/>
    <n v="44.46"/>
    <n v="2"/>
    <n v="14.671799999999999"/>
    <x v="5"/>
  </r>
  <r>
    <x v="649"/>
    <x v="483"/>
    <d v="2015-07-14T00:00:00"/>
    <x v="1"/>
    <s v="BT-11680"/>
    <s v="Brian Thompson"/>
    <s v="Consumer"/>
    <x v="0"/>
    <x v="218"/>
    <x v="32"/>
    <x v="2"/>
    <s v="FUR-FU-10002918"/>
    <x v="0"/>
    <x v="3"/>
    <x v="56"/>
    <n v="181.96"/>
    <n v="2"/>
    <n v="20.015599999999999"/>
    <x v="3"/>
  </r>
  <r>
    <x v="650"/>
    <x v="484"/>
    <d v="2015-11-02T00:00:00"/>
    <x v="0"/>
    <s v="FA-14230"/>
    <s v="Frank Atkinson"/>
    <s v="Corporate"/>
    <x v="0"/>
    <x v="22"/>
    <x v="12"/>
    <x v="1"/>
    <s v="FUR-FU-10003026"/>
    <x v="0"/>
    <x v="3"/>
    <x v="318"/>
    <n v="15.488"/>
    <n v="4"/>
    <n v="3.6783999999999999"/>
    <x v="1"/>
  </r>
  <r>
    <x v="651"/>
    <x v="485"/>
    <d v="2015-11-21T00:00:00"/>
    <x v="0"/>
    <s v="TC-21475"/>
    <s v="Tony Chapman"/>
    <s v="Home Office"/>
    <x v="0"/>
    <x v="15"/>
    <x v="13"/>
    <x v="1"/>
    <s v="FUR-FU-10000305"/>
    <x v="0"/>
    <x v="3"/>
    <x v="291"/>
    <n v="141.96"/>
    <n v="2"/>
    <n v="22.7136"/>
    <x v="0"/>
  </r>
  <r>
    <x v="652"/>
    <x v="455"/>
    <d v="2017-12-29T00:00:00"/>
    <x v="1"/>
    <s v="AC-10615"/>
    <s v="Ann Chong"/>
    <s v="Corporate"/>
    <x v="0"/>
    <x v="77"/>
    <x v="7"/>
    <x v="2"/>
    <s v="FUR-FU-10001602"/>
    <x v="0"/>
    <x v="3"/>
    <x v="153"/>
    <n v="37.93"/>
    <n v="1"/>
    <n v="6.8273999999999999"/>
    <x v="5"/>
  </r>
  <r>
    <x v="653"/>
    <x v="486"/>
    <d v="2016-01-13T00:00:00"/>
    <x v="0"/>
    <s v="MF-17665"/>
    <s v="Maureen Fritzler"/>
    <s v="Corporate"/>
    <x v="0"/>
    <x v="219"/>
    <x v="15"/>
    <x v="2"/>
    <s v="FUR-FU-10002445"/>
    <x v="0"/>
    <x v="3"/>
    <x v="292"/>
    <n v="15.167999999999999"/>
    <n v="2"/>
    <n v="3.7919999999999998"/>
    <x v="8"/>
  </r>
  <r>
    <x v="654"/>
    <x v="255"/>
    <d v="2014-11-27T00:00:00"/>
    <x v="1"/>
    <s v="SS-20140"/>
    <s v="Saphhira Shifley"/>
    <s v="Corporate"/>
    <x v="0"/>
    <x v="220"/>
    <x v="5"/>
    <x v="3"/>
    <s v="FUR-FU-10001940"/>
    <x v="0"/>
    <x v="3"/>
    <x v="47"/>
    <n v="6.3680000000000003"/>
    <n v="2"/>
    <n v="-2.5472000000000001"/>
    <x v="0"/>
  </r>
  <r>
    <x v="655"/>
    <x v="487"/>
    <d v="2017-10-17T00:00:00"/>
    <x v="2"/>
    <s v="RS-19765"/>
    <s v="Roland Schwarz"/>
    <s v="Corporate"/>
    <x v="0"/>
    <x v="2"/>
    <x v="2"/>
    <x v="1"/>
    <s v="FUR-TA-10001705"/>
    <x v="0"/>
    <x v="2"/>
    <x v="43"/>
    <n v="510.24"/>
    <n v="3"/>
    <n v="6.3780000000000001"/>
    <x v="1"/>
  </r>
  <r>
    <x v="656"/>
    <x v="488"/>
    <d v="2017-04-24T00:00:00"/>
    <x v="2"/>
    <s v="JW-15955"/>
    <s v="Joni Wasserman"/>
    <s v="Consumer"/>
    <x v="0"/>
    <x v="15"/>
    <x v="13"/>
    <x v="1"/>
    <s v="FUR-FU-10004622"/>
    <x v="0"/>
    <x v="3"/>
    <x v="161"/>
    <n v="162.6"/>
    <n v="3"/>
    <n v="34.146000000000001"/>
    <x v="6"/>
  </r>
  <r>
    <x v="657"/>
    <x v="489"/>
    <d v="2014-12-10T00:00:00"/>
    <x v="0"/>
    <s v="JK-15625"/>
    <s v="Jim Karlsson"/>
    <s v="Consumer"/>
    <x v="0"/>
    <x v="84"/>
    <x v="13"/>
    <x v="1"/>
    <s v="FUR-CH-10002602"/>
    <x v="0"/>
    <x v="1"/>
    <x v="64"/>
    <n v="603.91999999999996"/>
    <n v="5"/>
    <n v="45.293999999999997"/>
    <x v="5"/>
  </r>
  <r>
    <x v="658"/>
    <x v="490"/>
    <d v="2016-12-24T00:00:00"/>
    <x v="1"/>
    <s v="AB-10255"/>
    <s v="Alejandro Ballentine"/>
    <s v="Home Office"/>
    <x v="0"/>
    <x v="38"/>
    <x v="21"/>
    <x v="0"/>
    <s v="FUR-FU-10001918"/>
    <x v="0"/>
    <x v="3"/>
    <x v="60"/>
    <n v="18.920000000000002"/>
    <n v="4"/>
    <n v="7.3788"/>
    <x v="5"/>
  </r>
  <r>
    <x v="659"/>
    <x v="491"/>
    <d v="2017-03-11T00:00:00"/>
    <x v="0"/>
    <s v="RM-19750"/>
    <s v="Roland Murray"/>
    <s v="Consumer"/>
    <x v="0"/>
    <x v="13"/>
    <x v="7"/>
    <x v="2"/>
    <s v="FUR-FU-10002554"/>
    <x v="0"/>
    <x v="3"/>
    <x v="185"/>
    <n v="71.97"/>
    <n v="3"/>
    <n v="16.553100000000001"/>
    <x v="9"/>
  </r>
  <r>
    <x v="660"/>
    <x v="348"/>
    <d v="2016-09-28T00:00:00"/>
    <x v="0"/>
    <s v="RA-19915"/>
    <s v="Russell Applegate"/>
    <s v="Consumer"/>
    <x v="0"/>
    <x v="29"/>
    <x v="24"/>
    <x v="0"/>
    <s v="FUR-CH-10002084"/>
    <x v="0"/>
    <x v="1"/>
    <x v="244"/>
    <n v="368.97"/>
    <n v="3"/>
    <n v="81.173400000000001"/>
    <x v="4"/>
  </r>
  <r>
    <x v="661"/>
    <x v="60"/>
    <d v="2017-08-29T00:00:00"/>
    <x v="0"/>
    <s v="DR-12880"/>
    <s v="Dan Reichenbach"/>
    <s v="Corporate"/>
    <x v="0"/>
    <x v="209"/>
    <x v="2"/>
    <x v="1"/>
    <s v="FUR-FU-10002937"/>
    <x v="0"/>
    <x v="3"/>
    <x v="205"/>
    <n v="198.46"/>
    <n v="2"/>
    <n v="99.23"/>
    <x v="10"/>
  </r>
  <r>
    <x v="661"/>
    <x v="60"/>
    <d v="2017-08-29T00:00:00"/>
    <x v="0"/>
    <s v="DR-12880"/>
    <s v="Dan Reichenbach"/>
    <s v="Corporate"/>
    <x v="0"/>
    <x v="209"/>
    <x v="2"/>
    <x v="1"/>
    <s v="FUR-CH-10004886"/>
    <x v="0"/>
    <x v="1"/>
    <x v="77"/>
    <n v="230.28"/>
    <n v="3"/>
    <n v="23.027999999999999"/>
    <x v="10"/>
  </r>
  <r>
    <x v="662"/>
    <x v="492"/>
    <d v="2016-03-06T00:00:00"/>
    <x v="2"/>
    <s v="JG-15310"/>
    <s v="Jason Gross"/>
    <s v="Corporate"/>
    <x v="0"/>
    <x v="221"/>
    <x v="5"/>
    <x v="3"/>
    <s v="FUR-CH-10004983"/>
    <x v="0"/>
    <x v="1"/>
    <x v="319"/>
    <n v="563.42999999999995"/>
    <n v="5"/>
    <n v="-56.343000000000004"/>
    <x v="9"/>
  </r>
  <r>
    <x v="663"/>
    <x v="493"/>
    <d v="2015-09-23T00:00:00"/>
    <x v="1"/>
    <s v="GB-14530"/>
    <s v="George Bell"/>
    <s v="Corporate"/>
    <x v="0"/>
    <x v="2"/>
    <x v="2"/>
    <x v="1"/>
    <s v="FUR-FU-10001591"/>
    <x v="0"/>
    <x v="3"/>
    <x v="215"/>
    <n v="24.4"/>
    <n v="2"/>
    <n v="10.247999999999999"/>
    <x v="4"/>
  </r>
  <r>
    <x v="664"/>
    <x v="494"/>
    <d v="2016-08-18T00:00:00"/>
    <x v="0"/>
    <s v="TS-21160"/>
    <s v="Theresa Swint"/>
    <s v="Corporate"/>
    <x v="0"/>
    <x v="222"/>
    <x v="16"/>
    <x v="3"/>
    <s v="FUR-BO-10001337"/>
    <x v="0"/>
    <x v="0"/>
    <x v="90"/>
    <n v="241.96"/>
    <n v="2"/>
    <n v="24.196000000000002"/>
    <x v="10"/>
  </r>
  <r>
    <x v="665"/>
    <x v="445"/>
    <d v="2016-03-25T00:00:00"/>
    <x v="1"/>
    <s v="DM-12955"/>
    <s v="Dario Medina"/>
    <s v="Corporate"/>
    <x v="0"/>
    <x v="6"/>
    <x v="5"/>
    <x v="3"/>
    <s v="FUR-TA-10004767"/>
    <x v="0"/>
    <x v="2"/>
    <x v="227"/>
    <n v="99.372"/>
    <n v="2"/>
    <n v="-1.4196"/>
    <x v="9"/>
  </r>
  <r>
    <x v="666"/>
    <x v="439"/>
    <d v="2014-12-20T00:00:00"/>
    <x v="0"/>
    <s v="KB-16585"/>
    <s v="Ken Black"/>
    <s v="Corporate"/>
    <x v="0"/>
    <x v="173"/>
    <x v="1"/>
    <x v="0"/>
    <s v="FUR-CH-10000988"/>
    <x v="0"/>
    <x v="1"/>
    <x v="221"/>
    <n v="1013.832"/>
    <n v="9"/>
    <n v="101.3832"/>
    <x v="5"/>
  </r>
  <r>
    <x v="667"/>
    <x v="495"/>
    <d v="2016-12-21T00:00:00"/>
    <x v="1"/>
    <s v="CM-12160"/>
    <s v="Charles McCrossin"/>
    <s v="Consumer"/>
    <x v="0"/>
    <x v="28"/>
    <x v="2"/>
    <x v="1"/>
    <s v="FUR-TA-10004256"/>
    <x v="0"/>
    <x v="2"/>
    <x v="103"/>
    <n v="2003.52"/>
    <n v="6"/>
    <n v="-325.572"/>
    <x v="5"/>
  </r>
  <r>
    <x v="668"/>
    <x v="496"/>
    <d v="2015-05-08T00:00:00"/>
    <x v="1"/>
    <s v="JB-16045"/>
    <s v="Julia Barnett"/>
    <s v="Home Office"/>
    <x v="0"/>
    <x v="223"/>
    <x v="2"/>
    <x v="1"/>
    <s v="FUR-FU-10002298"/>
    <x v="0"/>
    <x v="3"/>
    <x v="256"/>
    <n v="665.88"/>
    <n v="6"/>
    <n v="106.5408"/>
    <x v="7"/>
  </r>
  <r>
    <x v="669"/>
    <x v="497"/>
    <d v="2014-02-02T00:00:00"/>
    <x v="1"/>
    <s v="EJ-13720"/>
    <s v="Ed Jacobs"/>
    <s v="Consumer"/>
    <x v="0"/>
    <x v="53"/>
    <x v="2"/>
    <x v="1"/>
    <s v="FUR-TA-10003469"/>
    <x v="0"/>
    <x v="2"/>
    <x v="320"/>
    <n v="333"/>
    <n v="3"/>
    <n v="-16.649999999999999"/>
    <x v="8"/>
  </r>
  <r>
    <x v="670"/>
    <x v="498"/>
    <d v="2017-11-05T00:00:00"/>
    <x v="2"/>
    <s v="KL-16555"/>
    <s v="Kelly Lampkin"/>
    <s v="Corporate"/>
    <x v="0"/>
    <x v="224"/>
    <x v="30"/>
    <x v="0"/>
    <s v="FUR-TA-10004575"/>
    <x v="0"/>
    <x v="2"/>
    <x v="67"/>
    <n v="523.76400000000001"/>
    <n v="3"/>
    <n v="-192.04679999999999"/>
    <x v="0"/>
  </r>
  <r>
    <x v="671"/>
    <x v="499"/>
    <d v="2016-10-20T00:00:00"/>
    <x v="1"/>
    <s v="NC-18415"/>
    <s v="Nathan Cano"/>
    <s v="Consumer"/>
    <x v="0"/>
    <x v="51"/>
    <x v="30"/>
    <x v="0"/>
    <s v="FUR-CH-10003606"/>
    <x v="0"/>
    <x v="1"/>
    <x v="321"/>
    <n v="102.592"/>
    <n v="1"/>
    <n v="10.2592"/>
    <x v="1"/>
  </r>
  <r>
    <x v="672"/>
    <x v="500"/>
    <d v="2015-11-19T00:00:00"/>
    <x v="1"/>
    <s v="AH-10690"/>
    <s v="Anna HŠberlin"/>
    <s v="Corporate"/>
    <x v="0"/>
    <x v="217"/>
    <x v="1"/>
    <x v="0"/>
    <s v="FUR-CH-10003298"/>
    <x v="0"/>
    <x v="1"/>
    <x v="322"/>
    <n v="523.91999999999996"/>
    <n v="5"/>
    <n v="-72.039000000000001"/>
    <x v="0"/>
  </r>
  <r>
    <x v="672"/>
    <x v="500"/>
    <d v="2015-11-19T00:00:00"/>
    <x v="1"/>
    <s v="AH-10690"/>
    <s v="Anna HŠberlin"/>
    <s v="Corporate"/>
    <x v="0"/>
    <x v="217"/>
    <x v="1"/>
    <x v="0"/>
    <s v="FUR-CH-10004477"/>
    <x v="0"/>
    <x v="1"/>
    <x v="42"/>
    <n v="146.136"/>
    <n v="3"/>
    <n v="16.440300000000001"/>
    <x v="0"/>
  </r>
  <r>
    <x v="673"/>
    <x v="195"/>
    <d v="2015-09-19T00:00:00"/>
    <x v="1"/>
    <s v="NW-18400"/>
    <s v="Natalie Webber"/>
    <s v="Consumer"/>
    <x v="0"/>
    <x v="212"/>
    <x v="33"/>
    <x v="0"/>
    <s v="FUR-TA-10003569"/>
    <x v="0"/>
    <x v="2"/>
    <x v="273"/>
    <n v="801.96"/>
    <n v="2"/>
    <n v="200.49"/>
    <x v="4"/>
  </r>
  <r>
    <x v="673"/>
    <x v="195"/>
    <d v="2015-09-19T00:00:00"/>
    <x v="1"/>
    <s v="NW-18400"/>
    <s v="Natalie Webber"/>
    <s v="Consumer"/>
    <x v="0"/>
    <x v="212"/>
    <x v="33"/>
    <x v="0"/>
    <s v="FUR-CH-10004853"/>
    <x v="0"/>
    <x v="1"/>
    <x v="110"/>
    <n v="1056.8599999999999"/>
    <n v="7"/>
    <n v="306.48939999999999"/>
    <x v="4"/>
  </r>
  <r>
    <x v="674"/>
    <x v="224"/>
    <d v="2017-10-14T00:00:00"/>
    <x v="1"/>
    <s v="HG-14845"/>
    <s v="Harry Greene"/>
    <s v="Consumer"/>
    <x v="0"/>
    <x v="13"/>
    <x v="7"/>
    <x v="2"/>
    <s v="FUR-BO-10003034"/>
    <x v="0"/>
    <x v="0"/>
    <x v="236"/>
    <n v="314.35199999999998"/>
    <n v="3"/>
    <n v="-15.717599999999999"/>
    <x v="1"/>
  </r>
  <r>
    <x v="675"/>
    <x v="501"/>
    <d v="2017-05-11T00:00:00"/>
    <x v="1"/>
    <s v="RW-19540"/>
    <s v="Rick Wilson"/>
    <s v="Corporate"/>
    <x v="0"/>
    <x v="25"/>
    <x v="17"/>
    <x v="3"/>
    <s v="FUR-CH-10004086"/>
    <x v="0"/>
    <x v="1"/>
    <x v="61"/>
    <n v="1458.65"/>
    <n v="5"/>
    <n v="423.00850000000003"/>
    <x v="7"/>
  </r>
  <r>
    <x v="675"/>
    <x v="501"/>
    <d v="2017-05-11T00:00:00"/>
    <x v="1"/>
    <s v="RW-19540"/>
    <s v="Rick Wilson"/>
    <s v="Corporate"/>
    <x v="0"/>
    <x v="25"/>
    <x v="17"/>
    <x v="3"/>
    <s v="FUR-CH-10002017"/>
    <x v="0"/>
    <x v="1"/>
    <x v="274"/>
    <n v="26.64"/>
    <n v="1"/>
    <n v="7.4592000000000001"/>
    <x v="7"/>
  </r>
  <r>
    <x v="675"/>
    <x v="501"/>
    <d v="2017-05-11T00:00:00"/>
    <x v="1"/>
    <s v="RW-19540"/>
    <s v="Rick Wilson"/>
    <s v="Corporate"/>
    <x v="0"/>
    <x v="25"/>
    <x v="17"/>
    <x v="3"/>
    <s v="FUR-CH-10000595"/>
    <x v="0"/>
    <x v="1"/>
    <x v="97"/>
    <n v="476.8"/>
    <n v="2"/>
    <n v="119.2"/>
    <x v="7"/>
  </r>
  <r>
    <x v="676"/>
    <x v="502"/>
    <d v="2015-11-19T00:00:00"/>
    <x v="1"/>
    <s v="LS-17230"/>
    <s v="Lycoris Saunders"/>
    <s v="Consumer"/>
    <x v="0"/>
    <x v="63"/>
    <x v="14"/>
    <x v="2"/>
    <s v="FUR-FU-10004017"/>
    <x v="0"/>
    <x v="3"/>
    <x v="323"/>
    <n v="76.14"/>
    <n v="3"/>
    <n v="26.649000000000001"/>
    <x v="0"/>
  </r>
  <r>
    <x v="677"/>
    <x v="168"/>
    <d v="2014-11-24T00:00:00"/>
    <x v="3"/>
    <s v="MY-18295"/>
    <s v="Muhammed Yedwab"/>
    <s v="Corporate"/>
    <x v="0"/>
    <x v="29"/>
    <x v="15"/>
    <x v="2"/>
    <s v="FUR-CH-10000847"/>
    <x v="0"/>
    <x v="1"/>
    <x v="199"/>
    <n v="611.05799999999999"/>
    <n v="3"/>
    <n v="-34.9176"/>
    <x v="0"/>
  </r>
  <r>
    <x v="678"/>
    <x v="503"/>
    <d v="2014-08-02T00:00:00"/>
    <x v="1"/>
    <s v="KM-16720"/>
    <s v="Kunst Miller"/>
    <s v="Consumer"/>
    <x v="0"/>
    <x v="111"/>
    <x v="34"/>
    <x v="1"/>
    <s v="FUR-CH-10003312"/>
    <x v="0"/>
    <x v="1"/>
    <x v="66"/>
    <n v="674.35199999999998"/>
    <n v="3"/>
    <n v="-109.5822"/>
    <x v="3"/>
  </r>
  <r>
    <x v="678"/>
    <x v="503"/>
    <d v="2014-08-02T00:00:00"/>
    <x v="1"/>
    <s v="KM-16720"/>
    <s v="Kunst Miller"/>
    <s v="Consumer"/>
    <x v="0"/>
    <x v="111"/>
    <x v="34"/>
    <x v="1"/>
    <s v="FUR-FU-10004018"/>
    <x v="0"/>
    <x v="3"/>
    <x v="188"/>
    <n v="134.01"/>
    <n v="9"/>
    <n v="36.182699999999997"/>
    <x v="3"/>
  </r>
  <r>
    <x v="679"/>
    <x v="391"/>
    <d v="2014-06-12T00:00:00"/>
    <x v="1"/>
    <s v="KE-16420"/>
    <s v="Katrina Edelman"/>
    <s v="Corporate"/>
    <x v="0"/>
    <x v="203"/>
    <x v="9"/>
    <x v="0"/>
    <s v="FUR-CH-10002647"/>
    <x v="0"/>
    <x v="1"/>
    <x v="99"/>
    <n v="170.352"/>
    <n v="3"/>
    <n v="10.647"/>
    <x v="2"/>
  </r>
  <r>
    <x v="680"/>
    <x v="504"/>
    <d v="2014-10-31T00:00:00"/>
    <x v="2"/>
    <s v="TS-21370"/>
    <s v="Todd Sumrall"/>
    <s v="Corporate"/>
    <x v="0"/>
    <x v="2"/>
    <x v="2"/>
    <x v="1"/>
    <s v="FUR-BO-10001337"/>
    <x v="0"/>
    <x v="0"/>
    <x v="90"/>
    <n v="616.99800000000005"/>
    <n v="6"/>
    <n v="-36.293999999999997"/>
    <x v="1"/>
  </r>
  <r>
    <x v="681"/>
    <x v="231"/>
    <d v="2015-09-21T00:00:00"/>
    <x v="3"/>
    <s v="DH-13675"/>
    <s v="Duane Huffman"/>
    <s v="Home Office"/>
    <x v="0"/>
    <x v="202"/>
    <x v="20"/>
    <x v="2"/>
    <s v="FUR-FU-10004006"/>
    <x v="0"/>
    <x v="3"/>
    <x v="23"/>
    <n v="85.3"/>
    <n v="2"/>
    <n v="14.500999999999999"/>
    <x v="4"/>
  </r>
  <r>
    <x v="682"/>
    <x v="505"/>
    <d v="2017-06-10T00:00:00"/>
    <x v="1"/>
    <s v="GH-14410"/>
    <s v="Gary Hansen"/>
    <s v="Home Office"/>
    <x v="0"/>
    <x v="28"/>
    <x v="2"/>
    <x v="1"/>
    <s v="FUR-FU-10004164"/>
    <x v="0"/>
    <x v="3"/>
    <x v="324"/>
    <n v="4.95"/>
    <n v="1"/>
    <n v="2.1779999999999999"/>
    <x v="2"/>
  </r>
  <r>
    <x v="683"/>
    <x v="506"/>
    <d v="2017-02-22T00:00:00"/>
    <x v="1"/>
    <s v="JK-16120"/>
    <s v="Julie Kriz"/>
    <s v="Home Office"/>
    <x v="0"/>
    <x v="9"/>
    <x v="8"/>
    <x v="3"/>
    <s v="FUR-TA-10001932"/>
    <x v="0"/>
    <x v="2"/>
    <x v="167"/>
    <n v="480.96"/>
    <n v="3"/>
    <n v="-269.33760000000001"/>
    <x v="11"/>
  </r>
  <r>
    <x v="684"/>
    <x v="44"/>
    <d v="2015-12-03T00:00:00"/>
    <x v="1"/>
    <s v="LC-16885"/>
    <s v="Lena Creighton"/>
    <s v="Consumer"/>
    <x v="0"/>
    <x v="225"/>
    <x v="8"/>
    <x v="3"/>
    <s v="FUR-FU-10004904"/>
    <x v="0"/>
    <x v="3"/>
    <x v="325"/>
    <n v="151.96"/>
    <n v="5"/>
    <n v="-182.352"/>
    <x v="0"/>
  </r>
  <r>
    <x v="685"/>
    <x v="507"/>
    <d v="2015-10-27T00:00:00"/>
    <x v="0"/>
    <s v="JF-15355"/>
    <s v="Jay Fein"/>
    <s v="Consumer"/>
    <x v="0"/>
    <x v="53"/>
    <x v="2"/>
    <x v="1"/>
    <s v="FUR-CH-10004495"/>
    <x v="0"/>
    <x v="1"/>
    <x v="304"/>
    <n v="240.78399999999999"/>
    <n v="1"/>
    <n v="27.088200000000001"/>
    <x v="1"/>
  </r>
  <r>
    <x v="685"/>
    <x v="507"/>
    <d v="2015-10-27T00:00:00"/>
    <x v="0"/>
    <s v="JF-15355"/>
    <s v="Jay Fein"/>
    <s v="Consumer"/>
    <x v="0"/>
    <x v="53"/>
    <x v="2"/>
    <x v="1"/>
    <s v="FUR-CH-10004540"/>
    <x v="0"/>
    <x v="1"/>
    <x v="173"/>
    <n v="191.96799999999999"/>
    <n v="7"/>
    <n v="16.7972"/>
    <x v="1"/>
  </r>
  <r>
    <x v="685"/>
    <x v="507"/>
    <d v="2015-10-27T00:00:00"/>
    <x v="0"/>
    <s v="JF-15355"/>
    <s v="Jay Fein"/>
    <s v="Consumer"/>
    <x v="0"/>
    <x v="53"/>
    <x v="2"/>
    <x v="1"/>
    <s v="FUR-CH-10001854"/>
    <x v="0"/>
    <x v="1"/>
    <x v="216"/>
    <n v="842.35199999999998"/>
    <n v="3"/>
    <n v="42.117600000000003"/>
    <x v="1"/>
  </r>
  <r>
    <x v="686"/>
    <x v="508"/>
    <d v="2015-06-20T00:00:00"/>
    <x v="1"/>
    <s v="PF-19120"/>
    <s v="Peter Fuller"/>
    <s v="Consumer"/>
    <x v="0"/>
    <x v="171"/>
    <x v="22"/>
    <x v="1"/>
    <s v="FUR-FU-10004904"/>
    <x v="0"/>
    <x v="3"/>
    <x v="325"/>
    <n v="364.70400000000001"/>
    <n v="6"/>
    <n v="-36.470399999999998"/>
    <x v="2"/>
  </r>
  <r>
    <x v="686"/>
    <x v="508"/>
    <d v="2015-06-20T00:00:00"/>
    <x v="1"/>
    <s v="PF-19120"/>
    <s v="Peter Fuller"/>
    <s v="Consumer"/>
    <x v="0"/>
    <x v="171"/>
    <x v="22"/>
    <x v="1"/>
    <s v="FUR-FU-10002396"/>
    <x v="0"/>
    <x v="3"/>
    <x v="326"/>
    <n v="40.256"/>
    <n v="4"/>
    <n v="11.070399999999999"/>
    <x v="2"/>
  </r>
  <r>
    <x v="687"/>
    <x v="243"/>
    <d v="2016-11-30T00:00:00"/>
    <x v="1"/>
    <s v="SP-20860"/>
    <s v="Sung Pak"/>
    <s v="Corporate"/>
    <x v="0"/>
    <x v="2"/>
    <x v="2"/>
    <x v="1"/>
    <s v="FUR-CH-10001394"/>
    <x v="0"/>
    <x v="1"/>
    <x v="139"/>
    <n v="1684.752"/>
    <n v="6"/>
    <n v="210.59399999999999"/>
    <x v="0"/>
  </r>
  <r>
    <x v="688"/>
    <x v="509"/>
    <d v="2015-04-10T00:00:00"/>
    <x v="1"/>
    <s v="VT-21700"/>
    <s v="Valerie Takahito"/>
    <s v="Home Office"/>
    <x v="0"/>
    <x v="3"/>
    <x v="3"/>
    <x v="2"/>
    <s v="FUR-FU-10001468"/>
    <x v="0"/>
    <x v="3"/>
    <x v="253"/>
    <n v="547.13599999999997"/>
    <n v="4"/>
    <n v="-68.391999999999996"/>
    <x v="6"/>
  </r>
  <r>
    <x v="688"/>
    <x v="509"/>
    <d v="2015-04-10T00:00:00"/>
    <x v="1"/>
    <s v="VT-21700"/>
    <s v="Valerie Takahito"/>
    <s v="Home Office"/>
    <x v="0"/>
    <x v="3"/>
    <x v="3"/>
    <x v="2"/>
    <s v="FUR-FU-10001037"/>
    <x v="0"/>
    <x v="3"/>
    <x v="231"/>
    <n v="7.5839999999999996"/>
    <n v="1"/>
    <n v="2.37"/>
    <x v="6"/>
  </r>
  <r>
    <x v="688"/>
    <x v="509"/>
    <d v="2015-04-10T00:00:00"/>
    <x v="1"/>
    <s v="VT-21700"/>
    <s v="Valerie Takahito"/>
    <s v="Home Office"/>
    <x v="0"/>
    <x v="3"/>
    <x v="3"/>
    <x v="2"/>
    <s v="FUR-BO-10004218"/>
    <x v="0"/>
    <x v="0"/>
    <x v="327"/>
    <n v="352.45"/>
    <n v="5"/>
    <n v="-211.47"/>
    <x v="6"/>
  </r>
  <r>
    <x v="689"/>
    <x v="510"/>
    <d v="2017-09-25T00:00:00"/>
    <x v="1"/>
    <s v="MM-18280"/>
    <s v="Muhammed MacIntyre"/>
    <s v="Corporate"/>
    <x v="0"/>
    <x v="13"/>
    <x v="7"/>
    <x v="2"/>
    <s v="FUR-FU-10002268"/>
    <x v="0"/>
    <x v="3"/>
    <x v="172"/>
    <n v="9.82"/>
    <n v="2"/>
    <n v="3.2406000000000001"/>
    <x v="4"/>
  </r>
  <r>
    <x v="690"/>
    <x v="511"/>
    <d v="2017-07-23T00:00:00"/>
    <x v="1"/>
    <s v="ML-17410"/>
    <s v="Maris LaWare"/>
    <s v="Consumer"/>
    <x v="0"/>
    <x v="43"/>
    <x v="22"/>
    <x v="1"/>
    <s v="FUR-TA-10001932"/>
    <x v="0"/>
    <x v="2"/>
    <x v="167"/>
    <n v="801.6"/>
    <n v="5"/>
    <n v="-448.89600000000002"/>
    <x v="3"/>
  </r>
  <r>
    <x v="690"/>
    <x v="511"/>
    <d v="2017-07-23T00:00:00"/>
    <x v="1"/>
    <s v="ML-17410"/>
    <s v="Maris LaWare"/>
    <s v="Consumer"/>
    <x v="0"/>
    <x v="43"/>
    <x v="22"/>
    <x v="1"/>
    <s v="FUR-CH-10004218"/>
    <x v="0"/>
    <x v="1"/>
    <x v="10"/>
    <n v="161.56800000000001"/>
    <n v="2"/>
    <n v="10.098000000000001"/>
    <x v="3"/>
  </r>
  <r>
    <x v="690"/>
    <x v="511"/>
    <d v="2017-07-23T00:00:00"/>
    <x v="1"/>
    <s v="ML-17410"/>
    <s v="Maris LaWare"/>
    <s v="Consumer"/>
    <x v="0"/>
    <x v="43"/>
    <x v="22"/>
    <x v="1"/>
    <s v="FUR-CH-10000513"/>
    <x v="0"/>
    <x v="1"/>
    <x v="16"/>
    <n v="311.976"/>
    <n v="3"/>
    <n v="-42.896700000000003"/>
    <x v="3"/>
  </r>
  <r>
    <x v="691"/>
    <x v="512"/>
    <d v="2014-09-21T00:00:00"/>
    <x v="1"/>
    <s v="BN-11515"/>
    <s v="Bradley Nguyen"/>
    <s v="Consumer"/>
    <x v="0"/>
    <x v="15"/>
    <x v="13"/>
    <x v="1"/>
    <s v="FUR-FU-10004671"/>
    <x v="0"/>
    <x v="3"/>
    <x v="272"/>
    <n v="35.340000000000003"/>
    <n v="2"/>
    <n v="13.4292"/>
    <x v="4"/>
  </r>
  <r>
    <x v="692"/>
    <x v="269"/>
    <d v="2016-03-17T00:00:00"/>
    <x v="2"/>
    <s v="JS-15880"/>
    <s v="John Stevenson"/>
    <s v="Consumer"/>
    <x v="0"/>
    <x v="226"/>
    <x v="5"/>
    <x v="3"/>
    <s v="FUR-BO-10004409"/>
    <x v="0"/>
    <x v="0"/>
    <x v="134"/>
    <n v="241.33199999999999"/>
    <n v="5"/>
    <n v="-14.196"/>
    <x v="9"/>
  </r>
  <r>
    <x v="693"/>
    <x v="513"/>
    <d v="2015-06-20T00:00:00"/>
    <x v="1"/>
    <s v="LS-17230"/>
    <s v="Lycoris Saunders"/>
    <s v="Consumer"/>
    <x v="0"/>
    <x v="141"/>
    <x v="5"/>
    <x v="3"/>
    <s v="FUR-CH-10001708"/>
    <x v="0"/>
    <x v="1"/>
    <x v="180"/>
    <n v="197.37200000000001"/>
    <n v="2"/>
    <n v="-25.3764"/>
    <x v="2"/>
  </r>
  <r>
    <x v="694"/>
    <x v="43"/>
    <d v="2016-12-10T00:00:00"/>
    <x v="3"/>
    <s v="MH-17455"/>
    <s v="Mark Hamilton"/>
    <s v="Consumer"/>
    <x v="0"/>
    <x v="227"/>
    <x v="6"/>
    <x v="3"/>
    <s v="FUR-CH-10003379"/>
    <x v="0"/>
    <x v="1"/>
    <x v="96"/>
    <n v="1424.9"/>
    <n v="5"/>
    <n v="356.22500000000002"/>
    <x v="5"/>
  </r>
  <r>
    <x v="695"/>
    <x v="514"/>
    <d v="2017-05-23T00:00:00"/>
    <x v="1"/>
    <s v="TS-21340"/>
    <s v="Toby Swindell"/>
    <s v="Consumer"/>
    <x v="0"/>
    <x v="13"/>
    <x v="7"/>
    <x v="2"/>
    <s v="FUR-FU-10002456"/>
    <x v="0"/>
    <x v="3"/>
    <x v="202"/>
    <n v="14.56"/>
    <n v="2"/>
    <n v="6.2607999999999997"/>
    <x v="7"/>
  </r>
  <r>
    <x v="696"/>
    <x v="515"/>
    <d v="2016-11-22T00:00:00"/>
    <x v="1"/>
    <s v="SN-20710"/>
    <s v="Steve Nguyen"/>
    <s v="Home Office"/>
    <x v="0"/>
    <x v="102"/>
    <x v="5"/>
    <x v="3"/>
    <s v="FUR-CH-10003817"/>
    <x v="0"/>
    <x v="1"/>
    <x v="33"/>
    <n v="255.108"/>
    <n v="6"/>
    <n v="-18.222000000000001"/>
    <x v="0"/>
  </r>
  <r>
    <x v="697"/>
    <x v="516"/>
    <d v="2014-04-09T00:00:00"/>
    <x v="1"/>
    <s v="MS-17710"/>
    <s v="Maurice Satty"/>
    <s v="Consumer"/>
    <x v="0"/>
    <x v="25"/>
    <x v="17"/>
    <x v="3"/>
    <s v="FUR-FU-10004020"/>
    <x v="0"/>
    <x v="3"/>
    <x v="104"/>
    <n v="5.47"/>
    <n v="1"/>
    <n v="2.3521000000000001"/>
    <x v="6"/>
  </r>
  <r>
    <x v="698"/>
    <x v="517"/>
    <d v="2016-07-03T00:00:00"/>
    <x v="1"/>
    <s v="DN-13690"/>
    <s v="Duane Noonan"/>
    <s v="Consumer"/>
    <x v="0"/>
    <x v="28"/>
    <x v="2"/>
    <x v="1"/>
    <s v="FUR-FU-10002364"/>
    <x v="0"/>
    <x v="3"/>
    <x v="242"/>
    <n v="22.14"/>
    <n v="3"/>
    <n v="6.4206000000000003"/>
    <x v="2"/>
  </r>
  <r>
    <x v="699"/>
    <x v="518"/>
    <d v="2016-06-02T00:00:00"/>
    <x v="1"/>
    <s v="RB-19360"/>
    <s v="Raymond Buch"/>
    <s v="Consumer"/>
    <x v="0"/>
    <x v="228"/>
    <x v="9"/>
    <x v="0"/>
    <s v="FUR-FU-10001085"/>
    <x v="0"/>
    <x v="3"/>
    <x v="328"/>
    <n v="44.76"/>
    <n v="3"/>
    <n v="14.547000000000001"/>
    <x v="7"/>
  </r>
  <r>
    <x v="700"/>
    <x v="519"/>
    <d v="2017-02-20T00:00:00"/>
    <x v="2"/>
    <s v="ED-13885"/>
    <s v="Emily Ducich"/>
    <s v="Home Office"/>
    <x v="0"/>
    <x v="2"/>
    <x v="2"/>
    <x v="1"/>
    <s v="FUR-FU-10004018"/>
    <x v="0"/>
    <x v="3"/>
    <x v="188"/>
    <n v="44.67"/>
    <n v="3"/>
    <n v="12.0609"/>
    <x v="11"/>
  </r>
  <r>
    <x v="701"/>
    <x v="477"/>
    <d v="2016-04-02T00:00:00"/>
    <x v="1"/>
    <s v="JM-15250"/>
    <s v="Janet Martin"/>
    <s v="Consumer"/>
    <x v="0"/>
    <x v="13"/>
    <x v="7"/>
    <x v="2"/>
    <s v="FUR-FU-10004848"/>
    <x v="0"/>
    <x v="3"/>
    <x v="7"/>
    <n v="414"/>
    <n v="8"/>
    <n v="124.2"/>
    <x v="9"/>
  </r>
  <r>
    <x v="702"/>
    <x v="148"/>
    <d v="2016-10-24T00:00:00"/>
    <x v="2"/>
    <s v="EB-13930"/>
    <s v="Eric Barreto"/>
    <s v="Consumer"/>
    <x v="0"/>
    <x v="52"/>
    <x v="25"/>
    <x v="0"/>
    <s v="FUR-FU-10003731"/>
    <x v="0"/>
    <x v="3"/>
    <x v="329"/>
    <n v="39.92"/>
    <n v="4"/>
    <n v="11.1776"/>
    <x v="1"/>
  </r>
  <r>
    <x v="703"/>
    <x v="520"/>
    <d v="2014-12-27T00:00:00"/>
    <x v="1"/>
    <s v="TH-21235"/>
    <s v="Tiffany House"/>
    <s v="Corporate"/>
    <x v="0"/>
    <x v="13"/>
    <x v="7"/>
    <x v="2"/>
    <s v="FUR-TA-10001676"/>
    <x v="0"/>
    <x v="2"/>
    <x v="193"/>
    <n v="53.316000000000003"/>
    <n v="2"/>
    <n v="-19.549199999999999"/>
    <x v="5"/>
  </r>
  <r>
    <x v="704"/>
    <x v="521"/>
    <d v="2017-12-20T00:00:00"/>
    <x v="1"/>
    <s v="PL-18925"/>
    <s v="Paul Lucas"/>
    <s v="Home Office"/>
    <x v="0"/>
    <x v="15"/>
    <x v="13"/>
    <x v="1"/>
    <s v="FUR-FU-10003096"/>
    <x v="0"/>
    <x v="3"/>
    <x v="114"/>
    <n v="22.77"/>
    <n v="3"/>
    <n v="9.7911000000000001"/>
    <x v="5"/>
  </r>
  <r>
    <x v="705"/>
    <x v="281"/>
    <d v="2016-07-09T00:00:00"/>
    <x v="0"/>
    <s v="CC-12370"/>
    <s v="Christopher Conant"/>
    <s v="Consumer"/>
    <x v="0"/>
    <x v="2"/>
    <x v="2"/>
    <x v="1"/>
    <s v="FUR-CH-10003061"/>
    <x v="0"/>
    <x v="1"/>
    <x v="12"/>
    <n v="287.96800000000002"/>
    <n v="4"/>
    <n v="-3.5996000000000001"/>
    <x v="3"/>
  </r>
  <r>
    <x v="706"/>
    <x v="380"/>
    <d v="2016-04-21T00:00:00"/>
    <x v="1"/>
    <s v="JM-15535"/>
    <s v="Jessica Myrick"/>
    <s v="Consumer"/>
    <x v="0"/>
    <x v="174"/>
    <x v="2"/>
    <x v="1"/>
    <s v="FUR-BO-10003441"/>
    <x v="0"/>
    <x v="0"/>
    <x v="145"/>
    <n v="257.49900000000002"/>
    <n v="3"/>
    <n v="24.235199999999999"/>
    <x v="6"/>
  </r>
  <r>
    <x v="707"/>
    <x v="380"/>
    <d v="2016-04-22T00:00:00"/>
    <x v="1"/>
    <s v="CS-12175"/>
    <s v="Charles Sheldon"/>
    <s v="Corporate"/>
    <x v="0"/>
    <x v="11"/>
    <x v="9"/>
    <x v="0"/>
    <s v="FUR-FU-10003798"/>
    <x v="0"/>
    <x v="3"/>
    <x v="330"/>
    <n v="79.12"/>
    <n v="5"/>
    <n v="13.846"/>
    <x v="6"/>
  </r>
  <r>
    <x v="708"/>
    <x v="306"/>
    <d v="2014-11-27T00:00:00"/>
    <x v="0"/>
    <s v="AR-10540"/>
    <s v="Andy Reiter"/>
    <s v="Consumer"/>
    <x v="0"/>
    <x v="229"/>
    <x v="38"/>
    <x v="2"/>
    <s v="FUR-FU-10001095"/>
    <x v="0"/>
    <x v="3"/>
    <x v="151"/>
    <n v="52.96"/>
    <n v="2"/>
    <n v="20.1248"/>
    <x v="0"/>
  </r>
  <r>
    <x v="709"/>
    <x v="522"/>
    <d v="2015-05-05T00:00:00"/>
    <x v="1"/>
    <s v="DB-13120"/>
    <s v="David Bremer"/>
    <s v="Corporate"/>
    <x v="0"/>
    <x v="26"/>
    <x v="1"/>
    <x v="0"/>
    <s v="FUR-FU-10001095"/>
    <x v="0"/>
    <x v="3"/>
    <x v="151"/>
    <n v="63.552"/>
    <n v="3"/>
    <n v="14.299200000000001"/>
    <x v="7"/>
  </r>
  <r>
    <x v="710"/>
    <x v="523"/>
    <d v="2015-03-12T00:00:00"/>
    <x v="1"/>
    <s v="DK-12895"/>
    <s v="Dana Kaydos"/>
    <s v="Consumer"/>
    <x v="0"/>
    <x v="230"/>
    <x v="16"/>
    <x v="3"/>
    <s v="FUR-BO-10002916"/>
    <x v="0"/>
    <x v="0"/>
    <x v="307"/>
    <n v="512.94000000000005"/>
    <n v="3"/>
    <n v="97.458600000000004"/>
    <x v="9"/>
  </r>
  <r>
    <x v="710"/>
    <x v="523"/>
    <d v="2015-03-12T00:00:00"/>
    <x v="1"/>
    <s v="DK-12895"/>
    <s v="Dana Kaydos"/>
    <s v="Consumer"/>
    <x v="0"/>
    <x v="230"/>
    <x v="16"/>
    <x v="3"/>
    <s v="FUR-CH-10002084"/>
    <x v="0"/>
    <x v="1"/>
    <x v="244"/>
    <n v="860.93"/>
    <n v="7"/>
    <n v="189.40459999999999"/>
    <x v="9"/>
  </r>
  <r>
    <x v="710"/>
    <x v="523"/>
    <d v="2015-03-12T00:00:00"/>
    <x v="1"/>
    <s v="DK-12895"/>
    <s v="Dana Kaydos"/>
    <s v="Consumer"/>
    <x v="0"/>
    <x v="230"/>
    <x v="16"/>
    <x v="3"/>
    <s v="FUR-FU-10000308"/>
    <x v="0"/>
    <x v="3"/>
    <x v="250"/>
    <n v="373.08"/>
    <n v="6"/>
    <n v="82.077600000000004"/>
    <x v="9"/>
  </r>
  <r>
    <x v="711"/>
    <x v="392"/>
    <d v="2015-07-20T00:00:00"/>
    <x v="0"/>
    <s v="MP-17965"/>
    <s v="Michael Paige"/>
    <s v="Corporate"/>
    <x v="0"/>
    <x v="231"/>
    <x v="1"/>
    <x v="0"/>
    <s v="FUR-BO-10004709"/>
    <x v="0"/>
    <x v="0"/>
    <x v="53"/>
    <n v="231.92"/>
    <n v="5"/>
    <n v="5.798"/>
    <x v="3"/>
  </r>
  <r>
    <x v="712"/>
    <x v="524"/>
    <d v="2014-10-16T00:00:00"/>
    <x v="1"/>
    <s v="Dp-13240"/>
    <s v="Dean percer"/>
    <s v="Home Office"/>
    <x v="0"/>
    <x v="15"/>
    <x v="13"/>
    <x v="1"/>
    <s v="FUR-FU-10001196"/>
    <x v="0"/>
    <x v="3"/>
    <x v="217"/>
    <n v="63.47"/>
    <n v="11"/>
    <n v="19.041"/>
    <x v="1"/>
  </r>
  <r>
    <x v="713"/>
    <x v="492"/>
    <d v="2016-03-08T00:00:00"/>
    <x v="1"/>
    <s v="CC-12220"/>
    <s v="Chris Cortes"/>
    <s v="Consumer"/>
    <x v="0"/>
    <x v="21"/>
    <x v="5"/>
    <x v="3"/>
    <s v="FUR-TA-10004915"/>
    <x v="0"/>
    <x v="2"/>
    <x v="71"/>
    <n v="637.89599999999996"/>
    <n v="3"/>
    <n v="-127.5792"/>
    <x v="9"/>
  </r>
  <r>
    <x v="714"/>
    <x v="143"/>
    <d v="2017-01-05T00:00:00"/>
    <x v="1"/>
    <s v="SC-20725"/>
    <s v="Steven Cartwright"/>
    <s v="Consumer"/>
    <x v="0"/>
    <x v="2"/>
    <x v="2"/>
    <x v="1"/>
    <s v="FUR-FU-10001215"/>
    <x v="0"/>
    <x v="3"/>
    <x v="331"/>
    <n v="474.43"/>
    <n v="11"/>
    <n v="199.26060000000001"/>
    <x v="8"/>
  </r>
  <r>
    <x v="715"/>
    <x v="525"/>
    <d v="2014-06-27T00:00:00"/>
    <x v="1"/>
    <s v="AA-10645"/>
    <s v="Anna Andreadi"/>
    <s v="Consumer"/>
    <x v="0"/>
    <x v="100"/>
    <x v="3"/>
    <x v="2"/>
    <s v="FUR-CH-10004698"/>
    <x v="0"/>
    <x v="1"/>
    <x v="34"/>
    <n v="170.05799999999999"/>
    <n v="3"/>
    <n v="-4.8587999999999996"/>
    <x v="2"/>
  </r>
  <r>
    <x v="715"/>
    <x v="525"/>
    <d v="2014-06-27T00:00:00"/>
    <x v="1"/>
    <s v="AA-10645"/>
    <s v="Anna Andreadi"/>
    <s v="Consumer"/>
    <x v="0"/>
    <x v="100"/>
    <x v="3"/>
    <x v="2"/>
    <s v="FUR-CH-10000454"/>
    <x v="0"/>
    <x v="1"/>
    <x v="1"/>
    <n v="853.93"/>
    <n v="5"/>
    <n v="0"/>
    <x v="2"/>
  </r>
  <r>
    <x v="716"/>
    <x v="526"/>
    <d v="2017-10-28T00:00:00"/>
    <x v="2"/>
    <s v="JO-15145"/>
    <s v="Jack O'Briant"/>
    <s v="Corporate"/>
    <x v="0"/>
    <x v="28"/>
    <x v="2"/>
    <x v="1"/>
    <s v="FUR-BO-10003034"/>
    <x v="0"/>
    <x v="0"/>
    <x v="236"/>
    <n v="556.66499999999996"/>
    <n v="5"/>
    <n v="6.5490000000000004"/>
    <x v="1"/>
  </r>
  <r>
    <x v="717"/>
    <x v="455"/>
    <d v="2017-12-28T00:00:00"/>
    <x v="1"/>
    <s v="CS-12355"/>
    <s v="Christine Sundaresam"/>
    <s v="Consumer"/>
    <x v="0"/>
    <x v="120"/>
    <x v="35"/>
    <x v="0"/>
    <s v="FUR-CH-10002439"/>
    <x v="0"/>
    <x v="1"/>
    <x v="260"/>
    <n v="232.88"/>
    <n v="4"/>
    <n v="60.5488"/>
    <x v="5"/>
  </r>
  <r>
    <x v="718"/>
    <x v="527"/>
    <d v="2015-01-02T00:00:00"/>
    <x v="1"/>
    <s v="AJ-10795"/>
    <s v="Anthony Johnson"/>
    <s v="Corporate"/>
    <x v="0"/>
    <x v="28"/>
    <x v="2"/>
    <x v="1"/>
    <s v="FUR-FU-10000550"/>
    <x v="0"/>
    <x v="3"/>
    <x v="295"/>
    <n v="24.9"/>
    <n v="5"/>
    <n v="8.2170000000000005"/>
    <x v="5"/>
  </r>
  <r>
    <x v="718"/>
    <x v="527"/>
    <d v="2015-01-02T00:00:00"/>
    <x v="1"/>
    <s v="AJ-10795"/>
    <s v="Anthony Johnson"/>
    <s v="Corporate"/>
    <x v="0"/>
    <x v="28"/>
    <x v="2"/>
    <x v="1"/>
    <s v="FUR-FU-10000672"/>
    <x v="0"/>
    <x v="3"/>
    <x v="309"/>
    <n v="70.56"/>
    <n v="6"/>
    <n v="23.990400000000001"/>
    <x v="5"/>
  </r>
  <r>
    <x v="719"/>
    <x v="528"/>
    <d v="2015-06-30T00:00:00"/>
    <x v="1"/>
    <s v="JF-15565"/>
    <s v="Jill Fjeld"/>
    <s v="Consumer"/>
    <x v="0"/>
    <x v="28"/>
    <x v="2"/>
    <x v="1"/>
    <s v="FUR-FU-10001979"/>
    <x v="0"/>
    <x v="3"/>
    <x v="107"/>
    <n v="204.85"/>
    <n v="5"/>
    <n v="57.357999999999997"/>
    <x v="2"/>
  </r>
  <r>
    <x v="720"/>
    <x v="529"/>
    <d v="2017-06-26T00:00:00"/>
    <x v="0"/>
    <s v="GA-14515"/>
    <s v="George Ashbrook"/>
    <s v="Consumer"/>
    <x v="0"/>
    <x v="13"/>
    <x v="7"/>
    <x v="2"/>
    <s v="FUR-FU-10003601"/>
    <x v="0"/>
    <x v="3"/>
    <x v="148"/>
    <n v="276.69"/>
    <n v="3"/>
    <n v="49.804200000000002"/>
    <x v="2"/>
  </r>
  <r>
    <x v="720"/>
    <x v="529"/>
    <d v="2017-06-26T00:00:00"/>
    <x v="0"/>
    <s v="GA-14515"/>
    <s v="George Ashbrook"/>
    <s v="Consumer"/>
    <x v="0"/>
    <x v="13"/>
    <x v="7"/>
    <x v="2"/>
    <s v="FUR-CH-10001891"/>
    <x v="0"/>
    <x v="1"/>
    <x v="55"/>
    <n v="172.76400000000001"/>
    <n v="2"/>
    <n v="32.633200000000002"/>
    <x v="2"/>
  </r>
  <r>
    <x v="721"/>
    <x v="189"/>
    <d v="2014-10-03T00:00:00"/>
    <x v="1"/>
    <s v="SM-20950"/>
    <s v="Suzanne McNair"/>
    <s v="Corporate"/>
    <x v="0"/>
    <x v="3"/>
    <x v="3"/>
    <x v="2"/>
    <s v="FUR-TA-10004175"/>
    <x v="0"/>
    <x v="2"/>
    <x v="226"/>
    <n v="409.27199999999999"/>
    <n v="2"/>
    <n v="-81.854399999999998"/>
    <x v="4"/>
  </r>
  <r>
    <x v="721"/>
    <x v="189"/>
    <d v="2014-10-03T00:00:00"/>
    <x v="1"/>
    <s v="SM-20950"/>
    <s v="Suzanne McNair"/>
    <s v="Corporate"/>
    <x v="0"/>
    <x v="3"/>
    <x v="3"/>
    <x v="2"/>
    <s v="FUR-TA-10004147"/>
    <x v="0"/>
    <x v="2"/>
    <x v="163"/>
    <n v="67.176000000000002"/>
    <n v="1"/>
    <n v="-20.152799999999999"/>
    <x v="4"/>
  </r>
  <r>
    <x v="722"/>
    <x v="141"/>
    <d v="2015-11-24T00:00:00"/>
    <x v="1"/>
    <s v="LC-16885"/>
    <s v="Lena Creighton"/>
    <s v="Consumer"/>
    <x v="0"/>
    <x v="121"/>
    <x v="2"/>
    <x v="1"/>
    <s v="FUR-CH-10000595"/>
    <x v="0"/>
    <x v="1"/>
    <x v="97"/>
    <n v="572.16"/>
    <n v="3"/>
    <n v="35.76"/>
    <x v="0"/>
  </r>
  <r>
    <x v="723"/>
    <x v="530"/>
    <d v="2016-08-31T00:00:00"/>
    <x v="2"/>
    <s v="TP-21415"/>
    <s v="Tom Prescott"/>
    <s v="Consumer"/>
    <x v="0"/>
    <x v="144"/>
    <x v="5"/>
    <x v="3"/>
    <s v="FUR-BO-10003159"/>
    <x v="0"/>
    <x v="0"/>
    <x v="214"/>
    <n v="156.37280000000001"/>
    <n v="2"/>
    <n v="-52.890799999999999"/>
    <x v="10"/>
  </r>
  <r>
    <x v="724"/>
    <x v="531"/>
    <d v="2017-11-20T00:00:00"/>
    <x v="1"/>
    <s v="DK-12895"/>
    <s v="Dana Kaydos"/>
    <s v="Consumer"/>
    <x v="0"/>
    <x v="232"/>
    <x v="1"/>
    <x v="0"/>
    <s v="FUR-FU-10003553"/>
    <x v="0"/>
    <x v="3"/>
    <x v="117"/>
    <n v="220.06399999999999"/>
    <n v="4"/>
    <n v="55.015999999999998"/>
    <x v="0"/>
  </r>
  <r>
    <x v="724"/>
    <x v="531"/>
    <d v="2017-11-20T00:00:00"/>
    <x v="1"/>
    <s v="DK-12895"/>
    <s v="Dana Kaydos"/>
    <s v="Consumer"/>
    <x v="0"/>
    <x v="232"/>
    <x v="1"/>
    <x v="0"/>
    <s v="FUR-FU-10001488"/>
    <x v="0"/>
    <x v="3"/>
    <x v="204"/>
    <n v="339.13600000000002"/>
    <n v="4"/>
    <n v="0"/>
    <x v="0"/>
  </r>
  <r>
    <x v="725"/>
    <x v="532"/>
    <d v="2014-08-26T00:00:00"/>
    <x v="1"/>
    <s v="LH-16900"/>
    <s v="Lena Hernandez"/>
    <s v="Consumer"/>
    <x v="0"/>
    <x v="93"/>
    <x v="31"/>
    <x v="0"/>
    <s v="FUR-BO-10000711"/>
    <x v="0"/>
    <x v="0"/>
    <x v="332"/>
    <n v="638.82000000000005"/>
    <n v="9"/>
    <n v="172.48140000000001"/>
    <x v="10"/>
  </r>
  <r>
    <x v="726"/>
    <x v="533"/>
    <d v="2017-12-21T00:00:00"/>
    <x v="3"/>
    <s v="RB-19465"/>
    <s v="Rick Bensley"/>
    <s v="Home Office"/>
    <x v="0"/>
    <x v="233"/>
    <x v="27"/>
    <x v="3"/>
    <s v="FUR-FU-10001940"/>
    <x v="0"/>
    <x v="3"/>
    <x v="47"/>
    <n v="15.92"/>
    <n v="2"/>
    <n v="7.0048000000000004"/>
    <x v="5"/>
  </r>
  <r>
    <x v="727"/>
    <x v="395"/>
    <d v="2015-09-07T00:00:00"/>
    <x v="3"/>
    <s v="MC-17275"/>
    <s v="Marc Crier"/>
    <s v="Consumer"/>
    <x v="0"/>
    <x v="13"/>
    <x v="7"/>
    <x v="2"/>
    <s v="FUR-TA-10003837"/>
    <x v="0"/>
    <x v="2"/>
    <x v="299"/>
    <n v="27.414000000000001"/>
    <n v="3"/>
    <n v="-14.1639"/>
    <x v="4"/>
  </r>
  <r>
    <x v="728"/>
    <x v="344"/>
    <d v="2016-01-01T00:00:00"/>
    <x v="1"/>
    <s v="DL-13495"/>
    <s v="Dionis Lloyd"/>
    <s v="Corporate"/>
    <x v="0"/>
    <x v="25"/>
    <x v="17"/>
    <x v="3"/>
    <s v="FUR-BO-10004360"/>
    <x v="0"/>
    <x v="0"/>
    <x v="333"/>
    <n v="160.97999999999999"/>
    <n v="1"/>
    <n v="20.927399999999999"/>
    <x v="5"/>
  </r>
  <r>
    <x v="729"/>
    <x v="534"/>
    <d v="2017-07-31T00:00:00"/>
    <x v="0"/>
    <s v="MG-18145"/>
    <s v="Mike Gockenbach"/>
    <s v="Consumer"/>
    <x v="0"/>
    <x v="51"/>
    <x v="1"/>
    <x v="0"/>
    <s v="FUR-FU-10001602"/>
    <x v="0"/>
    <x v="3"/>
    <x v="153"/>
    <n v="91.031999999999996"/>
    <n v="3"/>
    <n v="-2.2757999999999998"/>
    <x v="3"/>
  </r>
  <r>
    <x v="730"/>
    <x v="451"/>
    <d v="2017-12-04T00:00:00"/>
    <x v="2"/>
    <s v="RA-19285"/>
    <s v="Ralph Arnett"/>
    <s v="Consumer"/>
    <x v="0"/>
    <x v="3"/>
    <x v="3"/>
    <x v="2"/>
    <s v="FUR-FU-10003798"/>
    <x v="0"/>
    <x v="3"/>
    <x v="330"/>
    <n v="79.12"/>
    <n v="5"/>
    <n v="13.846"/>
    <x v="5"/>
  </r>
  <r>
    <x v="731"/>
    <x v="129"/>
    <d v="2017-02-06T00:00:00"/>
    <x v="1"/>
    <s v="EH-14125"/>
    <s v="Eugene Hildebrand"/>
    <s v="Home Office"/>
    <x v="0"/>
    <x v="28"/>
    <x v="2"/>
    <x v="1"/>
    <s v="FUR-CH-10000863"/>
    <x v="0"/>
    <x v="1"/>
    <x v="20"/>
    <n v="120.78400000000001"/>
    <n v="1"/>
    <n v="-13.588200000000001"/>
    <x v="8"/>
  </r>
  <r>
    <x v="732"/>
    <x v="44"/>
    <d v="2015-12-04T00:00:00"/>
    <x v="1"/>
    <s v="TP-21415"/>
    <s v="Tom Prescott"/>
    <s v="Consumer"/>
    <x v="0"/>
    <x v="234"/>
    <x v="7"/>
    <x v="2"/>
    <s v="FUR-FU-10004017"/>
    <x v="0"/>
    <x v="3"/>
    <x v="45"/>
    <n v="322.58999999999997"/>
    <n v="3"/>
    <n v="64.518000000000001"/>
    <x v="0"/>
  </r>
  <r>
    <x v="733"/>
    <x v="524"/>
    <d v="2014-10-13T00:00:00"/>
    <x v="2"/>
    <s v="HA-14920"/>
    <s v="Helen Andreada"/>
    <s v="Consumer"/>
    <x v="0"/>
    <x v="102"/>
    <x v="2"/>
    <x v="1"/>
    <s v="FUR-CH-10000229"/>
    <x v="0"/>
    <x v="1"/>
    <x v="334"/>
    <n v="433.56799999999998"/>
    <n v="2"/>
    <n v="-65.035200000000003"/>
    <x v="1"/>
  </r>
  <r>
    <x v="734"/>
    <x v="28"/>
    <d v="2016-12-07T00:00:00"/>
    <x v="2"/>
    <s v="AG-10300"/>
    <s v="Aleksandra Gannaway"/>
    <s v="Corporate"/>
    <x v="0"/>
    <x v="20"/>
    <x v="20"/>
    <x v="2"/>
    <s v="FUR-BO-10002853"/>
    <x v="0"/>
    <x v="0"/>
    <x v="335"/>
    <n v="81.94"/>
    <n v="1"/>
    <n v="20.484999999999999"/>
    <x v="5"/>
  </r>
  <r>
    <x v="735"/>
    <x v="397"/>
    <d v="2015-11-20T00:00:00"/>
    <x v="1"/>
    <s v="HK-14890"/>
    <s v="Heather Kirkland"/>
    <s v="Corporate"/>
    <x v="0"/>
    <x v="235"/>
    <x v="42"/>
    <x v="1"/>
    <s v="FUR-TA-10000577"/>
    <x v="0"/>
    <x v="2"/>
    <x v="2"/>
    <n v="696.42"/>
    <n v="2"/>
    <n v="160.17660000000001"/>
    <x v="0"/>
  </r>
  <r>
    <x v="736"/>
    <x v="57"/>
    <d v="2016-04-14T00:00:00"/>
    <x v="1"/>
    <s v="CK-12595"/>
    <s v="Clytie Kelty"/>
    <s v="Consumer"/>
    <x v="0"/>
    <x v="2"/>
    <x v="2"/>
    <x v="1"/>
    <s v="FUR-FU-10002597"/>
    <x v="0"/>
    <x v="3"/>
    <x v="132"/>
    <n v="24.7"/>
    <n v="5"/>
    <n v="10.374000000000001"/>
    <x v="6"/>
  </r>
  <r>
    <x v="737"/>
    <x v="314"/>
    <d v="2014-11-02T00:00:00"/>
    <x v="0"/>
    <s v="AM-10705"/>
    <s v="Anne McFarland"/>
    <s v="Consumer"/>
    <x v="0"/>
    <x v="236"/>
    <x v="38"/>
    <x v="2"/>
    <s v="FUR-FU-10002364"/>
    <x v="0"/>
    <x v="3"/>
    <x v="242"/>
    <n v="14.76"/>
    <n v="2"/>
    <n v="4.2804000000000002"/>
    <x v="1"/>
  </r>
  <r>
    <x v="737"/>
    <x v="314"/>
    <d v="2014-11-02T00:00:00"/>
    <x v="0"/>
    <s v="AM-10705"/>
    <s v="Anne McFarland"/>
    <s v="Consumer"/>
    <x v="0"/>
    <x v="236"/>
    <x v="38"/>
    <x v="2"/>
    <s v="FUR-FU-10000023"/>
    <x v="0"/>
    <x v="3"/>
    <x v="70"/>
    <n v="17.670000000000002"/>
    <n v="3"/>
    <n v="7.7747999999999999"/>
    <x v="1"/>
  </r>
  <r>
    <x v="737"/>
    <x v="314"/>
    <d v="2014-11-02T00:00:00"/>
    <x v="0"/>
    <s v="AM-10705"/>
    <s v="Anne McFarland"/>
    <s v="Consumer"/>
    <x v="0"/>
    <x v="236"/>
    <x v="38"/>
    <x v="2"/>
    <s v="FUR-CH-10002320"/>
    <x v="0"/>
    <x v="1"/>
    <x v="297"/>
    <n v="1604.9"/>
    <n v="5"/>
    <n v="481.47"/>
    <x v="1"/>
  </r>
  <r>
    <x v="737"/>
    <x v="314"/>
    <d v="2014-11-02T00:00:00"/>
    <x v="0"/>
    <s v="AM-10705"/>
    <s v="Anne McFarland"/>
    <s v="Consumer"/>
    <x v="0"/>
    <x v="236"/>
    <x v="38"/>
    <x v="2"/>
    <s v="FUR-TA-10003238"/>
    <x v="0"/>
    <x v="2"/>
    <x v="243"/>
    <n v="385.68599999999998"/>
    <n v="1"/>
    <n v="-60.607799999999997"/>
    <x v="1"/>
  </r>
  <r>
    <x v="738"/>
    <x v="535"/>
    <d v="2017-04-03T00:00:00"/>
    <x v="2"/>
    <s v="NC-18535"/>
    <s v="Nick Crebassa"/>
    <s v="Corporate"/>
    <x v="0"/>
    <x v="28"/>
    <x v="2"/>
    <x v="1"/>
    <s v="FUR-BO-10003894"/>
    <x v="0"/>
    <x v="0"/>
    <x v="336"/>
    <n v="482.66399999999999"/>
    <n v="8"/>
    <n v="85.176000000000002"/>
    <x v="6"/>
  </r>
  <r>
    <x v="739"/>
    <x v="343"/>
    <d v="2017-06-13T00:00:00"/>
    <x v="0"/>
    <s v="TB-21400"/>
    <s v="Tom Boeckenhauer"/>
    <s v="Consumer"/>
    <x v="0"/>
    <x v="15"/>
    <x v="13"/>
    <x v="1"/>
    <s v="FUR-BO-10001519"/>
    <x v="0"/>
    <x v="0"/>
    <x v="141"/>
    <n v="174.42"/>
    <n v="3"/>
    <n v="41.860799999999998"/>
    <x v="2"/>
  </r>
  <r>
    <x v="740"/>
    <x v="536"/>
    <d v="2014-12-17T00:00:00"/>
    <x v="1"/>
    <s v="EB-13840"/>
    <s v="Ellis Ballard"/>
    <s v="Corporate"/>
    <x v="0"/>
    <x v="9"/>
    <x v="8"/>
    <x v="3"/>
    <s v="FUR-FU-10003930"/>
    <x v="0"/>
    <x v="3"/>
    <x v="337"/>
    <n v="94.427999999999997"/>
    <n v="3"/>
    <n v="-42.492600000000003"/>
    <x v="5"/>
  </r>
  <r>
    <x v="741"/>
    <x v="537"/>
    <d v="2015-01-10T00:00:00"/>
    <x v="1"/>
    <s v="SR-20740"/>
    <s v="Steven Roelle"/>
    <s v="Home Office"/>
    <x v="0"/>
    <x v="15"/>
    <x v="13"/>
    <x v="1"/>
    <s v="FUR-CH-10003396"/>
    <x v="0"/>
    <x v="1"/>
    <x v="81"/>
    <n v="61.584000000000003"/>
    <n v="1"/>
    <n v="-6.9282000000000004"/>
    <x v="8"/>
  </r>
  <r>
    <x v="742"/>
    <x v="538"/>
    <d v="2017-07-10T00:00:00"/>
    <x v="1"/>
    <s v="LS-16945"/>
    <s v="Linda Southworth"/>
    <s v="Corporate"/>
    <x v="0"/>
    <x v="144"/>
    <x v="5"/>
    <x v="3"/>
    <s v="FUR-FU-10003601"/>
    <x v="0"/>
    <x v="3"/>
    <x v="148"/>
    <n v="332.02800000000002"/>
    <n v="9"/>
    <n v="-348.62939999999998"/>
    <x v="3"/>
  </r>
  <r>
    <x v="743"/>
    <x v="156"/>
    <d v="2017-12-04T00:00:00"/>
    <x v="1"/>
    <s v="LS-16975"/>
    <s v="Lindsay Shagiari"/>
    <s v="Home Office"/>
    <x v="0"/>
    <x v="237"/>
    <x v="32"/>
    <x v="2"/>
    <s v="FUR-FU-10000576"/>
    <x v="0"/>
    <x v="3"/>
    <x v="46"/>
    <n v="1049.2"/>
    <n v="5"/>
    <n v="272.79199999999997"/>
    <x v="0"/>
  </r>
  <r>
    <x v="743"/>
    <x v="156"/>
    <d v="2017-12-04T00:00:00"/>
    <x v="1"/>
    <s v="LS-16975"/>
    <s v="Lindsay Shagiari"/>
    <s v="Home Office"/>
    <x v="0"/>
    <x v="237"/>
    <x v="32"/>
    <x v="2"/>
    <s v="FUR-FU-10004270"/>
    <x v="0"/>
    <x v="3"/>
    <x v="200"/>
    <n v="20.9"/>
    <n v="5"/>
    <n v="7.524"/>
    <x v="0"/>
  </r>
  <r>
    <x v="744"/>
    <x v="193"/>
    <d v="2016-12-05T00:00:00"/>
    <x v="0"/>
    <s v="SJ-20500"/>
    <s v="Shirley Jackson"/>
    <s v="Consumer"/>
    <x v="0"/>
    <x v="130"/>
    <x v="19"/>
    <x v="2"/>
    <s v="FUR-CH-10004997"/>
    <x v="0"/>
    <x v="1"/>
    <x v="105"/>
    <n v="751.92"/>
    <n v="4"/>
    <n v="150.38399999999999"/>
    <x v="5"/>
  </r>
  <r>
    <x v="745"/>
    <x v="539"/>
    <d v="2014-09-19T00:00:00"/>
    <x v="3"/>
    <s v="BS-11365"/>
    <s v="Bill Shonely"/>
    <s v="Corporate"/>
    <x v="0"/>
    <x v="13"/>
    <x v="7"/>
    <x v="2"/>
    <s v="FUR-CH-10000988"/>
    <x v="0"/>
    <x v="1"/>
    <x v="221"/>
    <n v="887.10299999999995"/>
    <n v="7"/>
    <n v="177.42060000000001"/>
    <x v="4"/>
  </r>
  <r>
    <x v="746"/>
    <x v="540"/>
    <d v="2017-10-16T00:00:00"/>
    <x v="2"/>
    <s v="TS-21610"/>
    <s v="Troy Staebel"/>
    <s v="Consumer"/>
    <x v="0"/>
    <x v="234"/>
    <x v="8"/>
    <x v="3"/>
    <s v="FUR-FU-10001424"/>
    <x v="0"/>
    <x v="3"/>
    <x v="144"/>
    <n v="10.476000000000001"/>
    <n v="3"/>
    <n v="-6.8094000000000001"/>
    <x v="1"/>
  </r>
  <r>
    <x v="747"/>
    <x v="269"/>
    <d v="2016-03-16T00:00:00"/>
    <x v="2"/>
    <s v="MM-18280"/>
    <s v="Muhammed MacIntyre"/>
    <s v="Corporate"/>
    <x v="0"/>
    <x v="15"/>
    <x v="13"/>
    <x v="1"/>
    <s v="FUR-CH-10002880"/>
    <x v="0"/>
    <x v="1"/>
    <x v="162"/>
    <n v="196.78399999999999"/>
    <n v="2"/>
    <n v="-22.138200000000001"/>
    <x v="9"/>
  </r>
  <r>
    <x v="748"/>
    <x v="541"/>
    <d v="2016-11-09T00:00:00"/>
    <x v="1"/>
    <s v="EP-13915"/>
    <s v="Emily Phan"/>
    <s v="Consumer"/>
    <x v="0"/>
    <x v="6"/>
    <x v="5"/>
    <x v="3"/>
    <s v="FUR-TA-10002774"/>
    <x v="0"/>
    <x v="2"/>
    <x v="121"/>
    <n v="863.12800000000004"/>
    <n v="8"/>
    <n v="-160.29519999999999"/>
    <x v="0"/>
  </r>
  <r>
    <x v="748"/>
    <x v="541"/>
    <d v="2016-11-09T00:00:00"/>
    <x v="1"/>
    <s v="EP-13915"/>
    <s v="Emily Phan"/>
    <s v="Consumer"/>
    <x v="0"/>
    <x v="6"/>
    <x v="5"/>
    <x v="3"/>
    <s v="FUR-BO-10000780"/>
    <x v="0"/>
    <x v="0"/>
    <x v="258"/>
    <n v="956.66480000000001"/>
    <n v="7"/>
    <n v="-225.0976"/>
    <x v="0"/>
  </r>
  <r>
    <x v="749"/>
    <x v="542"/>
    <d v="2017-06-29T00:00:00"/>
    <x v="0"/>
    <s v="AM-10705"/>
    <s v="Anne McFarland"/>
    <s v="Consumer"/>
    <x v="0"/>
    <x v="15"/>
    <x v="13"/>
    <x v="1"/>
    <s v="FUR-TA-10000688"/>
    <x v="0"/>
    <x v="2"/>
    <x v="116"/>
    <n v="871.4"/>
    <n v="4"/>
    <n v="148.13800000000001"/>
    <x v="2"/>
  </r>
  <r>
    <x v="750"/>
    <x v="543"/>
    <d v="2015-11-30T00:00:00"/>
    <x v="1"/>
    <s v="SH-20635"/>
    <s v="Stefanie Holloman"/>
    <s v="Corporate"/>
    <x v="0"/>
    <x v="38"/>
    <x v="9"/>
    <x v="0"/>
    <s v="FUR-FU-10003930"/>
    <x v="0"/>
    <x v="3"/>
    <x v="337"/>
    <n v="692.47199999999998"/>
    <n v="11"/>
    <n v="190.4298"/>
    <x v="0"/>
  </r>
  <r>
    <x v="751"/>
    <x v="243"/>
    <d v="2016-11-27T00:00:00"/>
    <x v="0"/>
    <s v="LA-16780"/>
    <s v="Laura Armstrong"/>
    <s v="Corporate"/>
    <x v="0"/>
    <x v="237"/>
    <x v="32"/>
    <x v="2"/>
    <s v="FUR-FU-10000965"/>
    <x v="0"/>
    <x v="3"/>
    <x v="143"/>
    <n v="207.76"/>
    <n v="4"/>
    <n v="85.181600000000003"/>
    <x v="0"/>
  </r>
  <r>
    <x v="752"/>
    <x v="544"/>
    <d v="2016-04-20T00:00:00"/>
    <x v="1"/>
    <s v="BS-11365"/>
    <s v="Bill Shonely"/>
    <s v="Corporate"/>
    <x v="0"/>
    <x v="174"/>
    <x v="18"/>
    <x v="2"/>
    <s v="FUR-FU-10000550"/>
    <x v="0"/>
    <x v="3"/>
    <x v="295"/>
    <n v="9.9600000000000009"/>
    <n v="2"/>
    <n v="3.2867999999999999"/>
    <x v="6"/>
  </r>
  <r>
    <x v="753"/>
    <x v="545"/>
    <d v="2014-11-18T00:00:00"/>
    <x v="1"/>
    <s v="RM-19675"/>
    <s v="Robert Marley"/>
    <s v="Home Office"/>
    <x v="0"/>
    <x v="13"/>
    <x v="7"/>
    <x v="2"/>
    <s v="FUR-CH-10001797"/>
    <x v="0"/>
    <x v="1"/>
    <x v="293"/>
    <n v="69.263999999999996"/>
    <n v="2"/>
    <n v="14.622400000000001"/>
    <x v="0"/>
  </r>
  <r>
    <x v="754"/>
    <x v="32"/>
    <d v="2015-11-26T00:00:00"/>
    <x v="0"/>
    <s v="CA-11965"/>
    <s v="Carol Adams"/>
    <s v="Corporate"/>
    <x v="0"/>
    <x v="238"/>
    <x v="5"/>
    <x v="3"/>
    <s v="FUR-BO-10003965"/>
    <x v="0"/>
    <x v="0"/>
    <x v="208"/>
    <n v="246.1328"/>
    <n v="2"/>
    <n v="-76.011600000000001"/>
    <x v="0"/>
  </r>
  <r>
    <x v="755"/>
    <x v="13"/>
    <d v="2017-12-13T00:00:00"/>
    <x v="0"/>
    <s v="AT-10435"/>
    <s v="Alyssa Tate"/>
    <s v="Home Office"/>
    <x v="0"/>
    <x v="2"/>
    <x v="2"/>
    <x v="1"/>
    <s v="FUR-TA-10003748"/>
    <x v="0"/>
    <x v="2"/>
    <x v="40"/>
    <n v="896.32799999999997"/>
    <n v="9"/>
    <n v="22.408200000000001"/>
    <x v="5"/>
  </r>
  <r>
    <x v="756"/>
    <x v="546"/>
    <d v="2017-10-27T00:00:00"/>
    <x v="1"/>
    <s v="DW-13195"/>
    <s v="David Wiener"/>
    <s v="Corporate"/>
    <x v="0"/>
    <x v="125"/>
    <x v="36"/>
    <x v="1"/>
    <s v="FUR-TA-10002607"/>
    <x v="0"/>
    <x v="2"/>
    <x v="48"/>
    <n v="177.22499999999999"/>
    <n v="5"/>
    <n v="-120.51300000000001"/>
    <x v="1"/>
  </r>
  <r>
    <x v="757"/>
    <x v="209"/>
    <d v="2017-07-10T00:00:00"/>
    <x v="1"/>
    <s v="MB-17305"/>
    <s v="Maria Bertelson"/>
    <s v="Consumer"/>
    <x v="0"/>
    <x v="239"/>
    <x v="2"/>
    <x v="1"/>
    <s v="FUR-FU-10001215"/>
    <x v="0"/>
    <x v="3"/>
    <x v="331"/>
    <n v="129.38999999999999"/>
    <n v="3"/>
    <n v="54.343800000000002"/>
    <x v="3"/>
  </r>
  <r>
    <x v="758"/>
    <x v="547"/>
    <d v="2017-08-26T00:00:00"/>
    <x v="0"/>
    <s v="PO-18850"/>
    <s v="Patrick O'Brill"/>
    <s v="Consumer"/>
    <x v="0"/>
    <x v="199"/>
    <x v="1"/>
    <x v="0"/>
    <s v="FUR-FU-10001852"/>
    <x v="0"/>
    <x v="3"/>
    <x v="166"/>
    <n v="2.7839999999999998"/>
    <n v="2"/>
    <n v="0.41760000000000003"/>
    <x v="10"/>
  </r>
  <r>
    <x v="759"/>
    <x v="548"/>
    <d v="2014-10-30T00:00:00"/>
    <x v="0"/>
    <s v="AH-10585"/>
    <s v="Angele Hood"/>
    <s v="Consumer"/>
    <x v="0"/>
    <x v="15"/>
    <x v="13"/>
    <x v="1"/>
    <s v="FUR-FU-10000448"/>
    <x v="0"/>
    <x v="3"/>
    <x v="98"/>
    <n v="63.92"/>
    <n v="4"/>
    <n v="3.1960000000000002"/>
    <x v="1"/>
  </r>
  <r>
    <x v="760"/>
    <x v="53"/>
    <d v="2014-11-11T00:00:00"/>
    <x v="1"/>
    <s v="WB-21850"/>
    <s v="William Brown"/>
    <s v="Consumer"/>
    <x v="0"/>
    <x v="2"/>
    <x v="2"/>
    <x v="1"/>
    <s v="FUR-TA-10002041"/>
    <x v="0"/>
    <x v="2"/>
    <x v="74"/>
    <n v="573.72799999999995"/>
    <n v="4"/>
    <n v="-64.544399999999996"/>
    <x v="0"/>
  </r>
  <r>
    <x v="761"/>
    <x v="549"/>
    <d v="2017-12-11T00:00:00"/>
    <x v="1"/>
    <s v="DC-13285"/>
    <s v="Debra Catini"/>
    <s v="Consumer"/>
    <x v="0"/>
    <x v="52"/>
    <x v="25"/>
    <x v="0"/>
    <s v="FUR-FU-10000175"/>
    <x v="0"/>
    <x v="3"/>
    <x v="338"/>
    <n v="82.38"/>
    <n v="6"/>
    <n v="25.537800000000001"/>
    <x v="5"/>
  </r>
  <r>
    <x v="762"/>
    <x v="274"/>
    <d v="2015-12-24T00:00:00"/>
    <x v="1"/>
    <s v="GZ-14470"/>
    <s v="Gary Zandusky"/>
    <s v="Consumer"/>
    <x v="0"/>
    <x v="240"/>
    <x v="22"/>
    <x v="1"/>
    <s v="FUR-FU-10002088"/>
    <x v="0"/>
    <x v="3"/>
    <x v="209"/>
    <n v="14.368"/>
    <n v="2"/>
    <n v="3.9512"/>
    <x v="5"/>
  </r>
  <r>
    <x v="763"/>
    <x v="126"/>
    <d v="2016-09-25T00:00:00"/>
    <x v="1"/>
    <s v="MM-17260"/>
    <s v="Magdelene Morse"/>
    <s v="Consumer"/>
    <x v="0"/>
    <x v="241"/>
    <x v="7"/>
    <x v="2"/>
    <s v="FUR-CH-10001394"/>
    <x v="0"/>
    <x v="1"/>
    <x v="139"/>
    <n v="631.78200000000004"/>
    <n v="2"/>
    <n v="140.39599999999999"/>
    <x v="4"/>
  </r>
  <r>
    <x v="763"/>
    <x v="126"/>
    <d v="2016-09-25T00:00:00"/>
    <x v="1"/>
    <s v="MM-17260"/>
    <s v="Magdelene Morse"/>
    <s v="Consumer"/>
    <x v="0"/>
    <x v="241"/>
    <x v="7"/>
    <x v="2"/>
    <s v="FUR-FU-10004053"/>
    <x v="0"/>
    <x v="3"/>
    <x v="339"/>
    <n v="60.72"/>
    <n v="3"/>
    <n v="26.1096"/>
    <x v="4"/>
  </r>
  <r>
    <x v="764"/>
    <x v="246"/>
    <d v="2017-12-11T00:00:00"/>
    <x v="3"/>
    <s v="RR-19315"/>
    <s v="Ralph Ritter"/>
    <s v="Consumer"/>
    <x v="0"/>
    <x v="14"/>
    <x v="8"/>
    <x v="3"/>
    <s v="FUR-FU-10004306"/>
    <x v="0"/>
    <x v="3"/>
    <x v="130"/>
    <n v="77.72"/>
    <n v="1"/>
    <n v="-66.061999999999998"/>
    <x v="5"/>
  </r>
  <r>
    <x v="764"/>
    <x v="246"/>
    <d v="2017-12-11T00:00:00"/>
    <x v="3"/>
    <s v="RR-19315"/>
    <s v="Ralph Ritter"/>
    <s v="Consumer"/>
    <x v="0"/>
    <x v="14"/>
    <x v="8"/>
    <x v="3"/>
    <s v="FUR-CH-10003973"/>
    <x v="0"/>
    <x v="1"/>
    <x v="171"/>
    <n v="520.46400000000006"/>
    <n v="2"/>
    <n v="-14.8704"/>
    <x v="5"/>
  </r>
  <r>
    <x v="765"/>
    <x v="550"/>
    <d v="2014-04-30T00:00:00"/>
    <x v="1"/>
    <s v="BT-11305"/>
    <s v="Beth Thompson"/>
    <s v="Home Office"/>
    <x v="0"/>
    <x v="242"/>
    <x v="2"/>
    <x v="1"/>
    <s v="FUR-FU-10003708"/>
    <x v="0"/>
    <x v="3"/>
    <x v="17"/>
    <n v="303.25"/>
    <n v="5"/>
    <n v="63.682499999999997"/>
    <x v="6"/>
  </r>
  <r>
    <x v="765"/>
    <x v="550"/>
    <d v="2014-04-30T00:00:00"/>
    <x v="1"/>
    <s v="BT-11305"/>
    <s v="Beth Thompson"/>
    <s v="Home Office"/>
    <x v="0"/>
    <x v="242"/>
    <x v="2"/>
    <x v="1"/>
    <s v="FUR-CH-10003973"/>
    <x v="0"/>
    <x v="1"/>
    <x v="171"/>
    <n v="1487.04"/>
    <n v="5"/>
    <n v="148.70400000000001"/>
    <x v="6"/>
  </r>
  <r>
    <x v="766"/>
    <x v="551"/>
    <d v="2015-10-30T00:00:00"/>
    <x v="1"/>
    <s v="TB-21625"/>
    <s v="Trudy Brown"/>
    <s v="Consumer"/>
    <x v="0"/>
    <x v="28"/>
    <x v="2"/>
    <x v="1"/>
    <s v="FUR-TA-10001857"/>
    <x v="0"/>
    <x v="2"/>
    <x v="91"/>
    <n v="253.17599999999999"/>
    <n v="3"/>
    <n v="-31.646999999999998"/>
    <x v="1"/>
  </r>
  <r>
    <x v="767"/>
    <x v="552"/>
    <d v="2015-07-27T00:00:00"/>
    <x v="1"/>
    <s v="RA-19915"/>
    <s v="Russell Applegate"/>
    <s v="Consumer"/>
    <x v="0"/>
    <x v="185"/>
    <x v="8"/>
    <x v="3"/>
    <s v="FUR-BO-10004690"/>
    <x v="0"/>
    <x v="0"/>
    <x v="340"/>
    <n v="384.94400000000002"/>
    <n v="4"/>
    <n v="-126.4816"/>
    <x v="3"/>
  </r>
  <r>
    <x v="767"/>
    <x v="552"/>
    <d v="2015-07-27T00:00:00"/>
    <x v="1"/>
    <s v="RA-19915"/>
    <s v="Russell Applegate"/>
    <s v="Consumer"/>
    <x v="0"/>
    <x v="185"/>
    <x v="8"/>
    <x v="3"/>
    <s v="FUR-BO-10002545"/>
    <x v="0"/>
    <x v="0"/>
    <x v="9"/>
    <n v="913.43"/>
    <n v="5"/>
    <n v="-52.195999999999998"/>
    <x v="3"/>
  </r>
  <r>
    <x v="768"/>
    <x v="93"/>
    <d v="2017-11-22T00:00:00"/>
    <x v="2"/>
    <s v="CD-11920"/>
    <s v="Carlos Daly"/>
    <s v="Consumer"/>
    <x v="0"/>
    <x v="13"/>
    <x v="7"/>
    <x v="2"/>
    <s v="FUR-BO-10003159"/>
    <x v="0"/>
    <x v="0"/>
    <x v="214"/>
    <n v="183.96799999999999"/>
    <n v="2"/>
    <n v="-25.2956"/>
    <x v="0"/>
  </r>
  <r>
    <x v="769"/>
    <x v="553"/>
    <d v="2014-07-11T00:00:00"/>
    <x v="1"/>
    <s v="JL-15835"/>
    <s v="John Lee"/>
    <s v="Consumer"/>
    <x v="0"/>
    <x v="3"/>
    <x v="3"/>
    <x v="2"/>
    <s v="FUR-CH-10002880"/>
    <x v="0"/>
    <x v="1"/>
    <x v="162"/>
    <n v="172.18600000000001"/>
    <n v="2"/>
    <n v="-46.736199999999997"/>
    <x v="3"/>
  </r>
  <r>
    <x v="769"/>
    <x v="553"/>
    <d v="2014-07-11T00:00:00"/>
    <x v="1"/>
    <s v="JL-15835"/>
    <s v="John Lee"/>
    <s v="Consumer"/>
    <x v="0"/>
    <x v="3"/>
    <x v="3"/>
    <x v="2"/>
    <s v="FUR-FU-10003039"/>
    <x v="0"/>
    <x v="3"/>
    <x v="102"/>
    <n v="69.007999999999996"/>
    <n v="2"/>
    <n v="12.0764"/>
    <x v="3"/>
  </r>
  <r>
    <x v="770"/>
    <x v="554"/>
    <d v="2016-03-17T00:00:00"/>
    <x v="3"/>
    <s v="GZ-14470"/>
    <s v="Gary Zandusky"/>
    <s v="Consumer"/>
    <x v="0"/>
    <x v="11"/>
    <x v="32"/>
    <x v="2"/>
    <s v="FUR-FU-10004306"/>
    <x v="0"/>
    <x v="3"/>
    <x v="130"/>
    <n v="971.5"/>
    <n v="5"/>
    <n v="252.59"/>
    <x v="9"/>
  </r>
  <r>
    <x v="771"/>
    <x v="191"/>
    <d v="2014-12-27T00:00:00"/>
    <x v="1"/>
    <s v="MH-17455"/>
    <s v="Mark Hamilton"/>
    <s v="Consumer"/>
    <x v="0"/>
    <x v="243"/>
    <x v="15"/>
    <x v="2"/>
    <s v="FUR-FU-10003773"/>
    <x v="0"/>
    <x v="3"/>
    <x v="30"/>
    <n v="190.84800000000001"/>
    <n v="3"/>
    <n v="-21.470400000000001"/>
    <x v="5"/>
  </r>
  <r>
    <x v="772"/>
    <x v="514"/>
    <d v="2017-05-19T00:00:00"/>
    <x v="2"/>
    <s v="TB-21355"/>
    <s v="Todd Boyes"/>
    <s v="Corporate"/>
    <x v="0"/>
    <x v="244"/>
    <x v="24"/>
    <x v="0"/>
    <s v="FUR-BO-10003546"/>
    <x v="0"/>
    <x v="0"/>
    <x v="341"/>
    <n v="302.94"/>
    <n v="3"/>
    <n v="75.734999999999999"/>
    <x v="7"/>
  </r>
  <r>
    <x v="773"/>
    <x v="555"/>
    <d v="2017-03-27T00:00:00"/>
    <x v="1"/>
    <s v="CL-12565"/>
    <s v="Clay Ludtke"/>
    <s v="Consumer"/>
    <x v="0"/>
    <x v="169"/>
    <x v="37"/>
    <x v="3"/>
    <s v="FUR-CH-10004495"/>
    <x v="0"/>
    <x v="1"/>
    <x v="304"/>
    <n v="1805.88"/>
    <n v="6"/>
    <n v="523.70519999999999"/>
    <x v="9"/>
  </r>
  <r>
    <x v="774"/>
    <x v="361"/>
    <d v="2016-11-08T00:00:00"/>
    <x v="0"/>
    <s v="AP-10915"/>
    <s v="Arthur Prichep"/>
    <s v="Consumer"/>
    <x v="0"/>
    <x v="0"/>
    <x v="0"/>
    <x v="0"/>
    <s v="FUR-FU-10002885"/>
    <x v="0"/>
    <x v="3"/>
    <x v="152"/>
    <n v="24.1"/>
    <n v="5"/>
    <n v="9.1579999999999995"/>
    <x v="0"/>
  </r>
  <r>
    <x v="774"/>
    <x v="361"/>
    <d v="2016-11-08T00:00:00"/>
    <x v="0"/>
    <s v="AP-10915"/>
    <s v="Arthur Prichep"/>
    <s v="Consumer"/>
    <x v="0"/>
    <x v="0"/>
    <x v="0"/>
    <x v="0"/>
    <s v="FUR-TA-10003392"/>
    <x v="0"/>
    <x v="2"/>
    <x v="342"/>
    <n v="842.94"/>
    <n v="3"/>
    <n v="160.15860000000001"/>
    <x v="0"/>
  </r>
  <r>
    <x v="775"/>
    <x v="556"/>
    <d v="2015-06-23T00:00:00"/>
    <x v="1"/>
    <s v="LH-17155"/>
    <s v="Logan Haushalter"/>
    <s v="Consumer"/>
    <x v="0"/>
    <x v="2"/>
    <x v="2"/>
    <x v="1"/>
    <s v="FUR-FU-10000732"/>
    <x v="0"/>
    <x v="3"/>
    <x v="113"/>
    <n v="12.56"/>
    <n v="2"/>
    <n v="4.0191999999999997"/>
    <x v="2"/>
  </r>
  <r>
    <x v="776"/>
    <x v="557"/>
    <d v="2016-07-06T00:00:00"/>
    <x v="2"/>
    <s v="AA-10645"/>
    <s v="Anna Andreadi"/>
    <s v="Consumer"/>
    <x v="0"/>
    <x v="28"/>
    <x v="2"/>
    <x v="1"/>
    <s v="FUR-FU-10000221"/>
    <x v="0"/>
    <x v="3"/>
    <x v="111"/>
    <n v="25.4"/>
    <n v="5"/>
    <n v="8.6359999999999992"/>
    <x v="3"/>
  </r>
  <r>
    <x v="776"/>
    <x v="557"/>
    <d v="2016-07-06T00:00:00"/>
    <x v="2"/>
    <s v="AA-10645"/>
    <s v="Anna Andreadi"/>
    <s v="Consumer"/>
    <x v="0"/>
    <x v="28"/>
    <x v="2"/>
    <x v="1"/>
    <s v="FUR-BO-10001811"/>
    <x v="0"/>
    <x v="0"/>
    <x v="157"/>
    <n v="1279.165"/>
    <n v="5"/>
    <n v="225.73500000000001"/>
    <x v="3"/>
  </r>
  <r>
    <x v="777"/>
    <x v="558"/>
    <d v="2015-09-08T00:00:00"/>
    <x v="1"/>
    <s v="AS-10630"/>
    <s v="Ann Steele"/>
    <s v="Home Office"/>
    <x v="0"/>
    <x v="28"/>
    <x v="2"/>
    <x v="1"/>
    <s v="FUR-CH-10002372"/>
    <x v="0"/>
    <x v="1"/>
    <x v="83"/>
    <n v="129.56800000000001"/>
    <n v="2"/>
    <n v="-12.956799999999999"/>
    <x v="4"/>
  </r>
  <r>
    <x v="778"/>
    <x v="559"/>
    <d v="2017-10-01T00:00:00"/>
    <x v="2"/>
    <s v="DS-13030"/>
    <s v="Darrin Sayre"/>
    <s v="Home Office"/>
    <x v="0"/>
    <x v="14"/>
    <x v="12"/>
    <x v="1"/>
    <s v="FUR-FU-10001979"/>
    <x v="0"/>
    <x v="3"/>
    <x v="107"/>
    <n v="32.776000000000003"/>
    <n v="1"/>
    <n v="3.2776000000000001"/>
    <x v="4"/>
  </r>
  <r>
    <x v="779"/>
    <x v="241"/>
    <d v="2017-12-01T00:00:00"/>
    <x v="1"/>
    <s v="KA-16525"/>
    <s v="Kelly Andreada"/>
    <s v="Consumer"/>
    <x v="0"/>
    <x v="13"/>
    <x v="7"/>
    <x v="2"/>
    <s v="FUR-BO-10000780"/>
    <x v="0"/>
    <x v="0"/>
    <x v="258"/>
    <n v="321.56799999999998"/>
    <n v="2"/>
    <n v="-16.078399999999998"/>
    <x v="0"/>
  </r>
  <r>
    <x v="780"/>
    <x v="258"/>
    <d v="2017-05-12T00:00:00"/>
    <x v="1"/>
    <s v="DJ-13510"/>
    <s v="Don Jones"/>
    <s v="Corporate"/>
    <x v="0"/>
    <x v="3"/>
    <x v="3"/>
    <x v="2"/>
    <s v="FUR-CH-10003535"/>
    <x v="0"/>
    <x v="1"/>
    <x v="312"/>
    <n v="128.05799999999999"/>
    <n v="3"/>
    <n v="-23.7822"/>
    <x v="7"/>
  </r>
  <r>
    <x v="781"/>
    <x v="560"/>
    <d v="2017-09-29T00:00:00"/>
    <x v="3"/>
    <s v="MG-17680"/>
    <s v="Maureen Gastineau"/>
    <s v="Home Office"/>
    <x v="0"/>
    <x v="245"/>
    <x v="15"/>
    <x v="2"/>
    <s v="FUR-CH-10003774"/>
    <x v="0"/>
    <x v="1"/>
    <x v="234"/>
    <n v="63.686"/>
    <n v="1"/>
    <n v="-15.4666"/>
    <x v="4"/>
  </r>
  <r>
    <x v="781"/>
    <x v="560"/>
    <d v="2017-09-29T00:00:00"/>
    <x v="3"/>
    <s v="MG-17680"/>
    <s v="Maureen Gastineau"/>
    <s v="Home Office"/>
    <x v="0"/>
    <x v="245"/>
    <x v="15"/>
    <x v="2"/>
    <s v="FUR-TA-10004442"/>
    <x v="0"/>
    <x v="2"/>
    <x v="343"/>
    <n v="344.22"/>
    <n v="2"/>
    <n v="-189.321"/>
    <x v="4"/>
  </r>
  <r>
    <x v="781"/>
    <x v="560"/>
    <d v="2017-09-29T00:00:00"/>
    <x v="3"/>
    <s v="MG-17680"/>
    <s v="Maureen Gastineau"/>
    <s v="Home Office"/>
    <x v="0"/>
    <x v="245"/>
    <x v="15"/>
    <x v="2"/>
    <s v="FUR-FU-10004586"/>
    <x v="0"/>
    <x v="3"/>
    <x v="303"/>
    <n v="21.248000000000001"/>
    <n v="4"/>
    <n v="7.4367999999999999"/>
    <x v="4"/>
  </r>
  <r>
    <x v="782"/>
    <x v="546"/>
    <d v="2017-10-22T00:00:00"/>
    <x v="3"/>
    <s v="BD-11620"/>
    <s v="Brian DeCherney"/>
    <s v="Consumer"/>
    <x v="0"/>
    <x v="246"/>
    <x v="37"/>
    <x v="3"/>
    <s v="FUR-TA-10003748"/>
    <x v="0"/>
    <x v="2"/>
    <x v="40"/>
    <n v="248.98"/>
    <n v="2"/>
    <n v="54.775599999999997"/>
    <x v="1"/>
  </r>
  <r>
    <x v="783"/>
    <x v="561"/>
    <d v="2017-08-21T00:00:00"/>
    <x v="1"/>
    <s v="JM-15250"/>
    <s v="Janet Martin"/>
    <s v="Consumer"/>
    <x v="0"/>
    <x v="2"/>
    <x v="2"/>
    <x v="1"/>
    <s v="FUR-TA-10001095"/>
    <x v="0"/>
    <x v="2"/>
    <x v="129"/>
    <n v="418.29599999999999"/>
    <n v="3"/>
    <n v="5.2286999999999999"/>
    <x v="10"/>
  </r>
  <r>
    <x v="784"/>
    <x v="280"/>
    <d v="2014-12-03T00:00:00"/>
    <x v="0"/>
    <s v="JK-15730"/>
    <s v="Joe Kamberova"/>
    <s v="Consumer"/>
    <x v="0"/>
    <x v="29"/>
    <x v="15"/>
    <x v="2"/>
    <s v="FUR-FU-10000221"/>
    <x v="0"/>
    <x v="3"/>
    <x v="111"/>
    <n v="8.1280000000000001"/>
    <n v="2"/>
    <n v="1.4224000000000001"/>
    <x v="5"/>
  </r>
  <r>
    <x v="784"/>
    <x v="280"/>
    <d v="2014-12-03T00:00:00"/>
    <x v="0"/>
    <s v="JK-15730"/>
    <s v="Joe Kamberova"/>
    <s v="Consumer"/>
    <x v="0"/>
    <x v="29"/>
    <x v="15"/>
    <x v="2"/>
    <s v="FUR-CH-10000015"/>
    <x v="0"/>
    <x v="1"/>
    <x v="79"/>
    <n v="909.72"/>
    <n v="6"/>
    <n v="-51.984000000000002"/>
    <x v="5"/>
  </r>
  <r>
    <x v="785"/>
    <x v="562"/>
    <d v="2017-06-23T00:00:00"/>
    <x v="1"/>
    <s v="CC-12670"/>
    <s v="Craig Carreira"/>
    <s v="Consumer"/>
    <x v="0"/>
    <x v="2"/>
    <x v="2"/>
    <x v="1"/>
    <s v="FUR-BO-10004015"/>
    <x v="0"/>
    <x v="0"/>
    <x v="118"/>
    <n v="917.92349999999999"/>
    <n v="9"/>
    <n v="75.593699999999998"/>
    <x v="2"/>
  </r>
  <r>
    <x v="786"/>
    <x v="109"/>
    <d v="2014-12-29T00:00:00"/>
    <x v="1"/>
    <s v="BF-11170"/>
    <s v="Ben Ferrer"/>
    <s v="Home Office"/>
    <x v="0"/>
    <x v="2"/>
    <x v="2"/>
    <x v="1"/>
    <s v="FUR-FU-10002554"/>
    <x v="0"/>
    <x v="3"/>
    <x v="185"/>
    <n v="23.99"/>
    <n v="1"/>
    <n v="5.5176999999999996"/>
    <x v="5"/>
  </r>
  <r>
    <x v="787"/>
    <x v="563"/>
    <d v="2017-05-29T00:00:00"/>
    <x v="1"/>
    <s v="VS-21820"/>
    <s v="Vivek Sundaresam"/>
    <s v="Consumer"/>
    <x v="0"/>
    <x v="2"/>
    <x v="2"/>
    <x v="1"/>
    <s v="FUR-TA-10001520"/>
    <x v="0"/>
    <x v="2"/>
    <x v="146"/>
    <n v="171.28800000000001"/>
    <n v="3"/>
    <n v="-6.4233000000000002"/>
    <x v="7"/>
  </r>
  <r>
    <x v="788"/>
    <x v="480"/>
    <d v="2016-11-14T00:00:00"/>
    <x v="1"/>
    <s v="KM-16225"/>
    <s v="Kalyca Meade"/>
    <s v="Corporate"/>
    <x v="0"/>
    <x v="76"/>
    <x v="23"/>
    <x v="3"/>
    <s v="FUR-FU-10001085"/>
    <x v="0"/>
    <x v="3"/>
    <x v="328"/>
    <n v="37.299999999999997"/>
    <n v="2"/>
    <n v="17.158000000000001"/>
    <x v="0"/>
  </r>
  <r>
    <x v="789"/>
    <x v="78"/>
    <d v="2016-11-01T00:00:00"/>
    <x v="0"/>
    <s v="BW-11200"/>
    <s v="Ben Wallace"/>
    <s v="Consumer"/>
    <x v="0"/>
    <x v="247"/>
    <x v="25"/>
    <x v="0"/>
    <s v="FUR-CH-10000847"/>
    <x v="0"/>
    <x v="1"/>
    <x v="199"/>
    <n v="290.98"/>
    <n v="1"/>
    <n v="75.654799999999994"/>
    <x v="1"/>
  </r>
  <r>
    <x v="790"/>
    <x v="564"/>
    <d v="2014-02-26T00:00:00"/>
    <x v="1"/>
    <s v="LC-16930"/>
    <s v="Linda Cazamias"/>
    <s v="Corporate"/>
    <x v="0"/>
    <x v="52"/>
    <x v="6"/>
    <x v="3"/>
    <s v="FUR-FU-10000221"/>
    <x v="0"/>
    <x v="3"/>
    <x v="111"/>
    <n v="20.32"/>
    <n v="4"/>
    <n v="6.9088000000000003"/>
    <x v="11"/>
  </r>
  <r>
    <x v="791"/>
    <x v="565"/>
    <d v="2014-11-06T00:00:00"/>
    <x v="1"/>
    <s v="RD-19720"/>
    <s v="Roger Demir"/>
    <s v="Consumer"/>
    <x v="0"/>
    <x v="13"/>
    <x v="7"/>
    <x v="2"/>
    <s v="FUR-FU-10004018"/>
    <x v="0"/>
    <x v="3"/>
    <x v="188"/>
    <n v="89.34"/>
    <n v="6"/>
    <n v="24.1218"/>
    <x v="0"/>
  </r>
  <r>
    <x v="792"/>
    <x v="357"/>
    <d v="2017-07-23T00:00:00"/>
    <x v="1"/>
    <s v="BE-11335"/>
    <s v="Bill Eplett"/>
    <s v="Home Office"/>
    <x v="0"/>
    <x v="248"/>
    <x v="7"/>
    <x v="2"/>
    <s v="FUR-FU-10004848"/>
    <x v="0"/>
    <x v="3"/>
    <x v="257"/>
    <n v="39.08"/>
    <n v="4"/>
    <n v="14.4596"/>
    <x v="3"/>
  </r>
  <r>
    <x v="793"/>
    <x v="566"/>
    <d v="2016-11-17T00:00:00"/>
    <x v="2"/>
    <s v="MB-17305"/>
    <s v="Maria Bertelson"/>
    <s v="Consumer"/>
    <x v="0"/>
    <x v="13"/>
    <x v="7"/>
    <x v="2"/>
    <s v="FUR-CH-10002335"/>
    <x v="0"/>
    <x v="1"/>
    <x v="133"/>
    <n v="408.00599999999997"/>
    <n v="2"/>
    <n v="72.534400000000005"/>
    <x v="0"/>
  </r>
  <r>
    <x v="794"/>
    <x v="567"/>
    <d v="2014-10-10T00:00:00"/>
    <x v="3"/>
    <s v="TN-21040"/>
    <s v="Tanja Norvell"/>
    <s v="Home Office"/>
    <x v="0"/>
    <x v="249"/>
    <x v="2"/>
    <x v="1"/>
    <s v="FUR-CH-10002774"/>
    <x v="0"/>
    <x v="1"/>
    <x v="5"/>
    <n v="122.352"/>
    <n v="3"/>
    <n v="13.7646"/>
    <x v="1"/>
  </r>
  <r>
    <x v="795"/>
    <x v="220"/>
    <d v="2017-07-12T00:00:00"/>
    <x v="1"/>
    <s v="VF-21715"/>
    <s v="Vicky Freymann"/>
    <s v="Home Office"/>
    <x v="0"/>
    <x v="15"/>
    <x v="13"/>
    <x v="1"/>
    <s v="FUR-FU-10003142"/>
    <x v="0"/>
    <x v="3"/>
    <x v="238"/>
    <n v="15.84"/>
    <n v="3"/>
    <n v="4.9104000000000001"/>
    <x v="3"/>
  </r>
  <r>
    <x v="796"/>
    <x v="568"/>
    <d v="2015-03-02T00:00:00"/>
    <x v="1"/>
    <s v="ES-14080"/>
    <s v="Erin Smith"/>
    <s v="Corporate"/>
    <x v="0"/>
    <x v="134"/>
    <x v="38"/>
    <x v="2"/>
    <s v="FUR-TA-10004152"/>
    <x v="0"/>
    <x v="2"/>
    <x v="308"/>
    <n v="493.92"/>
    <n v="7"/>
    <n v="-28.224"/>
    <x v="11"/>
  </r>
  <r>
    <x v="797"/>
    <x v="569"/>
    <d v="2015-07-17T00:00:00"/>
    <x v="0"/>
    <s v="RL-19615"/>
    <s v="Rob Lucas"/>
    <s v="Consumer"/>
    <x v="0"/>
    <x v="9"/>
    <x v="8"/>
    <x v="3"/>
    <s v="FUR-CH-10004477"/>
    <x v="0"/>
    <x v="1"/>
    <x v="42"/>
    <n v="383.60700000000003"/>
    <n v="9"/>
    <n v="-5.4801000000000002"/>
    <x v="3"/>
  </r>
  <r>
    <x v="797"/>
    <x v="569"/>
    <d v="2015-07-17T00:00:00"/>
    <x v="0"/>
    <s v="RL-19615"/>
    <s v="Rob Lucas"/>
    <s v="Consumer"/>
    <x v="0"/>
    <x v="9"/>
    <x v="8"/>
    <x v="3"/>
    <s v="FUR-FU-10001861"/>
    <x v="0"/>
    <x v="3"/>
    <x v="57"/>
    <n v="7.76"/>
    <n v="1"/>
    <n v="-2.1339999999999999"/>
    <x v="3"/>
  </r>
  <r>
    <x v="798"/>
    <x v="570"/>
    <d v="2014-07-17T00:00:00"/>
    <x v="1"/>
    <s v="GK-14620"/>
    <s v="Grace Kelly"/>
    <s v="Corporate"/>
    <x v="0"/>
    <x v="2"/>
    <x v="2"/>
    <x v="1"/>
    <s v="FUR-TA-10002855"/>
    <x v="0"/>
    <x v="2"/>
    <x v="235"/>
    <n v="351.21600000000001"/>
    <n v="3"/>
    <n v="4.3902000000000001"/>
    <x v="3"/>
  </r>
  <r>
    <x v="799"/>
    <x v="421"/>
    <d v="2015-01-02T00:00:00"/>
    <x v="1"/>
    <s v="JF-15490"/>
    <s v="Jeremy Farry"/>
    <s v="Consumer"/>
    <x v="0"/>
    <x v="28"/>
    <x v="2"/>
    <x v="1"/>
    <s v="FUR-CH-10004886"/>
    <x v="0"/>
    <x v="1"/>
    <x v="77"/>
    <n v="230.28"/>
    <n v="3"/>
    <n v="23.027999999999999"/>
    <x v="5"/>
  </r>
  <r>
    <x v="800"/>
    <x v="571"/>
    <d v="2014-05-08T00:00:00"/>
    <x v="2"/>
    <s v="EB-13870"/>
    <s v="Emily Burns"/>
    <s v="Consumer"/>
    <x v="0"/>
    <x v="21"/>
    <x v="5"/>
    <x v="3"/>
    <s v="FUR-CH-10001146"/>
    <x v="0"/>
    <x v="1"/>
    <x v="15"/>
    <n v="127.869"/>
    <n v="3"/>
    <n v="-9.1334999999999997"/>
    <x v="7"/>
  </r>
  <r>
    <x v="801"/>
    <x v="463"/>
    <d v="2015-12-09T00:00:00"/>
    <x v="0"/>
    <s v="HM-14860"/>
    <s v="Harry Marie"/>
    <s v="Corporate"/>
    <x v="0"/>
    <x v="2"/>
    <x v="2"/>
    <x v="1"/>
    <s v="FUR-FU-10002111"/>
    <x v="0"/>
    <x v="3"/>
    <x v="344"/>
    <n v="36.4"/>
    <n v="5"/>
    <n v="13.832000000000001"/>
    <x v="5"/>
  </r>
  <r>
    <x v="802"/>
    <x v="572"/>
    <d v="2017-09-30T00:00:00"/>
    <x v="1"/>
    <s v="SJ-20125"/>
    <s v="Sanjit Jacobs"/>
    <s v="Home Office"/>
    <x v="0"/>
    <x v="232"/>
    <x v="1"/>
    <x v="0"/>
    <s v="FUR-CH-10003298"/>
    <x v="0"/>
    <x v="1"/>
    <x v="322"/>
    <n v="419.13600000000002"/>
    <n v="4"/>
    <n v="-57.6312"/>
    <x v="4"/>
  </r>
  <r>
    <x v="803"/>
    <x v="573"/>
    <d v="2014-04-21T00:00:00"/>
    <x v="0"/>
    <s v="NF-18595"/>
    <s v="Nicole Fjeld"/>
    <s v="Home Office"/>
    <x v="0"/>
    <x v="124"/>
    <x v="2"/>
    <x v="1"/>
    <s v="FUR-FU-10004017"/>
    <x v="0"/>
    <x v="3"/>
    <x v="323"/>
    <n v="76.14"/>
    <n v="3"/>
    <n v="26.649000000000001"/>
    <x v="6"/>
  </r>
  <r>
    <x v="804"/>
    <x v="574"/>
    <d v="2016-12-18T00:00:00"/>
    <x v="1"/>
    <s v="MG-17650"/>
    <s v="Matthew Grinstein"/>
    <s v="Home Office"/>
    <x v="0"/>
    <x v="38"/>
    <x v="17"/>
    <x v="3"/>
    <s v="FUR-FU-10003724"/>
    <x v="0"/>
    <x v="3"/>
    <x v="181"/>
    <n v="33.479999999999997"/>
    <n v="4"/>
    <n v="8.7048000000000005"/>
    <x v="5"/>
  </r>
  <r>
    <x v="805"/>
    <x v="107"/>
    <d v="2016-09-22T00:00:00"/>
    <x v="2"/>
    <s v="AP-10720"/>
    <s v="Anne Pryor"/>
    <s v="Home Office"/>
    <x v="0"/>
    <x v="3"/>
    <x v="3"/>
    <x v="2"/>
    <s v="FUR-FU-10003424"/>
    <x v="0"/>
    <x v="3"/>
    <x v="345"/>
    <n v="25.632000000000001"/>
    <n v="3"/>
    <n v="3.8448000000000002"/>
    <x v="4"/>
  </r>
  <r>
    <x v="806"/>
    <x v="575"/>
    <d v="2017-11-04T00:00:00"/>
    <x v="0"/>
    <s v="NL-18310"/>
    <s v="Nancy Lomonaco"/>
    <s v="Home Office"/>
    <x v="0"/>
    <x v="250"/>
    <x v="2"/>
    <x v="1"/>
    <s v="FUR-FU-10002508"/>
    <x v="0"/>
    <x v="3"/>
    <x v="346"/>
    <n v="25.02"/>
    <n v="3"/>
    <n v="10.5084"/>
    <x v="0"/>
  </r>
  <r>
    <x v="807"/>
    <x v="576"/>
    <d v="2016-12-31T00:00:00"/>
    <x v="1"/>
    <s v="MC-18130"/>
    <s v="Mike Caudle"/>
    <s v="Corporate"/>
    <x v="0"/>
    <x v="2"/>
    <x v="2"/>
    <x v="1"/>
    <s v="FUR-CH-10003535"/>
    <x v="0"/>
    <x v="1"/>
    <x v="312"/>
    <n v="146.352"/>
    <n v="3"/>
    <n v="-5.4882"/>
    <x v="5"/>
  </r>
  <r>
    <x v="807"/>
    <x v="576"/>
    <d v="2016-12-31T00:00:00"/>
    <x v="1"/>
    <s v="MC-18130"/>
    <s v="Mike Caudle"/>
    <s v="Corporate"/>
    <x v="0"/>
    <x v="2"/>
    <x v="2"/>
    <x v="1"/>
    <s v="FUR-TA-10003473"/>
    <x v="0"/>
    <x v="2"/>
    <x v="44"/>
    <n v="902.71199999999999"/>
    <n v="3"/>
    <n v="33.851700000000001"/>
    <x v="5"/>
  </r>
  <r>
    <x v="808"/>
    <x v="370"/>
    <d v="2015-07-20T00:00:00"/>
    <x v="1"/>
    <s v="MG-17890"/>
    <s v="Michael Granlund"/>
    <s v="Home Office"/>
    <x v="0"/>
    <x v="237"/>
    <x v="32"/>
    <x v="2"/>
    <s v="FUR-CH-10004853"/>
    <x v="0"/>
    <x v="1"/>
    <x v="110"/>
    <n v="150.97999999999999"/>
    <n v="1"/>
    <n v="43.784199999999998"/>
    <x v="3"/>
  </r>
  <r>
    <x v="809"/>
    <x v="17"/>
    <d v="2017-11-14T00:00:00"/>
    <x v="1"/>
    <s v="JE-15745"/>
    <s v="Joel Eaton"/>
    <s v="Consumer"/>
    <x v="0"/>
    <x v="64"/>
    <x v="2"/>
    <x v="1"/>
    <s v="FUR-FU-10000023"/>
    <x v="0"/>
    <x v="3"/>
    <x v="70"/>
    <n v="47.12"/>
    <n v="8"/>
    <n v="20.732800000000001"/>
    <x v="0"/>
  </r>
  <r>
    <x v="810"/>
    <x v="231"/>
    <d v="2015-09-26T00:00:00"/>
    <x v="1"/>
    <s v="TH-21550"/>
    <s v="Tracy Hopkins"/>
    <s v="Home Office"/>
    <x v="0"/>
    <x v="114"/>
    <x v="20"/>
    <x v="2"/>
    <s v="FUR-CH-10000785"/>
    <x v="0"/>
    <x v="1"/>
    <x v="69"/>
    <n v="542.94000000000005"/>
    <n v="3"/>
    <n v="141.1644"/>
    <x v="4"/>
  </r>
  <r>
    <x v="811"/>
    <x v="198"/>
    <d v="2017-09-14T00:00:00"/>
    <x v="1"/>
    <s v="SO-20335"/>
    <s v="Sean O'Donnell"/>
    <s v="Consumer"/>
    <x v="0"/>
    <x v="11"/>
    <x v="9"/>
    <x v="0"/>
    <s v="FUR-FU-10000023"/>
    <x v="0"/>
    <x v="3"/>
    <x v="70"/>
    <n v="14.135999999999999"/>
    <n v="3"/>
    <n v="4.2408000000000001"/>
    <x v="4"/>
  </r>
  <r>
    <x v="812"/>
    <x v="233"/>
    <d v="2015-10-15T00:00:00"/>
    <x v="3"/>
    <s v="GA-14725"/>
    <s v="Guy Armstrong"/>
    <s v="Consumer"/>
    <x v="0"/>
    <x v="189"/>
    <x v="17"/>
    <x v="3"/>
    <s v="FUR-FU-10000719"/>
    <x v="0"/>
    <x v="3"/>
    <x v="347"/>
    <n v="17.14"/>
    <n v="2"/>
    <n v="6.1703999999999999"/>
    <x v="1"/>
  </r>
  <r>
    <x v="813"/>
    <x v="309"/>
    <d v="2017-08-08T00:00:00"/>
    <x v="0"/>
    <s v="BD-11725"/>
    <s v="Bruce Degenhardt"/>
    <s v="Consumer"/>
    <x v="0"/>
    <x v="28"/>
    <x v="2"/>
    <x v="1"/>
    <s v="FUR-FU-10000723"/>
    <x v="0"/>
    <x v="3"/>
    <x v="100"/>
    <n v="123.96"/>
    <n v="3"/>
    <n v="11.1564"/>
    <x v="10"/>
  </r>
  <r>
    <x v="814"/>
    <x v="130"/>
    <d v="2015-08-26T00:00:00"/>
    <x v="1"/>
    <s v="DS-13180"/>
    <s v="David Smith"/>
    <s v="Corporate"/>
    <x v="0"/>
    <x v="28"/>
    <x v="2"/>
    <x v="1"/>
    <s v="FUR-BO-10003893"/>
    <x v="0"/>
    <x v="0"/>
    <x v="348"/>
    <n v="586.39800000000002"/>
    <n v="6"/>
    <n v="34.494"/>
    <x v="10"/>
  </r>
  <r>
    <x v="815"/>
    <x v="546"/>
    <d v="2017-10-24T00:00:00"/>
    <x v="0"/>
    <s v="HA-14905"/>
    <s v="Helen Abelman"/>
    <s v="Consumer"/>
    <x v="0"/>
    <x v="200"/>
    <x v="12"/>
    <x v="1"/>
    <s v="FUR-CH-10000749"/>
    <x v="0"/>
    <x v="1"/>
    <x v="349"/>
    <n v="579.13599999999997"/>
    <n v="4"/>
    <n v="-28.956800000000001"/>
    <x v="1"/>
  </r>
  <r>
    <x v="816"/>
    <x v="577"/>
    <d v="2016-08-16T00:00:00"/>
    <x v="1"/>
    <s v="BC-11125"/>
    <s v="Becky Castell"/>
    <s v="Home Office"/>
    <x v="0"/>
    <x v="13"/>
    <x v="7"/>
    <x v="2"/>
    <s v="FUR-CH-10000225"/>
    <x v="0"/>
    <x v="1"/>
    <x v="85"/>
    <n v="145.76400000000001"/>
    <n v="2"/>
    <n v="-8.0980000000000008"/>
    <x v="10"/>
  </r>
  <r>
    <x v="817"/>
    <x v="578"/>
    <d v="2016-05-01T00:00:00"/>
    <x v="1"/>
    <s v="DB-13360"/>
    <s v="Dennis Bolton"/>
    <s v="Home Office"/>
    <x v="0"/>
    <x v="13"/>
    <x v="7"/>
    <x v="2"/>
    <s v="FUR-CH-10004983"/>
    <x v="0"/>
    <x v="1"/>
    <x v="319"/>
    <n v="434.64600000000002"/>
    <n v="3"/>
    <n v="62.782200000000003"/>
    <x v="6"/>
  </r>
  <r>
    <x v="818"/>
    <x v="496"/>
    <d v="2015-05-07T00:00:00"/>
    <x v="1"/>
    <s v="SV-20785"/>
    <s v="Stewart Visinsky"/>
    <s v="Consumer"/>
    <x v="0"/>
    <x v="3"/>
    <x v="3"/>
    <x v="2"/>
    <s v="FUR-CH-10002965"/>
    <x v="0"/>
    <x v="1"/>
    <x v="50"/>
    <n v="844.11599999999999"/>
    <n v="6"/>
    <n v="-36.176400000000001"/>
    <x v="7"/>
  </r>
  <r>
    <x v="819"/>
    <x v="579"/>
    <d v="2016-01-17T00:00:00"/>
    <x v="1"/>
    <s v="KB-16585"/>
    <s v="Ken Black"/>
    <s v="Corporate"/>
    <x v="0"/>
    <x v="15"/>
    <x v="13"/>
    <x v="1"/>
    <s v="FUR-FU-10000076"/>
    <x v="0"/>
    <x v="3"/>
    <x v="175"/>
    <n v="79.92"/>
    <n v="4"/>
    <n v="34.365600000000001"/>
    <x v="8"/>
  </r>
  <r>
    <x v="820"/>
    <x v="580"/>
    <d v="2017-05-11T00:00:00"/>
    <x v="1"/>
    <s v="DB-13555"/>
    <s v="Dorothy Badders"/>
    <s v="Corporate"/>
    <x v="0"/>
    <x v="50"/>
    <x v="5"/>
    <x v="3"/>
    <s v="FUR-BO-10001601"/>
    <x v="0"/>
    <x v="0"/>
    <x v="89"/>
    <n v="623.46479999999997"/>
    <n v="7"/>
    <n v="-119.1918"/>
    <x v="7"/>
  </r>
  <r>
    <x v="821"/>
    <x v="581"/>
    <d v="2016-08-06T00:00:00"/>
    <x v="1"/>
    <s v="KL-16645"/>
    <s v="Ken Lonsdale"/>
    <s v="Consumer"/>
    <x v="0"/>
    <x v="25"/>
    <x v="17"/>
    <x v="3"/>
    <s v="FUR-FU-10002918"/>
    <x v="0"/>
    <x v="3"/>
    <x v="56"/>
    <n v="272.94"/>
    <n v="3"/>
    <n v="30.023399999999999"/>
    <x v="3"/>
  </r>
  <r>
    <x v="822"/>
    <x v="582"/>
    <d v="2017-03-29T00:00:00"/>
    <x v="0"/>
    <s v="AG-10270"/>
    <s v="Alejandro Grove"/>
    <s v="Consumer"/>
    <x v="0"/>
    <x v="3"/>
    <x v="3"/>
    <x v="2"/>
    <s v="FUR-FU-10003832"/>
    <x v="0"/>
    <x v="3"/>
    <x v="282"/>
    <n v="15.007999999999999"/>
    <n v="2"/>
    <n v="1.5007999999999999"/>
    <x v="9"/>
  </r>
  <r>
    <x v="823"/>
    <x v="583"/>
    <d v="2016-09-03T00:00:00"/>
    <x v="1"/>
    <s v="GB-14530"/>
    <s v="George Bell"/>
    <s v="Corporate"/>
    <x v="0"/>
    <x v="3"/>
    <x v="3"/>
    <x v="2"/>
    <s v="FUR-TA-10004152"/>
    <x v="0"/>
    <x v="2"/>
    <x v="308"/>
    <n v="241.92"/>
    <n v="4"/>
    <n v="-56.448"/>
    <x v="10"/>
  </r>
  <r>
    <x v="823"/>
    <x v="583"/>
    <d v="2016-09-03T00:00:00"/>
    <x v="1"/>
    <s v="GB-14530"/>
    <s v="George Bell"/>
    <s v="Corporate"/>
    <x v="0"/>
    <x v="3"/>
    <x v="3"/>
    <x v="2"/>
    <s v="FUR-BO-10002853"/>
    <x v="0"/>
    <x v="0"/>
    <x v="335"/>
    <n v="163.88"/>
    <n v="4"/>
    <n v="-81.94"/>
    <x v="10"/>
  </r>
  <r>
    <x v="824"/>
    <x v="191"/>
    <d v="2014-12-22T00:00:00"/>
    <x v="2"/>
    <s v="CT-11995"/>
    <s v="Carol Triggs"/>
    <s v="Consumer"/>
    <x v="0"/>
    <x v="104"/>
    <x v="22"/>
    <x v="1"/>
    <s v="FUR-FU-10001876"/>
    <x v="0"/>
    <x v="3"/>
    <x v="279"/>
    <n v="51.968000000000004"/>
    <n v="2"/>
    <n v="10.393599999999999"/>
    <x v="5"/>
  </r>
  <r>
    <x v="824"/>
    <x v="191"/>
    <d v="2014-12-22T00:00:00"/>
    <x v="2"/>
    <s v="CT-11995"/>
    <s v="Carol Triggs"/>
    <s v="Consumer"/>
    <x v="0"/>
    <x v="104"/>
    <x v="22"/>
    <x v="1"/>
    <s v="FUR-CH-10004860"/>
    <x v="0"/>
    <x v="1"/>
    <x v="41"/>
    <n v="242.352"/>
    <n v="3"/>
    <n v="-42.4116"/>
    <x v="5"/>
  </r>
  <r>
    <x v="825"/>
    <x v="584"/>
    <d v="2015-12-17T00:00:00"/>
    <x v="3"/>
    <s v="JL-15835"/>
    <s v="John Lee"/>
    <s v="Consumer"/>
    <x v="0"/>
    <x v="25"/>
    <x v="17"/>
    <x v="3"/>
    <s v="FUR-CH-10003846"/>
    <x v="0"/>
    <x v="1"/>
    <x v="186"/>
    <n v="302.94"/>
    <n v="3"/>
    <n v="48.470399999999998"/>
    <x v="5"/>
  </r>
  <r>
    <x v="825"/>
    <x v="584"/>
    <d v="2015-12-17T00:00:00"/>
    <x v="3"/>
    <s v="JL-15835"/>
    <s v="John Lee"/>
    <s v="Consumer"/>
    <x v="0"/>
    <x v="25"/>
    <x v="17"/>
    <x v="3"/>
    <s v="FUR-CH-10004875"/>
    <x v="0"/>
    <x v="1"/>
    <x v="290"/>
    <n v="142.36000000000001"/>
    <n v="2"/>
    <n v="38.437199999999997"/>
    <x v="5"/>
  </r>
  <r>
    <x v="825"/>
    <x v="584"/>
    <d v="2015-12-17T00:00:00"/>
    <x v="3"/>
    <s v="JL-15835"/>
    <s v="John Lee"/>
    <s v="Consumer"/>
    <x v="0"/>
    <x v="25"/>
    <x v="17"/>
    <x v="3"/>
    <s v="FUR-CH-10003817"/>
    <x v="0"/>
    <x v="1"/>
    <x v="33"/>
    <n v="546.66"/>
    <n v="9"/>
    <n v="136.66499999999999"/>
    <x v="5"/>
  </r>
  <r>
    <x v="825"/>
    <x v="584"/>
    <d v="2015-12-17T00:00:00"/>
    <x v="3"/>
    <s v="JL-15835"/>
    <s v="John Lee"/>
    <s v="Consumer"/>
    <x v="0"/>
    <x v="25"/>
    <x v="17"/>
    <x v="3"/>
    <s v="FUR-FU-10002116"/>
    <x v="0"/>
    <x v="3"/>
    <x v="286"/>
    <n v="212.13"/>
    <n v="3"/>
    <n v="14.8491"/>
    <x v="5"/>
  </r>
  <r>
    <x v="826"/>
    <x v="585"/>
    <d v="2017-05-17T00:00:00"/>
    <x v="1"/>
    <s v="JK-16120"/>
    <s v="Julie Kriz"/>
    <s v="Home Office"/>
    <x v="0"/>
    <x v="198"/>
    <x v="5"/>
    <x v="3"/>
    <s v="FUR-FU-10001967"/>
    <x v="0"/>
    <x v="3"/>
    <x v="65"/>
    <n v="7.9960000000000004"/>
    <n v="1"/>
    <n v="-6.9965000000000002"/>
    <x v="7"/>
  </r>
  <r>
    <x v="827"/>
    <x v="586"/>
    <d v="2016-05-18T00:00:00"/>
    <x v="2"/>
    <s v="AG-10900"/>
    <s v="Arthur Gainer"/>
    <s v="Consumer"/>
    <x v="0"/>
    <x v="251"/>
    <x v="19"/>
    <x v="2"/>
    <s v="FUR-FU-10003975"/>
    <x v="0"/>
    <x v="3"/>
    <x v="156"/>
    <n v="173.24"/>
    <n v="4"/>
    <n v="17.324000000000002"/>
    <x v="7"/>
  </r>
  <r>
    <x v="828"/>
    <x v="439"/>
    <d v="2014-12-21T00:00:00"/>
    <x v="1"/>
    <s v="EJ-13720"/>
    <s v="Ed Jacobs"/>
    <s v="Consumer"/>
    <x v="0"/>
    <x v="156"/>
    <x v="5"/>
    <x v="3"/>
    <s v="FUR-FU-10002116"/>
    <x v="0"/>
    <x v="3"/>
    <x v="286"/>
    <n v="56.567999999999998"/>
    <n v="2"/>
    <n v="-74.952600000000004"/>
    <x v="5"/>
  </r>
  <r>
    <x v="829"/>
    <x v="587"/>
    <d v="2017-12-07T00:00:00"/>
    <x v="0"/>
    <s v="CM-12655"/>
    <s v="Corinna Mitchell"/>
    <s v="Home Office"/>
    <x v="0"/>
    <x v="15"/>
    <x v="13"/>
    <x v="1"/>
    <s v="FUR-TA-10002958"/>
    <x v="0"/>
    <x v="2"/>
    <x v="192"/>
    <n v="521.96"/>
    <n v="2"/>
    <n v="88.733199999999997"/>
    <x v="5"/>
  </r>
  <r>
    <x v="830"/>
    <x v="588"/>
    <d v="2014-06-11T00:00:00"/>
    <x v="0"/>
    <s v="NR-18550"/>
    <s v="Nick Radford"/>
    <s v="Consumer"/>
    <x v="0"/>
    <x v="14"/>
    <x v="8"/>
    <x v="3"/>
    <s v="FUR-TA-10002041"/>
    <x v="0"/>
    <x v="2"/>
    <x v="74"/>
    <n v="268.935"/>
    <n v="3"/>
    <n v="-209.76929999999999"/>
    <x v="2"/>
  </r>
  <r>
    <x v="831"/>
    <x v="306"/>
    <d v="2014-11-29T00:00:00"/>
    <x v="0"/>
    <s v="MP-18175"/>
    <s v="Mike Pelletier"/>
    <s v="Home Office"/>
    <x v="0"/>
    <x v="13"/>
    <x v="7"/>
    <x v="2"/>
    <s v="FUR-BO-10003159"/>
    <x v="0"/>
    <x v="0"/>
    <x v="214"/>
    <n v="275.952"/>
    <n v="3"/>
    <n v="-37.943399999999997"/>
    <x v="0"/>
  </r>
  <r>
    <x v="832"/>
    <x v="165"/>
    <d v="2015-03-31T00:00:00"/>
    <x v="0"/>
    <s v="RB-19435"/>
    <s v="Richard Bierner"/>
    <s v="Consumer"/>
    <x v="0"/>
    <x v="53"/>
    <x v="2"/>
    <x v="1"/>
    <s v="FUR-FU-10004586"/>
    <x v="0"/>
    <x v="3"/>
    <x v="303"/>
    <n v="19.920000000000002"/>
    <n v="3"/>
    <n v="9.5616000000000003"/>
    <x v="9"/>
  </r>
  <r>
    <x v="833"/>
    <x v="589"/>
    <d v="2016-04-12T00:00:00"/>
    <x v="1"/>
    <s v="Dl-13600"/>
    <s v="Dorris liebe"/>
    <s v="Corporate"/>
    <x v="0"/>
    <x v="13"/>
    <x v="7"/>
    <x v="2"/>
    <s v="FUR-CH-10000454"/>
    <x v="0"/>
    <x v="1"/>
    <x v="1"/>
    <n v="658.74599999999998"/>
    <n v="3"/>
    <n v="146.38800000000001"/>
    <x v="6"/>
  </r>
  <r>
    <x v="834"/>
    <x v="590"/>
    <d v="2015-02-24T00:00:00"/>
    <x v="1"/>
    <s v="GT-14755"/>
    <s v="Guy Thornton"/>
    <s v="Consumer"/>
    <x v="0"/>
    <x v="62"/>
    <x v="2"/>
    <x v="1"/>
    <s v="FUR-TA-10001676"/>
    <x v="0"/>
    <x v="2"/>
    <x v="193"/>
    <n v="35.543999999999997"/>
    <n v="1"/>
    <n v="-0.88859999999999995"/>
    <x v="11"/>
  </r>
  <r>
    <x v="835"/>
    <x v="492"/>
    <d v="2016-03-03T00:00:00"/>
    <x v="3"/>
    <s v="TS-21160"/>
    <s v="Theresa Swint"/>
    <s v="Corporate"/>
    <x v="0"/>
    <x v="28"/>
    <x v="2"/>
    <x v="1"/>
    <s v="FUR-FU-10000672"/>
    <x v="0"/>
    <x v="3"/>
    <x v="309"/>
    <n v="35.28"/>
    <n v="3"/>
    <n v="11.995200000000001"/>
    <x v="9"/>
  </r>
  <r>
    <x v="836"/>
    <x v="93"/>
    <d v="2017-11-24T00:00:00"/>
    <x v="1"/>
    <s v="ES-14020"/>
    <s v="Erica Smith"/>
    <s v="Consumer"/>
    <x v="0"/>
    <x v="38"/>
    <x v="9"/>
    <x v="0"/>
    <s v="FUR-CH-10001482"/>
    <x v="0"/>
    <x v="1"/>
    <x v="112"/>
    <n v="209.56800000000001"/>
    <n v="2"/>
    <n v="-23.5764"/>
    <x v="0"/>
  </r>
  <r>
    <x v="837"/>
    <x v="68"/>
    <d v="2017-11-27T00:00:00"/>
    <x v="1"/>
    <s v="CM-12385"/>
    <s v="Christopher Martinez"/>
    <s v="Consumer"/>
    <x v="0"/>
    <x v="9"/>
    <x v="8"/>
    <x v="3"/>
    <s v="FUR-FU-10004909"/>
    <x v="0"/>
    <x v="3"/>
    <x v="267"/>
    <n v="6.4640000000000004"/>
    <n v="1"/>
    <n v="-4.04"/>
    <x v="0"/>
  </r>
  <r>
    <x v="838"/>
    <x v="591"/>
    <d v="2014-07-10T00:00:00"/>
    <x v="2"/>
    <s v="MH-18025"/>
    <s v="Michelle Huthwaite"/>
    <s v="Consumer"/>
    <x v="0"/>
    <x v="252"/>
    <x v="7"/>
    <x v="2"/>
    <s v="FUR-CH-10002647"/>
    <x v="0"/>
    <x v="1"/>
    <x v="99"/>
    <n v="63.881999999999998"/>
    <n v="1"/>
    <n v="10.647"/>
    <x v="3"/>
  </r>
  <r>
    <x v="839"/>
    <x v="592"/>
    <d v="2014-11-12T00:00:00"/>
    <x v="1"/>
    <s v="SC-20725"/>
    <s v="Steven Cartwright"/>
    <s v="Consumer"/>
    <x v="0"/>
    <x v="6"/>
    <x v="5"/>
    <x v="3"/>
    <s v="FUR-CH-10002758"/>
    <x v="0"/>
    <x v="1"/>
    <x v="280"/>
    <n v="683.14400000000001"/>
    <n v="4"/>
    <n v="0"/>
    <x v="0"/>
  </r>
  <r>
    <x v="840"/>
    <x v="593"/>
    <d v="2015-12-16T00:00:00"/>
    <x v="1"/>
    <s v="IM-15070"/>
    <s v="Irene Maddox"/>
    <s v="Consumer"/>
    <x v="0"/>
    <x v="30"/>
    <x v="12"/>
    <x v="1"/>
    <s v="FUR-BO-10003450"/>
    <x v="0"/>
    <x v="0"/>
    <x v="265"/>
    <n v="69.575999999999993"/>
    <n v="4"/>
    <n v="-143.79040000000001"/>
    <x v="5"/>
  </r>
  <r>
    <x v="840"/>
    <x v="593"/>
    <d v="2015-12-16T00:00:00"/>
    <x v="1"/>
    <s v="IM-15070"/>
    <s v="Irene Maddox"/>
    <s v="Consumer"/>
    <x v="0"/>
    <x v="30"/>
    <x v="12"/>
    <x v="1"/>
    <s v="FUR-FU-10002456"/>
    <x v="0"/>
    <x v="3"/>
    <x v="202"/>
    <n v="52.415999999999997"/>
    <n v="9"/>
    <n v="15.069599999999999"/>
    <x v="5"/>
  </r>
  <r>
    <x v="840"/>
    <x v="593"/>
    <d v="2015-12-16T00:00:00"/>
    <x v="1"/>
    <s v="IM-15070"/>
    <s v="Irene Maddox"/>
    <s v="Consumer"/>
    <x v="0"/>
    <x v="30"/>
    <x v="12"/>
    <x v="1"/>
    <s v="FUR-FU-10001473"/>
    <x v="0"/>
    <x v="3"/>
    <x v="198"/>
    <n v="54.92"/>
    <n v="5"/>
    <n v="10.984"/>
    <x v="5"/>
  </r>
  <r>
    <x v="840"/>
    <x v="593"/>
    <d v="2015-12-16T00:00:00"/>
    <x v="1"/>
    <s v="IM-15070"/>
    <s v="Irene Maddox"/>
    <s v="Consumer"/>
    <x v="0"/>
    <x v="30"/>
    <x v="12"/>
    <x v="1"/>
    <s v="FUR-TA-10000849"/>
    <x v="0"/>
    <x v="2"/>
    <x v="261"/>
    <n v="364.95"/>
    <n v="5"/>
    <n v="-248.166"/>
    <x v="5"/>
  </r>
  <r>
    <x v="841"/>
    <x v="253"/>
    <d v="2015-03-23T00:00:00"/>
    <x v="1"/>
    <s v="MF-18250"/>
    <s v="Monica Federle"/>
    <s v="Corporate"/>
    <x v="0"/>
    <x v="2"/>
    <x v="2"/>
    <x v="1"/>
    <s v="FUR-FU-10001215"/>
    <x v="0"/>
    <x v="3"/>
    <x v="331"/>
    <n v="43.13"/>
    <n v="1"/>
    <n v="18.114599999999999"/>
    <x v="9"/>
  </r>
  <r>
    <x v="842"/>
    <x v="326"/>
    <d v="2016-05-19T00:00:00"/>
    <x v="1"/>
    <s v="MK-17905"/>
    <s v="Michael Kennedy"/>
    <s v="Corporate"/>
    <x v="0"/>
    <x v="51"/>
    <x v="1"/>
    <x v="0"/>
    <s v="FUR-FU-10002396"/>
    <x v="0"/>
    <x v="3"/>
    <x v="326"/>
    <n v="30.192"/>
    <n v="3"/>
    <n v="8.3027999999999995"/>
    <x v="7"/>
  </r>
  <r>
    <x v="843"/>
    <x v="594"/>
    <d v="2017-07-17T00:00:00"/>
    <x v="0"/>
    <s v="MH-17455"/>
    <s v="Mark Hamilton"/>
    <s v="Consumer"/>
    <x v="0"/>
    <x v="3"/>
    <x v="3"/>
    <x v="2"/>
    <s v="FUR-FU-10002501"/>
    <x v="0"/>
    <x v="3"/>
    <x v="254"/>
    <n v="91.007999999999996"/>
    <n v="9"/>
    <n v="19.339200000000002"/>
    <x v="3"/>
  </r>
  <r>
    <x v="844"/>
    <x v="566"/>
    <d v="2016-11-19T00:00:00"/>
    <x v="0"/>
    <s v="EB-14110"/>
    <s v="Eugene Barchas"/>
    <s v="Consumer"/>
    <x v="0"/>
    <x v="3"/>
    <x v="3"/>
    <x v="2"/>
    <s v="FUR-CH-10000785"/>
    <x v="0"/>
    <x v="1"/>
    <x v="69"/>
    <n v="380.05799999999999"/>
    <n v="3"/>
    <n v="-21.717600000000001"/>
    <x v="0"/>
  </r>
  <r>
    <x v="844"/>
    <x v="566"/>
    <d v="2016-11-19T00:00:00"/>
    <x v="0"/>
    <s v="EB-14110"/>
    <s v="Eugene Barchas"/>
    <s v="Consumer"/>
    <x v="0"/>
    <x v="3"/>
    <x v="3"/>
    <x v="2"/>
    <s v="FUR-FU-10002813"/>
    <x v="0"/>
    <x v="3"/>
    <x v="350"/>
    <n v="48.576000000000001"/>
    <n v="3"/>
    <n v="9.7151999999999994"/>
    <x v="0"/>
  </r>
  <r>
    <x v="845"/>
    <x v="431"/>
    <d v="2016-11-26T00:00:00"/>
    <x v="1"/>
    <s v="CK-12205"/>
    <s v="Chloris Kastensmidt"/>
    <s v="Consumer"/>
    <x v="0"/>
    <x v="29"/>
    <x v="15"/>
    <x v="2"/>
    <s v="FUR-CH-10003817"/>
    <x v="0"/>
    <x v="1"/>
    <x v="33"/>
    <n v="127.554"/>
    <n v="3"/>
    <n v="-9.1110000000000007"/>
    <x v="0"/>
  </r>
  <r>
    <x v="845"/>
    <x v="431"/>
    <d v="2016-11-26T00:00:00"/>
    <x v="1"/>
    <s v="CK-12205"/>
    <s v="Chloris Kastensmidt"/>
    <s v="Consumer"/>
    <x v="0"/>
    <x v="29"/>
    <x v="15"/>
    <x v="2"/>
    <s v="FUR-FU-10001876"/>
    <x v="0"/>
    <x v="3"/>
    <x v="279"/>
    <n v="77.951999999999998"/>
    <n v="3"/>
    <n v="15.590400000000001"/>
    <x v="0"/>
  </r>
  <r>
    <x v="846"/>
    <x v="93"/>
    <d v="2017-11-25T00:00:00"/>
    <x v="1"/>
    <s v="SC-20050"/>
    <s v="Sample Company A"/>
    <s v="Home Office"/>
    <x v="0"/>
    <x v="0"/>
    <x v="0"/>
    <x v="0"/>
    <s v="FUR-FU-10000629"/>
    <x v="0"/>
    <x v="3"/>
    <x v="22"/>
    <n v="27.58"/>
    <n v="2"/>
    <n v="11.583600000000001"/>
    <x v="0"/>
  </r>
  <r>
    <x v="847"/>
    <x v="30"/>
    <d v="2014-09-14T00:00:00"/>
    <x v="1"/>
    <s v="MC-17275"/>
    <s v="Marc Crier"/>
    <s v="Consumer"/>
    <x v="0"/>
    <x v="253"/>
    <x v="13"/>
    <x v="1"/>
    <s v="FUR-CH-10000454"/>
    <x v="0"/>
    <x v="1"/>
    <x v="1"/>
    <n v="975.92"/>
    <n v="5"/>
    <n v="121.99"/>
    <x v="4"/>
  </r>
  <r>
    <x v="848"/>
    <x v="202"/>
    <d v="2014-12-15T00:00:00"/>
    <x v="0"/>
    <s v="LH-17155"/>
    <s v="Logan Haushalter"/>
    <s v="Consumer"/>
    <x v="0"/>
    <x v="121"/>
    <x v="2"/>
    <x v="1"/>
    <s v="FUR-FU-10004270"/>
    <x v="0"/>
    <x v="3"/>
    <x v="200"/>
    <n v="12.54"/>
    <n v="3"/>
    <n v="4.5144000000000002"/>
    <x v="5"/>
  </r>
  <r>
    <x v="848"/>
    <x v="202"/>
    <d v="2014-12-15T00:00:00"/>
    <x v="0"/>
    <s v="LH-17155"/>
    <s v="Logan Haushalter"/>
    <s v="Consumer"/>
    <x v="0"/>
    <x v="121"/>
    <x v="2"/>
    <x v="1"/>
    <s v="FUR-FU-10001706"/>
    <x v="0"/>
    <x v="3"/>
    <x v="11"/>
    <n v="9.24"/>
    <n v="3"/>
    <n v="4.4352"/>
    <x v="5"/>
  </r>
  <r>
    <x v="849"/>
    <x v="595"/>
    <d v="2015-01-17T00:00:00"/>
    <x v="1"/>
    <s v="PB-19150"/>
    <s v="Philip Brown"/>
    <s v="Consumer"/>
    <x v="0"/>
    <x v="2"/>
    <x v="2"/>
    <x v="1"/>
    <s v="FUR-FU-10001861"/>
    <x v="0"/>
    <x v="3"/>
    <x v="57"/>
    <n v="77.599999999999994"/>
    <n v="4"/>
    <n v="38.024000000000001"/>
    <x v="8"/>
  </r>
  <r>
    <x v="849"/>
    <x v="595"/>
    <d v="2015-01-17T00:00:00"/>
    <x v="1"/>
    <s v="PB-19150"/>
    <s v="Philip Brown"/>
    <s v="Consumer"/>
    <x v="0"/>
    <x v="2"/>
    <x v="2"/>
    <x v="1"/>
    <s v="FUR-FU-10004845"/>
    <x v="0"/>
    <x v="3"/>
    <x v="351"/>
    <n v="464.85"/>
    <n v="9"/>
    <n v="92.97"/>
    <x v="8"/>
  </r>
  <r>
    <x v="850"/>
    <x v="596"/>
    <d v="2017-11-18T00:00:00"/>
    <x v="1"/>
    <s v="TT-21070"/>
    <s v="Ted Trevino"/>
    <s v="Consumer"/>
    <x v="0"/>
    <x v="15"/>
    <x v="13"/>
    <x v="1"/>
    <s v="FUR-CH-10001215"/>
    <x v="0"/>
    <x v="1"/>
    <x v="94"/>
    <n v="2404.7040000000002"/>
    <n v="6"/>
    <n v="150.29400000000001"/>
    <x v="0"/>
  </r>
  <r>
    <x v="851"/>
    <x v="575"/>
    <d v="2017-11-05T00:00:00"/>
    <x v="0"/>
    <s v="TB-21175"/>
    <s v="Thomas Boland"/>
    <s v="Corporate"/>
    <x v="0"/>
    <x v="0"/>
    <x v="0"/>
    <x v="0"/>
    <s v="FUR-CH-10000454"/>
    <x v="0"/>
    <x v="1"/>
    <x v="1"/>
    <n v="975.92"/>
    <n v="4"/>
    <n v="292.77600000000001"/>
    <x v="0"/>
  </r>
  <r>
    <x v="852"/>
    <x v="597"/>
    <d v="2016-12-01T00:00:00"/>
    <x v="0"/>
    <s v="RF-19345"/>
    <s v="Randy Ferguson"/>
    <s v="Corporate"/>
    <x v="0"/>
    <x v="254"/>
    <x v="24"/>
    <x v="0"/>
    <s v="FUR-CH-10004477"/>
    <x v="0"/>
    <x v="1"/>
    <x v="42"/>
    <n v="182.67"/>
    <n v="3"/>
    <n v="52.974299999999999"/>
    <x v="0"/>
  </r>
  <r>
    <x v="853"/>
    <x v="384"/>
    <d v="2014-10-17T00:00:00"/>
    <x v="2"/>
    <s v="AC-10660"/>
    <s v="Anna Chung"/>
    <s v="Consumer"/>
    <x v="0"/>
    <x v="255"/>
    <x v="15"/>
    <x v="2"/>
    <s v="FUR-CH-10003761"/>
    <x v="0"/>
    <x v="1"/>
    <x v="278"/>
    <n v="183.37200000000001"/>
    <n v="2"/>
    <n v="-7.8587999999999996"/>
    <x v="1"/>
  </r>
  <r>
    <x v="854"/>
    <x v="280"/>
    <d v="2014-12-03T00:00:00"/>
    <x v="0"/>
    <s v="MC-17605"/>
    <s v="Matt Connell"/>
    <s v="Corporate"/>
    <x v="0"/>
    <x v="6"/>
    <x v="5"/>
    <x v="3"/>
    <s v="FUR-CH-10003746"/>
    <x v="0"/>
    <x v="1"/>
    <x v="131"/>
    <n v="674.05799999999999"/>
    <n v="3"/>
    <n v="-19.258800000000001"/>
    <x v="5"/>
  </r>
  <r>
    <x v="855"/>
    <x v="224"/>
    <d v="2017-10-11T00:00:00"/>
    <x v="0"/>
    <s v="MB-17305"/>
    <s v="Maria Bertelson"/>
    <s v="Consumer"/>
    <x v="0"/>
    <x v="256"/>
    <x v="5"/>
    <x v="3"/>
    <s v="FUR-CH-10001802"/>
    <x v="0"/>
    <x v="1"/>
    <x v="352"/>
    <n v="254.05799999999999"/>
    <n v="3"/>
    <n v="-32.6646"/>
    <x v="1"/>
  </r>
  <r>
    <x v="856"/>
    <x v="598"/>
    <d v="2016-01-07T00:00:00"/>
    <x v="1"/>
    <s v="BM-11575"/>
    <s v="Brendan Murry"/>
    <s v="Corporate"/>
    <x v="0"/>
    <x v="257"/>
    <x v="32"/>
    <x v="2"/>
    <s v="FUR-BO-10004709"/>
    <x v="0"/>
    <x v="0"/>
    <x v="53"/>
    <n v="173.94"/>
    <n v="3"/>
    <n v="38.266800000000003"/>
    <x v="8"/>
  </r>
  <r>
    <x v="857"/>
    <x v="66"/>
    <d v="2017-10-23T00:00:00"/>
    <x v="1"/>
    <s v="MO-17500"/>
    <s v="Mary O'Rourke"/>
    <s v="Consumer"/>
    <x v="0"/>
    <x v="9"/>
    <x v="8"/>
    <x v="3"/>
    <s v="FUR-TA-10003008"/>
    <x v="0"/>
    <x v="2"/>
    <x v="190"/>
    <n v="91.275000000000006"/>
    <n v="1"/>
    <n v="-67.543499999999995"/>
    <x v="1"/>
  </r>
  <r>
    <x v="858"/>
    <x v="451"/>
    <d v="2017-12-06T00:00:00"/>
    <x v="1"/>
    <s v="AD-10180"/>
    <s v="Alan Dominguez"/>
    <s v="Home Office"/>
    <x v="0"/>
    <x v="130"/>
    <x v="19"/>
    <x v="2"/>
    <s v="FUR-CH-10000155"/>
    <x v="0"/>
    <x v="1"/>
    <x v="229"/>
    <n v="897.15"/>
    <n v="3"/>
    <n v="251.202"/>
    <x v="5"/>
  </r>
  <r>
    <x v="859"/>
    <x v="424"/>
    <d v="2014-01-18T00:00:00"/>
    <x v="1"/>
    <s v="BD-11605"/>
    <s v="Brian Dahlen"/>
    <s v="Consumer"/>
    <x v="0"/>
    <x v="28"/>
    <x v="2"/>
    <x v="1"/>
    <s v="FUR-BO-10003034"/>
    <x v="0"/>
    <x v="0"/>
    <x v="236"/>
    <n v="333.99900000000002"/>
    <n v="3"/>
    <n v="3.9293999999999998"/>
    <x v="8"/>
  </r>
  <r>
    <x v="860"/>
    <x v="599"/>
    <d v="2015-02-13T00:00:00"/>
    <x v="1"/>
    <s v="IL-15100"/>
    <s v="Ivan Liston"/>
    <s v="Consumer"/>
    <x v="0"/>
    <x v="16"/>
    <x v="14"/>
    <x v="2"/>
    <s v="FUR-CH-10001708"/>
    <x v="0"/>
    <x v="1"/>
    <x v="180"/>
    <n v="1268.82"/>
    <n v="9"/>
    <n v="266.4522"/>
    <x v="11"/>
  </r>
  <r>
    <x v="860"/>
    <x v="599"/>
    <d v="2015-02-13T00:00:00"/>
    <x v="1"/>
    <s v="IL-15100"/>
    <s v="Ivan Liston"/>
    <s v="Consumer"/>
    <x v="0"/>
    <x v="16"/>
    <x v="14"/>
    <x v="2"/>
    <s v="FUR-BO-10002598"/>
    <x v="0"/>
    <x v="0"/>
    <x v="310"/>
    <n v="283.92"/>
    <n v="4"/>
    <n v="82.336799999999997"/>
    <x v="11"/>
  </r>
  <r>
    <x v="861"/>
    <x v="152"/>
    <d v="2017-12-02T00:00:00"/>
    <x v="1"/>
    <s v="BD-11320"/>
    <s v="Bill Donatelli"/>
    <s v="Consumer"/>
    <x v="0"/>
    <x v="2"/>
    <x v="2"/>
    <x v="1"/>
    <s v="FUR-FU-10000732"/>
    <x v="0"/>
    <x v="3"/>
    <x v="113"/>
    <n v="18.84"/>
    <n v="3"/>
    <n v="6.0288000000000004"/>
    <x v="0"/>
  </r>
  <r>
    <x v="862"/>
    <x v="2"/>
    <d v="2014-06-13T00:00:00"/>
    <x v="0"/>
    <s v="TS-21205"/>
    <s v="Thomas Seio"/>
    <s v="Corporate"/>
    <x v="0"/>
    <x v="111"/>
    <x v="34"/>
    <x v="1"/>
    <s v="FUR-FU-10002685"/>
    <x v="0"/>
    <x v="3"/>
    <x v="288"/>
    <n v="37.4"/>
    <n v="2"/>
    <n v="14.212"/>
    <x v="2"/>
  </r>
  <r>
    <x v="863"/>
    <x v="600"/>
    <d v="2014-03-08T00:00:00"/>
    <x v="2"/>
    <s v="AB-10015"/>
    <s v="Aaron Bergman"/>
    <s v="Consumer"/>
    <x v="0"/>
    <x v="15"/>
    <x v="13"/>
    <x v="1"/>
    <s v="FUR-CH-10004477"/>
    <x v="0"/>
    <x v="1"/>
    <x v="42"/>
    <n v="48.712000000000003"/>
    <n v="1"/>
    <n v="5.4801000000000002"/>
    <x v="9"/>
  </r>
  <r>
    <x v="864"/>
    <x v="601"/>
    <d v="2015-08-05T00:00:00"/>
    <x v="0"/>
    <s v="BE-11455"/>
    <s v="Brad Eason"/>
    <s v="Home Office"/>
    <x v="0"/>
    <x v="134"/>
    <x v="38"/>
    <x v="2"/>
    <s v="FUR-CH-10001973"/>
    <x v="0"/>
    <x v="1"/>
    <x v="183"/>
    <n v="110.98"/>
    <n v="1"/>
    <n v="15.5372"/>
    <x v="10"/>
  </r>
  <r>
    <x v="865"/>
    <x v="24"/>
    <d v="2016-11-09T00:00:00"/>
    <x v="2"/>
    <s v="KL-16555"/>
    <s v="Kelly Lampkin"/>
    <s v="Corporate"/>
    <x v="0"/>
    <x v="51"/>
    <x v="1"/>
    <x v="0"/>
    <s v="FUR-CH-10000513"/>
    <x v="0"/>
    <x v="1"/>
    <x v="16"/>
    <n v="207.98400000000001"/>
    <n v="2"/>
    <n v="-28.597799999999999"/>
    <x v="0"/>
  </r>
  <r>
    <x v="865"/>
    <x v="24"/>
    <d v="2016-11-09T00:00:00"/>
    <x v="2"/>
    <s v="KL-16555"/>
    <s v="Kelly Lampkin"/>
    <s v="Corporate"/>
    <x v="0"/>
    <x v="51"/>
    <x v="1"/>
    <x v="0"/>
    <s v="FUR-FU-10004090"/>
    <x v="0"/>
    <x v="3"/>
    <x v="137"/>
    <n v="35.567999999999998"/>
    <n v="2"/>
    <n v="5.7797999999999998"/>
    <x v="0"/>
  </r>
  <r>
    <x v="866"/>
    <x v="602"/>
    <d v="2016-04-28T00:00:00"/>
    <x v="1"/>
    <s v="CL-12700"/>
    <s v="Craig Leslie"/>
    <s v="Home Office"/>
    <x v="0"/>
    <x v="30"/>
    <x v="12"/>
    <x v="1"/>
    <s v="FUR-CH-10004287"/>
    <x v="0"/>
    <x v="1"/>
    <x v="32"/>
    <n v="1325.76"/>
    <n v="6"/>
    <n v="149.148"/>
    <x v="6"/>
  </r>
  <r>
    <x v="867"/>
    <x v="603"/>
    <d v="2015-12-25T00:00:00"/>
    <x v="1"/>
    <s v="RB-19645"/>
    <s v="Robert Barroso"/>
    <s v="Corporate"/>
    <x v="0"/>
    <x v="10"/>
    <x v="9"/>
    <x v="0"/>
    <s v="FUR-FU-10000221"/>
    <x v="0"/>
    <x v="3"/>
    <x v="111"/>
    <n v="20.32"/>
    <n v="5"/>
    <n v="3.556"/>
    <x v="5"/>
  </r>
  <r>
    <x v="868"/>
    <x v="585"/>
    <d v="2017-05-13T00:00:00"/>
    <x v="2"/>
    <s v="TS-21370"/>
    <s v="Todd Sumrall"/>
    <s v="Corporate"/>
    <x v="0"/>
    <x v="43"/>
    <x v="22"/>
    <x v="1"/>
    <s v="FUR-BO-10004467"/>
    <x v="0"/>
    <x v="0"/>
    <x v="179"/>
    <n v="209.97900000000001"/>
    <n v="7"/>
    <n v="-356.96429999999998"/>
    <x v="7"/>
  </r>
  <r>
    <x v="869"/>
    <x v="168"/>
    <d v="2014-11-29T00:00:00"/>
    <x v="1"/>
    <s v="TH-21100"/>
    <s v="Thea Hendricks"/>
    <s v="Consumer"/>
    <x v="0"/>
    <x v="219"/>
    <x v="15"/>
    <x v="2"/>
    <s v="FUR-FU-10002960"/>
    <x v="0"/>
    <x v="3"/>
    <x v="37"/>
    <n v="35.167999999999999"/>
    <n v="7"/>
    <n v="9.6712000000000007"/>
    <x v="0"/>
  </r>
  <r>
    <x v="870"/>
    <x v="604"/>
    <d v="2014-11-18T00:00:00"/>
    <x v="2"/>
    <s v="SS-20410"/>
    <s v="Shahid Shariari"/>
    <s v="Consumer"/>
    <x v="0"/>
    <x v="2"/>
    <x v="2"/>
    <x v="1"/>
    <s v="FUR-FU-10002505"/>
    <x v="0"/>
    <x v="3"/>
    <x v="49"/>
    <n v="10.11"/>
    <n v="3"/>
    <n v="3.2351999999999999"/>
    <x v="0"/>
  </r>
  <r>
    <x v="871"/>
    <x v="105"/>
    <d v="2016-12-24T00:00:00"/>
    <x v="1"/>
    <s v="JE-15475"/>
    <s v="Jeremy Ellison"/>
    <s v="Consumer"/>
    <x v="0"/>
    <x v="53"/>
    <x v="2"/>
    <x v="1"/>
    <s v="FUR-FU-10003731"/>
    <x v="0"/>
    <x v="3"/>
    <x v="329"/>
    <n v="39.92"/>
    <n v="4"/>
    <n v="11.1776"/>
    <x v="5"/>
  </r>
  <r>
    <x v="872"/>
    <x v="605"/>
    <d v="2017-08-03T00:00:00"/>
    <x v="1"/>
    <s v="RF-19735"/>
    <s v="Roland Fjeld"/>
    <s v="Consumer"/>
    <x v="0"/>
    <x v="258"/>
    <x v="37"/>
    <x v="3"/>
    <s v="FUR-CH-10004626"/>
    <x v="0"/>
    <x v="1"/>
    <x v="353"/>
    <n v="302.67"/>
    <n v="3"/>
    <n v="72.640799999999999"/>
    <x v="3"/>
  </r>
  <r>
    <x v="873"/>
    <x v="576"/>
    <d v="2017-01-02T00:00:00"/>
    <x v="1"/>
    <s v="BB-11545"/>
    <s v="Brenda Bowman"/>
    <s v="Corporate"/>
    <x v="0"/>
    <x v="109"/>
    <x v="18"/>
    <x v="2"/>
    <s v="FUR-CH-10003968"/>
    <x v="0"/>
    <x v="1"/>
    <x v="13"/>
    <n v="212.94"/>
    <n v="3"/>
    <n v="25.552800000000001"/>
    <x v="5"/>
  </r>
  <r>
    <x v="874"/>
    <x v="38"/>
    <d v="2015-08-13T00:00:00"/>
    <x v="0"/>
    <s v="HR-14770"/>
    <s v="Hallie Redmond"/>
    <s v="Home Office"/>
    <x v="0"/>
    <x v="79"/>
    <x v="16"/>
    <x v="3"/>
    <s v="FUR-BO-10004690"/>
    <x v="0"/>
    <x v="0"/>
    <x v="340"/>
    <n v="687.4"/>
    <n v="5"/>
    <n v="48.118000000000002"/>
    <x v="10"/>
  </r>
  <r>
    <x v="875"/>
    <x v="226"/>
    <d v="2014-04-12T00:00:00"/>
    <x v="1"/>
    <s v="SC-20260"/>
    <s v="Scott Cohen"/>
    <s v="Corporate"/>
    <x v="0"/>
    <x v="15"/>
    <x v="13"/>
    <x v="1"/>
    <s v="FUR-TA-10000688"/>
    <x v="0"/>
    <x v="2"/>
    <x v="116"/>
    <n v="653.54999999999995"/>
    <n v="3"/>
    <n v="111.1035"/>
    <x v="6"/>
  </r>
  <r>
    <x v="876"/>
    <x v="312"/>
    <d v="2015-07-12T00:00:00"/>
    <x v="2"/>
    <s v="TS-21370"/>
    <s v="Todd Sumrall"/>
    <s v="Corporate"/>
    <x v="0"/>
    <x v="16"/>
    <x v="14"/>
    <x v="2"/>
    <s v="FUR-TA-10001520"/>
    <x v="0"/>
    <x v="2"/>
    <x v="146"/>
    <n v="199.83600000000001"/>
    <n v="4"/>
    <n v="-37.112400000000001"/>
    <x v="3"/>
  </r>
  <r>
    <x v="877"/>
    <x v="480"/>
    <d v="2016-11-13T00:00:00"/>
    <x v="0"/>
    <s v="AI-10855"/>
    <s v="Arianne Irving"/>
    <s v="Consumer"/>
    <x v="0"/>
    <x v="2"/>
    <x v="2"/>
    <x v="1"/>
    <s v="FUR-FU-10000965"/>
    <x v="0"/>
    <x v="3"/>
    <x v="143"/>
    <n v="467.46"/>
    <n v="9"/>
    <n v="191.65860000000001"/>
    <x v="0"/>
  </r>
  <r>
    <x v="878"/>
    <x v="606"/>
    <d v="2015-01-08T00:00:00"/>
    <x v="0"/>
    <s v="AH-10465"/>
    <s v="Amy Hunt"/>
    <s v="Consumer"/>
    <x v="0"/>
    <x v="144"/>
    <x v="5"/>
    <x v="3"/>
    <s v="FUR-BO-10003272"/>
    <x v="0"/>
    <x v="0"/>
    <x v="122"/>
    <n v="1352.3976"/>
    <n v="9"/>
    <n v="-437.54039999999998"/>
    <x v="8"/>
  </r>
  <r>
    <x v="879"/>
    <x v="190"/>
    <d v="2015-05-12T00:00:00"/>
    <x v="1"/>
    <s v="DL-12925"/>
    <s v="Daniel Lacy"/>
    <s v="Consumer"/>
    <x v="0"/>
    <x v="12"/>
    <x v="11"/>
    <x v="3"/>
    <s v="FUR-FU-10000723"/>
    <x v="0"/>
    <x v="3"/>
    <x v="100"/>
    <n v="123.96"/>
    <n v="3"/>
    <n v="11.1564"/>
    <x v="7"/>
  </r>
  <r>
    <x v="880"/>
    <x v="147"/>
    <d v="2017-12-07T00:00:00"/>
    <x v="1"/>
    <s v="SC-20380"/>
    <s v="Shahid Collister"/>
    <s v="Consumer"/>
    <x v="0"/>
    <x v="259"/>
    <x v="30"/>
    <x v="0"/>
    <s v="FUR-TA-10001889"/>
    <x v="0"/>
    <x v="2"/>
    <x v="87"/>
    <n v="1781.682"/>
    <n v="7"/>
    <n v="-653.28340000000003"/>
    <x v="0"/>
  </r>
  <r>
    <x v="881"/>
    <x v="98"/>
    <d v="2014-08-12T00:00:00"/>
    <x v="1"/>
    <s v="MA-17560"/>
    <s v="Matt Abelman"/>
    <s v="Home Office"/>
    <x v="0"/>
    <x v="65"/>
    <x v="17"/>
    <x v="3"/>
    <s v="FUR-FU-10002088"/>
    <x v="0"/>
    <x v="3"/>
    <x v="209"/>
    <n v="53.88"/>
    <n v="6"/>
    <n v="22.6296"/>
    <x v="10"/>
  </r>
  <r>
    <x v="882"/>
    <x v="607"/>
    <d v="2014-04-22T00:00:00"/>
    <x v="0"/>
    <s v="SV-20365"/>
    <s v="Seth Vernon"/>
    <s v="Consumer"/>
    <x v="0"/>
    <x v="6"/>
    <x v="5"/>
    <x v="3"/>
    <s v="FUR-TA-10001705"/>
    <x v="0"/>
    <x v="2"/>
    <x v="43"/>
    <n v="744.1"/>
    <n v="5"/>
    <n v="-95.67"/>
    <x v="6"/>
  </r>
  <r>
    <x v="882"/>
    <x v="607"/>
    <d v="2014-04-22T00:00:00"/>
    <x v="0"/>
    <s v="SV-20365"/>
    <s v="Seth Vernon"/>
    <s v="Consumer"/>
    <x v="0"/>
    <x v="6"/>
    <x v="5"/>
    <x v="3"/>
    <s v="FUR-TA-10004442"/>
    <x v="0"/>
    <x v="2"/>
    <x v="343"/>
    <n v="401.59"/>
    <n v="2"/>
    <n v="-131.95099999999999"/>
    <x v="6"/>
  </r>
  <r>
    <x v="883"/>
    <x v="608"/>
    <d v="2017-11-29T00:00:00"/>
    <x v="1"/>
    <s v="BD-11500"/>
    <s v="Bradley Drucker"/>
    <s v="Consumer"/>
    <x v="0"/>
    <x v="28"/>
    <x v="2"/>
    <x v="1"/>
    <s v="FUR-BO-10002213"/>
    <x v="0"/>
    <x v="0"/>
    <x v="263"/>
    <n v="359.49900000000002"/>
    <n v="3"/>
    <n v="-29.605799999999999"/>
    <x v="0"/>
  </r>
  <r>
    <x v="884"/>
    <x v="387"/>
    <d v="2014-12-10T00:00:00"/>
    <x v="1"/>
    <s v="BK-11260"/>
    <s v="Berenike Kampe"/>
    <s v="Consumer"/>
    <x v="0"/>
    <x v="9"/>
    <x v="8"/>
    <x v="3"/>
    <s v="FUR-TA-10004086"/>
    <x v="0"/>
    <x v="2"/>
    <x v="165"/>
    <n v="214.95"/>
    <n v="5"/>
    <n v="-120.372"/>
    <x v="5"/>
  </r>
  <r>
    <x v="884"/>
    <x v="387"/>
    <d v="2014-12-10T00:00:00"/>
    <x v="1"/>
    <s v="BK-11260"/>
    <s v="Berenike Kampe"/>
    <s v="Consumer"/>
    <x v="0"/>
    <x v="9"/>
    <x v="8"/>
    <x v="3"/>
    <s v="FUR-FU-10002088"/>
    <x v="0"/>
    <x v="3"/>
    <x v="209"/>
    <n v="10.776"/>
    <n v="3"/>
    <n v="-4.8491999999999997"/>
    <x v="5"/>
  </r>
  <r>
    <x v="885"/>
    <x v="609"/>
    <d v="2014-12-20T00:00:00"/>
    <x v="1"/>
    <s v="BM-11785"/>
    <s v="Bryan Mills"/>
    <s v="Consumer"/>
    <x v="0"/>
    <x v="260"/>
    <x v="1"/>
    <x v="0"/>
    <s v="FUR-CH-10002439"/>
    <x v="0"/>
    <x v="1"/>
    <x v="260"/>
    <n v="186.304"/>
    <n v="4"/>
    <n v="13.972799999999999"/>
    <x v="5"/>
  </r>
  <r>
    <x v="886"/>
    <x v="18"/>
    <d v="2015-11-13T00:00:00"/>
    <x v="3"/>
    <s v="HA-14905"/>
    <s v="Helen Abelman"/>
    <s v="Consumer"/>
    <x v="0"/>
    <x v="9"/>
    <x v="8"/>
    <x v="3"/>
    <s v="FUR-FU-10001025"/>
    <x v="0"/>
    <x v="3"/>
    <x v="354"/>
    <n v="17.495999999999999"/>
    <n v="9"/>
    <n v="-7.4358000000000004"/>
    <x v="0"/>
  </r>
  <r>
    <x v="887"/>
    <x v="94"/>
    <d v="2014-09-14T00:00:00"/>
    <x v="3"/>
    <s v="DM-13015"/>
    <s v="Darrin Martin"/>
    <s v="Consumer"/>
    <x v="0"/>
    <x v="13"/>
    <x v="7"/>
    <x v="2"/>
    <s v="FUR-TA-10001039"/>
    <x v="0"/>
    <x v="2"/>
    <x v="165"/>
    <n v="464.29199999999997"/>
    <n v="9"/>
    <n v="-108.3348"/>
    <x v="4"/>
  </r>
  <r>
    <x v="888"/>
    <x v="297"/>
    <d v="2018-01-05T00:00:00"/>
    <x v="1"/>
    <s v="BP-11185"/>
    <s v="Ben Peterman"/>
    <s v="Corporate"/>
    <x v="0"/>
    <x v="261"/>
    <x v="2"/>
    <x v="1"/>
    <s v="FUR-FU-10002501"/>
    <x v="0"/>
    <x v="3"/>
    <x v="254"/>
    <n v="101.12"/>
    <n v="8"/>
    <n v="37.414400000000001"/>
    <x v="5"/>
  </r>
  <r>
    <x v="889"/>
    <x v="282"/>
    <d v="2016-11-17T00:00:00"/>
    <x v="1"/>
    <s v="TS-21430"/>
    <s v="Tom Stivers"/>
    <s v="Corporate"/>
    <x v="0"/>
    <x v="258"/>
    <x v="37"/>
    <x v="3"/>
    <s v="FUR-FU-10003096"/>
    <x v="0"/>
    <x v="3"/>
    <x v="114"/>
    <n v="30.36"/>
    <n v="4"/>
    <n v="13.0548"/>
    <x v="0"/>
  </r>
  <r>
    <x v="890"/>
    <x v="610"/>
    <d v="2016-04-05T00:00:00"/>
    <x v="1"/>
    <s v="FP-14320"/>
    <s v="Frank Preis"/>
    <s v="Consumer"/>
    <x v="0"/>
    <x v="13"/>
    <x v="7"/>
    <x v="2"/>
    <s v="FUR-CH-10000454"/>
    <x v="0"/>
    <x v="1"/>
    <x v="1"/>
    <n v="1317.492"/>
    <n v="6"/>
    <n v="292.77600000000001"/>
    <x v="6"/>
  </r>
  <r>
    <x v="891"/>
    <x v="611"/>
    <d v="2017-02-07T00:00:00"/>
    <x v="1"/>
    <s v="JL-15835"/>
    <s v="John Lee"/>
    <s v="Consumer"/>
    <x v="0"/>
    <x v="2"/>
    <x v="2"/>
    <x v="1"/>
    <s v="FUR-FU-10003039"/>
    <x v="0"/>
    <x v="3"/>
    <x v="102"/>
    <n v="86.26"/>
    <n v="2"/>
    <n v="29.328399999999998"/>
    <x v="11"/>
  </r>
  <r>
    <x v="892"/>
    <x v="455"/>
    <d v="2017-12-31T00:00:00"/>
    <x v="1"/>
    <s v="JL-15175"/>
    <s v="James Lanier"/>
    <s v="Home Office"/>
    <x v="0"/>
    <x v="262"/>
    <x v="22"/>
    <x v="1"/>
    <s v="FUR-FU-10001731"/>
    <x v="0"/>
    <x v="3"/>
    <x v="317"/>
    <n v="8.5440000000000005"/>
    <n v="4"/>
    <n v="1.9224000000000001"/>
    <x v="5"/>
  </r>
  <r>
    <x v="892"/>
    <x v="455"/>
    <d v="2017-12-31T00:00:00"/>
    <x v="1"/>
    <s v="JL-15175"/>
    <s v="James Lanier"/>
    <s v="Home Office"/>
    <x v="0"/>
    <x v="262"/>
    <x v="22"/>
    <x v="1"/>
    <s v="FUR-CH-10001394"/>
    <x v="0"/>
    <x v="1"/>
    <x v="139"/>
    <n v="842.37599999999998"/>
    <n v="3"/>
    <n v="105.297"/>
    <x v="5"/>
  </r>
  <r>
    <x v="893"/>
    <x v="612"/>
    <d v="2015-08-08T00:00:00"/>
    <x v="2"/>
    <s v="KW-16570"/>
    <s v="Kelly Williams"/>
    <s v="Consumer"/>
    <x v="0"/>
    <x v="263"/>
    <x v="23"/>
    <x v="3"/>
    <s v="FUR-FU-10000305"/>
    <x v="0"/>
    <x v="3"/>
    <x v="291"/>
    <n v="212.94"/>
    <n v="3"/>
    <n v="34.070399999999999"/>
    <x v="10"/>
  </r>
  <r>
    <x v="894"/>
    <x v="254"/>
    <d v="2017-07-04T00:00:00"/>
    <x v="0"/>
    <s v="GH-14410"/>
    <s v="Gary Hansen"/>
    <s v="Home Office"/>
    <x v="0"/>
    <x v="9"/>
    <x v="8"/>
    <x v="3"/>
    <s v="FUR-CH-10000229"/>
    <x v="0"/>
    <x v="1"/>
    <x v="334"/>
    <n v="569.05799999999999"/>
    <n v="3"/>
    <n v="-178.8468"/>
    <x v="2"/>
  </r>
  <r>
    <x v="894"/>
    <x v="254"/>
    <d v="2017-07-04T00:00:00"/>
    <x v="0"/>
    <s v="GH-14410"/>
    <s v="Gary Hansen"/>
    <s v="Home Office"/>
    <x v="0"/>
    <x v="9"/>
    <x v="8"/>
    <x v="3"/>
    <s v="FUR-FU-10003799"/>
    <x v="0"/>
    <x v="3"/>
    <x v="21"/>
    <n v="14.224"/>
    <n v="2"/>
    <n v="-10.3124"/>
    <x v="2"/>
  </r>
  <r>
    <x v="895"/>
    <x v="613"/>
    <d v="2014-08-05T00:00:00"/>
    <x v="1"/>
    <s v="TS-21430"/>
    <s v="Tom Stivers"/>
    <s v="Corporate"/>
    <x v="0"/>
    <x v="15"/>
    <x v="13"/>
    <x v="1"/>
    <s v="FUR-BO-10002916"/>
    <x v="0"/>
    <x v="0"/>
    <x v="307"/>
    <n v="1367.84"/>
    <n v="8"/>
    <n v="259.88959999999997"/>
    <x v="3"/>
  </r>
  <r>
    <x v="896"/>
    <x v="515"/>
    <d v="2016-11-23T00:00:00"/>
    <x v="0"/>
    <s v="AJ-10945"/>
    <s v="Ashley Jarboe"/>
    <s v="Consumer"/>
    <x v="0"/>
    <x v="264"/>
    <x v="17"/>
    <x v="3"/>
    <s v="FUR-CH-10000863"/>
    <x v="0"/>
    <x v="1"/>
    <x v="20"/>
    <n v="301.95999999999998"/>
    <n v="2"/>
    <n v="33.215600000000002"/>
    <x v="0"/>
  </r>
  <r>
    <x v="897"/>
    <x v="171"/>
    <d v="2015-07-11T00:00:00"/>
    <x v="1"/>
    <s v="SJ-20215"/>
    <s v="Sarah Jordon"/>
    <s v="Consumer"/>
    <x v="0"/>
    <x v="102"/>
    <x v="2"/>
    <x v="1"/>
    <s v="FUR-CH-10003968"/>
    <x v="0"/>
    <x v="1"/>
    <x v="13"/>
    <n v="170.352"/>
    <n v="3"/>
    <n v="-17.0352"/>
    <x v="3"/>
  </r>
  <r>
    <x v="898"/>
    <x v="448"/>
    <d v="2014-11-16T00:00:00"/>
    <x v="1"/>
    <s v="SC-20020"/>
    <s v="Sam Craven"/>
    <s v="Consumer"/>
    <x v="0"/>
    <x v="265"/>
    <x v="17"/>
    <x v="3"/>
    <s v="FUR-CH-10004997"/>
    <x v="0"/>
    <x v="1"/>
    <x v="105"/>
    <n v="563.94000000000005"/>
    <n v="3"/>
    <n v="112.788"/>
    <x v="0"/>
  </r>
  <r>
    <x v="899"/>
    <x v="614"/>
    <d v="2016-05-29T00:00:00"/>
    <x v="0"/>
    <s v="LA-16780"/>
    <s v="Laura Armstrong"/>
    <s v="Corporate"/>
    <x v="0"/>
    <x v="25"/>
    <x v="17"/>
    <x v="3"/>
    <s v="FUR-CH-10002024"/>
    <x v="0"/>
    <x v="1"/>
    <x v="101"/>
    <n v="3504.9"/>
    <n v="5"/>
    <n v="700.98"/>
    <x v="7"/>
  </r>
  <r>
    <x v="900"/>
    <x v="66"/>
    <d v="2017-10-24T00:00:00"/>
    <x v="1"/>
    <s v="CA-12265"/>
    <s v="Christina Anderson"/>
    <s v="Consumer"/>
    <x v="0"/>
    <x v="266"/>
    <x v="5"/>
    <x v="3"/>
    <s v="FUR-BO-10004360"/>
    <x v="0"/>
    <x v="0"/>
    <x v="333"/>
    <n v="328.39920000000001"/>
    <n v="3"/>
    <n v="-91.758600000000001"/>
    <x v="1"/>
  </r>
  <r>
    <x v="901"/>
    <x v="315"/>
    <d v="2015-04-19T00:00:00"/>
    <x v="1"/>
    <s v="BT-11395"/>
    <s v="Bill Tyler"/>
    <s v="Corporate"/>
    <x v="0"/>
    <x v="2"/>
    <x v="2"/>
    <x v="1"/>
    <s v="FUR-FU-10004973"/>
    <x v="0"/>
    <x v="3"/>
    <x v="223"/>
    <n v="37.68"/>
    <n v="2"/>
    <n v="15.8256"/>
    <x v="6"/>
  </r>
  <r>
    <x v="902"/>
    <x v="615"/>
    <d v="2015-09-18T00:00:00"/>
    <x v="1"/>
    <s v="ZC-21910"/>
    <s v="Zuschuss Carroll"/>
    <s v="Consumer"/>
    <x v="0"/>
    <x v="29"/>
    <x v="6"/>
    <x v="3"/>
    <s v="FUR-CH-10000015"/>
    <x v="0"/>
    <x v="1"/>
    <x v="79"/>
    <n v="1516.2"/>
    <n v="7"/>
    <n v="394.21199999999999"/>
    <x v="4"/>
  </r>
  <r>
    <x v="903"/>
    <x v="616"/>
    <d v="2014-12-01T00:00:00"/>
    <x v="0"/>
    <s v="CS-12250"/>
    <s v="Chris Selesnick"/>
    <s v="Corporate"/>
    <x v="0"/>
    <x v="11"/>
    <x v="10"/>
    <x v="0"/>
    <s v="FUR-FU-10003773"/>
    <x v="0"/>
    <x v="3"/>
    <x v="30"/>
    <n v="397.6"/>
    <n v="5"/>
    <n v="43.735999999999997"/>
    <x v="0"/>
  </r>
  <r>
    <x v="904"/>
    <x v="617"/>
    <d v="2015-08-19T00:00:00"/>
    <x v="1"/>
    <s v="RE-19450"/>
    <s v="Richard Eichhorn"/>
    <s v="Consumer"/>
    <x v="0"/>
    <x v="121"/>
    <x v="2"/>
    <x v="1"/>
    <s v="FUR-FU-10004018"/>
    <x v="0"/>
    <x v="3"/>
    <x v="188"/>
    <n v="104.23"/>
    <n v="7"/>
    <n v="28.142099999999999"/>
    <x v="10"/>
  </r>
  <r>
    <x v="905"/>
    <x v="449"/>
    <d v="2017-09-01T00:00:00"/>
    <x v="3"/>
    <s v="CA-12775"/>
    <s v="Cynthia Arntzen"/>
    <s v="Consumer"/>
    <x v="0"/>
    <x v="25"/>
    <x v="17"/>
    <x v="3"/>
    <s v="FUR-CH-10004875"/>
    <x v="0"/>
    <x v="1"/>
    <x v="290"/>
    <n v="498.26"/>
    <n v="7"/>
    <n v="134.53020000000001"/>
    <x v="4"/>
  </r>
  <r>
    <x v="906"/>
    <x v="618"/>
    <d v="2014-06-20T00:00:00"/>
    <x v="1"/>
    <s v="SR-20425"/>
    <s v="Sharelle Roach"/>
    <s v="Home Office"/>
    <x v="0"/>
    <x v="25"/>
    <x v="17"/>
    <x v="3"/>
    <s v="FUR-BO-10000711"/>
    <x v="0"/>
    <x v="0"/>
    <x v="332"/>
    <n v="212.94"/>
    <n v="3"/>
    <n v="57.4938"/>
    <x v="2"/>
  </r>
  <r>
    <x v="907"/>
    <x v="619"/>
    <d v="2016-06-26T00:00:00"/>
    <x v="1"/>
    <s v="AS-10090"/>
    <s v="Adam Shillingsburg"/>
    <s v="Consumer"/>
    <x v="0"/>
    <x v="13"/>
    <x v="7"/>
    <x v="2"/>
    <s v="FUR-BO-10003272"/>
    <x v="0"/>
    <x v="0"/>
    <x v="122"/>
    <n v="353.56799999999998"/>
    <n v="2"/>
    <n v="-44.195999999999998"/>
    <x v="2"/>
  </r>
  <r>
    <x v="908"/>
    <x v="620"/>
    <d v="2017-03-22T00:00:00"/>
    <x v="0"/>
    <s v="SA-20830"/>
    <s v="Sue Ann Reed"/>
    <s v="Consumer"/>
    <x v="0"/>
    <x v="99"/>
    <x v="2"/>
    <x v="1"/>
    <s v="FUR-TA-10001095"/>
    <x v="0"/>
    <x v="2"/>
    <x v="129"/>
    <n v="697.16"/>
    <n v="5"/>
    <n v="8.7144999999999992"/>
    <x v="9"/>
  </r>
  <r>
    <x v="908"/>
    <x v="620"/>
    <d v="2017-03-22T00:00:00"/>
    <x v="0"/>
    <s v="SA-20830"/>
    <s v="Sue Ann Reed"/>
    <s v="Consumer"/>
    <x v="0"/>
    <x v="99"/>
    <x v="2"/>
    <x v="1"/>
    <s v="FUR-FU-10001185"/>
    <x v="0"/>
    <x v="3"/>
    <x v="281"/>
    <n v="30.93"/>
    <n v="1"/>
    <n v="12.6813"/>
    <x v="9"/>
  </r>
  <r>
    <x v="909"/>
    <x v="305"/>
    <d v="2014-10-22T00:00:00"/>
    <x v="1"/>
    <s v="LS-17200"/>
    <s v="Luke Schmidt"/>
    <s v="Corporate"/>
    <x v="0"/>
    <x v="267"/>
    <x v="31"/>
    <x v="0"/>
    <s v="FUR-CH-10004626"/>
    <x v="0"/>
    <x v="1"/>
    <x v="353"/>
    <n v="605.34"/>
    <n v="6"/>
    <n v="145.2816"/>
    <x v="1"/>
  </r>
  <r>
    <x v="910"/>
    <x v="621"/>
    <d v="2017-08-23T00:00:00"/>
    <x v="2"/>
    <s v="TM-21490"/>
    <s v="Tony Molinari"/>
    <s v="Consumer"/>
    <x v="0"/>
    <x v="28"/>
    <x v="2"/>
    <x v="1"/>
    <s v="FUR-TA-10001768"/>
    <x v="0"/>
    <x v="2"/>
    <x v="25"/>
    <n v="210.00800000000001"/>
    <n v="1"/>
    <n v="2.6251000000000002"/>
    <x v="10"/>
  </r>
  <r>
    <x v="911"/>
    <x v="23"/>
    <d v="2014-09-24T00:00:00"/>
    <x v="1"/>
    <s v="DN-13690"/>
    <s v="Duane Noonan"/>
    <s v="Consumer"/>
    <x v="0"/>
    <x v="11"/>
    <x v="32"/>
    <x v="2"/>
    <s v="FUR-FU-10004952"/>
    <x v="0"/>
    <x v="3"/>
    <x v="169"/>
    <n v="164.22"/>
    <n v="3"/>
    <n v="50.908200000000001"/>
    <x v="4"/>
  </r>
  <r>
    <x v="911"/>
    <x v="23"/>
    <d v="2014-09-24T00:00:00"/>
    <x v="1"/>
    <s v="DN-13690"/>
    <s v="Duane Noonan"/>
    <s v="Consumer"/>
    <x v="0"/>
    <x v="11"/>
    <x v="32"/>
    <x v="2"/>
    <s v="FUR-BO-10001337"/>
    <x v="0"/>
    <x v="0"/>
    <x v="90"/>
    <n v="362.94"/>
    <n v="3"/>
    <n v="36.293999999999997"/>
    <x v="4"/>
  </r>
  <r>
    <x v="912"/>
    <x v="622"/>
    <d v="2016-08-04T00:00:00"/>
    <x v="0"/>
    <s v="BF-11020"/>
    <s v="Barry Franzšsisch"/>
    <s v="Corporate"/>
    <x v="0"/>
    <x v="2"/>
    <x v="2"/>
    <x v="1"/>
    <s v="FUR-TA-10001691"/>
    <x v="0"/>
    <x v="2"/>
    <x v="355"/>
    <n v="136.464"/>
    <n v="2"/>
    <n v="15.3522"/>
    <x v="10"/>
  </r>
  <r>
    <x v="913"/>
    <x v="298"/>
    <d v="2015-03-07T00:00:00"/>
    <x v="0"/>
    <s v="AH-10195"/>
    <s v="Alan Haines"/>
    <s v="Corporate"/>
    <x v="0"/>
    <x v="268"/>
    <x v="3"/>
    <x v="2"/>
    <s v="FUR-CH-10002647"/>
    <x v="0"/>
    <x v="1"/>
    <x v="99"/>
    <n v="99.372"/>
    <n v="2"/>
    <n v="-7.0979999999999999"/>
    <x v="9"/>
  </r>
  <r>
    <x v="913"/>
    <x v="298"/>
    <d v="2015-03-07T00:00:00"/>
    <x v="0"/>
    <s v="AH-10195"/>
    <s v="Alan Haines"/>
    <s v="Corporate"/>
    <x v="0"/>
    <x v="268"/>
    <x v="3"/>
    <x v="2"/>
    <s v="FUR-FU-10003247"/>
    <x v="0"/>
    <x v="3"/>
    <x v="298"/>
    <n v="33.567999999999998"/>
    <n v="2"/>
    <n v="-5.4547999999999996"/>
    <x v="9"/>
  </r>
  <r>
    <x v="914"/>
    <x v="266"/>
    <d v="2014-09-10T00:00:00"/>
    <x v="2"/>
    <s v="SZ-20035"/>
    <s v="Sam Zeldin"/>
    <s v="Home Office"/>
    <x v="0"/>
    <x v="6"/>
    <x v="5"/>
    <x v="3"/>
    <s v="FUR-TA-10004154"/>
    <x v="0"/>
    <x v="2"/>
    <x v="149"/>
    <n v="200.79499999999999"/>
    <n v="1"/>
    <n v="-22.948"/>
    <x v="4"/>
  </r>
  <r>
    <x v="915"/>
    <x v="91"/>
    <d v="2017-09-11T00:00:00"/>
    <x v="3"/>
    <s v="CB-12025"/>
    <s v="Cassandra Brandow"/>
    <s v="Consumer"/>
    <x v="0"/>
    <x v="28"/>
    <x v="2"/>
    <x v="1"/>
    <s v="FUR-FU-10000260"/>
    <x v="0"/>
    <x v="3"/>
    <x v="18"/>
    <n v="32.36"/>
    <n v="4"/>
    <n v="11.6496"/>
    <x v="4"/>
  </r>
  <r>
    <x v="916"/>
    <x v="623"/>
    <d v="2017-01-16T00:00:00"/>
    <x v="3"/>
    <s v="JO-15145"/>
    <s v="Jack O'Briant"/>
    <s v="Corporate"/>
    <x v="0"/>
    <x v="2"/>
    <x v="2"/>
    <x v="1"/>
    <s v="FUR-FU-10001487"/>
    <x v="0"/>
    <x v="3"/>
    <x v="3"/>
    <n v="27.92"/>
    <n v="4"/>
    <n v="8.0968"/>
    <x v="8"/>
  </r>
  <r>
    <x v="916"/>
    <x v="623"/>
    <d v="2017-01-16T00:00:00"/>
    <x v="3"/>
    <s v="JO-15145"/>
    <s v="Jack O'Briant"/>
    <s v="Corporate"/>
    <x v="0"/>
    <x v="2"/>
    <x v="2"/>
    <x v="1"/>
    <s v="FUR-TA-10001520"/>
    <x v="0"/>
    <x v="2"/>
    <x v="146"/>
    <n v="399.67200000000003"/>
    <n v="7"/>
    <n v="-14.9877"/>
    <x v="8"/>
  </r>
  <r>
    <x v="917"/>
    <x v="86"/>
    <d v="2015-11-09T00:00:00"/>
    <x v="0"/>
    <s v="SV-20785"/>
    <s v="Stewart Visinsky"/>
    <s v="Consumer"/>
    <x v="0"/>
    <x v="259"/>
    <x v="43"/>
    <x v="2"/>
    <s v="FUR-CH-10000595"/>
    <x v="0"/>
    <x v="1"/>
    <x v="97"/>
    <n v="715.2"/>
    <n v="3"/>
    <n v="178.8"/>
    <x v="0"/>
  </r>
  <r>
    <x v="918"/>
    <x v="624"/>
    <d v="2014-09-17T00:00:00"/>
    <x v="1"/>
    <s v="BC-11125"/>
    <s v="Becky Castell"/>
    <s v="Home Office"/>
    <x v="0"/>
    <x v="221"/>
    <x v="5"/>
    <x v="3"/>
    <s v="FUR-CH-10004698"/>
    <x v="0"/>
    <x v="1"/>
    <x v="34"/>
    <n v="340.11599999999999"/>
    <n v="6"/>
    <n v="-9.7175999999999991"/>
    <x v="4"/>
  </r>
  <r>
    <x v="919"/>
    <x v="278"/>
    <d v="2015-09-10T00:00:00"/>
    <x v="1"/>
    <s v="SP-20860"/>
    <s v="Sung Pak"/>
    <s v="Corporate"/>
    <x v="0"/>
    <x v="77"/>
    <x v="11"/>
    <x v="3"/>
    <s v="FUR-FU-10001706"/>
    <x v="0"/>
    <x v="3"/>
    <x v="11"/>
    <n v="6.16"/>
    <n v="2"/>
    <n v="2.9567999999999999"/>
    <x v="4"/>
  </r>
  <r>
    <x v="920"/>
    <x v="625"/>
    <d v="2017-05-06T00:00:00"/>
    <x v="2"/>
    <s v="LH-17020"/>
    <s v="Lisa Hazard"/>
    <s v="Consumer"/>
    <x v="0"/>
    <x v="74"/>
    <x v="12"/>
    <x v="1"/>
    <s v="FUR-BO-10004467"/>
    <x v="0"/>
    <x v="0"/>
    <x v="179"/>
    <n v="89.991"/>
    <n v="3"/>
    <n v="-152.9847"/>
    <x v="7"/>
  </r>
  <r>
    <x v="921"/>
    <x v="30"/>
    <d v="2014-09-15T00:00:00"/>
    <x v="1"/>
    <s v="KT-16465"/>
    <s v="Kean Takahito"/>
    <s v="Consumer"/>
    <x v="0"/>
    <x v="6"/>
    <x v="5"/>
    <x v="3"/>
    <s v="FUR-CH-10004287"/>
    <x v="0"/>
    <x v="1"/>
    <x v="32"/>
    <n v="966.7"/>
    <n v="5"/>
    <n v="-13.81"/>
    <x v="4"/>
  </r>
  <r>
    <x v="922"/>
    <x v="626"/>
    <d v="2015-12-30T00:00:00"/>
    <x v="1"/>
    <s v="MC-18100"/>
    <s v="Mick Crebagga"/>
    <s v="Consumer"/>
    <x v="0"/>
    <x v="23"/>
    <x v="15"/>
    <x v="2"/>
    <s v="FUR-TA-10004086"/>
    <x v="0"/>
    <x v="2"/>
    <x v="165"/>
    <n v="51.588000000000001"/>
    <n v="1"/>
    <n v="-15.4764"/>
    <x v="5"/>
  </r>
  <r>
    <x v="923"/>
    <x v="534"/>
    <d v="2017-07-31T00:00:00"/>
    <x v="1"/>
    <s v="TM-21490"/>
    <s v="Tony Molinari"/>
    <s v="Consumer"/>
    <x v="0"/>
    <x v="90"/>
    <x v="7"/>
    <x v="2"/>
    <s v="FUR-FU-10004018"/>
    <x v="0"/>
    <x v="3"/>
    <x v="188"/>
    <n v="14.89"/>
    <n v="1"/>
    <n v="4.0202999999999998"/>
    <x v="3"/>
  </r>
  <r>
    <x v="924"/>
    <x v="82"/>
    <d v="2016-06-03T00:00:00"/>
    <x v="1"/>
    <s v="AH-10690"/>
    <s v="Anna HŠberlin"/>
    <s v="Corporate"/>
    <x v="0"/>
    <x v="76"/>
    <x v="25"/>
    <x v="0"/>
    <s v="FUR-TA-10002645"/>
    <x v="0"/>
    <x v="2"/>
    <x v="259"/>
    <n v="2275.5"/>
    <n v="10"/>
    <n v="386.83499999999998"/>
    <x v="7"/>
  </r>
  <r>
    <x v="925"/>
    <x v="627"/>
    <d v="2014-11-20T00:00:00"/>
    <x v="1"/>
    <s v="AB-10165"/>
    <s v="Alan Barnes"/>
    <s v="Consumer"/>
    <x v="0"/>
    <x v="42"/>
    <x v="8"/>
    <x v="3"/>
    <s v="FUR-CH-10002017"/>
    <x v="0"/>
    <x v="1"/>
    <x v="274"/>
    <n v="37.295999999999999"/>
    <n v="2"/>
    <n v="-1.0656000000000001"/>
    <x v="0"/>
  </r>
  <r>
    <x v="926"/>
    <x v="628"/>
    <d v="2014-09-23T00:00:00"/>
    <x v="2"/>
    <s v="JS-15940"/>
    <s v="Joni Sundaresam"/>
    <s v="Home Office"/>
    <x v="0"/>
    <x v="269"/>
    <x v="5"/>
    <x v="3"/>
    <s v="FUR-FU-10001546"/>
    <x v="0"/>
    <x v="3"/>
    <x v="284"/>
    <n v="8.5440000000000005"/>
    <n v="2"/>
    <n v="-7.476"/>
    <x v="4"/>
  </r>
  <r>
    <x v="927"/>
    <x v="629"/>
    <d v="2016-02-26T00:00:00"/>
    <x v="1"/>
    <s v="BV-11245"/>
    <s v="Benjamin Venier"/>
    <s v="Corporate"/>
    <x v="0"/>
    <x v="64"/>
    <x v="7"/>
    <x v="2"/>
    <s v="FUR-FU-10000629"/>
    <x v="0"/>
    <x v="3"/>
    <x v="22"/>
    <n v="68.95"/>
    <n v="5"/>
    <n v="28.959"/>
    <x v="11"/>
  </r>
  <r>
    <x v="928"/>
    <x v="49"/>
    <d v="2017-11-21T00:00:00"/>
    <x v="2"/>
    <s v="NC-18415"/>
    <s v="Nathan Cano"/>
    <s v="Consumer"/>
    <x v="0"/>
    <x v="6"/>
    <x v="5"/>
    <x v="3"/>
    <s v="FUR-CH-10003774"/>
    <x v="0"/>
    <x v="1"/>
    <x v="234"/>
    <n v="191.05799999999999"/>
    <n v="3"/>
    <n v="-46.399799999999999"/>
    <x v="0"/>
  </r>
  <r>
    <x v="929"/>
    <x v="393"/>
    <d v="2017-05-05T00:00:00"/>
    <x v="1"/>
    <s v="DJ-13510"/>
    <s v="Don Jones"/>
    <s v="Corporate"/>
    <x v="0"/>
    <x v="28"/>
    <x v="2"/>
    <x v="1"/>
    <s v="FUR-FU-10000222"/>
    <x v="0"/>
    <x v="3"/>
    <x v="125"/>
    <n v="64.959999999999994"/>
    <n v="2"/>
    <n v="21.436800000000002"/>
    <x v="6"/>
  </r>
  <r>
    <x v="930"/>
    <x v="630"/>
    <d v="2016-05-08T00:00:00"/>
    <x v="1"/>
    <s v="DL-12865"/>
    <s v="Dan Lawera"/>
    <s v="Consumer"/>
    <x v="0"/>
    <x v="224"/>
    <x v="30"/>
    <x v="0"/>
    <s v="FUR-CH-10002304"/>
    <x v="0"/>
    <x v="1"/>
    <x v="158"/>
    <n v="187.05600000000001"/>
    <n v="9"/>
    <n v="11.691000000000001"/>
    <x v="7"/>
  </r>
  <r>
    <x v="931"/>
    <x v="125"/>
    <d v="2017-10-05T00:00:00"/>
    <x v="2"/>
    <s v="Dp-13240"/>
    <s v="Dean percer"/>
    <s v="Home Office"/>
    <x v="0"/>
    <x v="270"/>
    <x v="9"/>
    <x v="0"/>
    <s v="FUR-FU-10002364"/>
    <x v="0"/>
    <x v="3"/>
    <x v="242"/>
    <n v="11.808"/>
    <n v="2"/>
    <n v="1.3284"/>
    <x v="1"/>
  </r>
  <r>
    <x v="931"/>
    <x v="125"/>
    <d v="2017-10-05T00:00:00"/>
    <x v="2"/>
    <s v="Dp-13240"/>
    <s v="Dean percer"/>
    <s v="Home Office"/>
    <x v="0"/>
    <x v="270"/>
    <x v="9"/>
    <x v="0"/>
    <s v="FUR-FU-10004864"/>
    <x v="0"/>
    <x v="3"/>
    <x v="356"/>
    <n v="9.6560000000000006"/>
    <n v="1"/>
    <n v="1.5690999999999999"/>
    <x v="1"/>
  </r>
  <r>
    <x v="931"/>
    <x v="125"/>
    <d v="2017-10-05T00:00:00"/>
    <x v="2"/>
    <s v="Dp-13240"/>
    <s v="Dean percer"/>
    <s v="Home Office"/>
    <x v="0"/>
    <x v="270"/>
    <x v="9"/>
    <x v="0"/>
    <s v="FUR-TA-10000198"/>
    <x v="0"/>
    <x v="2"/>
    <x v="124"/>
    <n v="2314.116"/>
    <n v="7"/>
    <n v="-1002.7836"/>
    <x v="1"/>
  </r>
  <r>
    <x v="931"/>
    <x v="125"/>
    <d v="2017-10-05T00:00:00"/>
    <x v="2"/>
    <s v="Dp-13240"/>
    <s v="Dean percer"/>
    <s v="Home Office"/>
    <x v="0"/>
    <x v="270"/>
    <x v="9"/>
    <x v="0"/>
    <s v="FUR-FU-10003691"/>
    <x v="0"/>
    <x v="3"/>
    <x v="177"/>
    <n v="19.760000000000002"/>
    <n v="2"/>
    <n v="5.9279999999999999"/>
    <x v="1"/>
  </r>
  <r>
    <x v="932"/>
    <x v="463"/>
    <d v="2015-12-09T00:00:00"/>
    <x v="1"/>
    <s v="TZ-21580"/>
    <s v="Tracy Zic"/>
    <s v="Consumer"/>
    <x v="0"/>
    <x v="174"/>
    <x v="2"/>
    <x v="1"/>
    <s v="FUR-FU-10004270"/>
    <x v="0"/>
    <x v="3"/>
    <x v="200"/>
    <n v="25.08"/>
    <n v="6"/>
    <n v="9.0288000000000004"/>
    <x v="5"/>
  </r>
  <r>
    <x v="933"/>
    <x v="631"/>
    <d v="2016-09-08T00:00:00"/>
    <x v="1"/>
    <s v="CV-12295"/>
    <s v="Christina VanderZanden"/>
    <s v="Consumer"/>
    <x v="0"/>
    <x v="13"/>
    <x v="7"/>
    <x v="2"/>
    <s v="FUR-FU-10004748"/>
    <x v="0"/>
    <x v="3"/>
    <x v="245"/>
    <n v="63.94"/>
    <n v="1"/>
    <n v="24.936599999999999"/>
    <x v="4"/>
  </r>
  <r>
    <x v="934"/>
    <x v="632"/>
    <d v="2014-09-01T00:00:00"/>
    <x v="1"/>
    <s v="KB-16315"/>
    <s v="Karl Braun"/>
    <s v="Consumer"/>
    <x v="0"/>
    <x v="19"/>
    <x v="14"/>
    <x v="2"/>
    <s v="FUR-FU-10001731"/>
    <x v="0"/>
    <x v="3"/>
    <x v="317"/>
    <n v="10.68"/>
    <n v="4"/>
    <n v="4.0583999999999998"/>
    <x v="10"/>
  </r>
  <r>
    <x v="935"/>
    <x v="633"/>
    <d v="2014-05-19T00:00:00"/>
    <x v="1"/>
    <s v="AH-10030"/>
    <s v="Aaron Hawkins"/>
    <s v="Corporate"/>
    <x v="0"/>
    <x v="2"/>
    <x v="2"/>
    <x v="1"/>
    <s v="FUR-CH-10002439"/>
    <x v="0"/>
    <x v="1"/>
    <x v="260"/>
    <n v="279.45600000000002"/>
    <n v="6"/>
    <n v="20.959199999999999"/>
    <x v="7"/>
  </r>
  <r>
    <x v="936"/>
    <x v="438"/>
    <d v="2017-04-18T00:00:00"/>
    <x v="1"/>
    <s v="DW-13585"/>
    <s v="Dorothy Wardle"/>
    <s v="Corporate"/>
    <x v="0"/>
    <x v="160"/>
    <x v="30"/>
    <x v="0"/>
    <s v="FUR-BO-10003433"/>
    <x v="0"/>
    <x v="0"/>
    <x v="184"/>
    <n v="198.27199999999999"/>
    <n v="8"/>
    <n v="-32.219200000000001"/>
    <x v="6"/>
  </r>
  <r>
    <x v="937"/>
    <x v="353"/>
    <d v="2017-01-02T00:00:00"/>
    <x v="1"/>
    <s v="CD-11920"/>
    <s v="Carlos Daly"/>
    <s v="Consumer"/>
    <x v="0"/>
    <x v="271"/>
    <x v="44"/>
    <x v="3"/>
    <s v="FUR-FU-10000672"/>
    <x v="0"/>
    <x v="3"/>
    <x v="309"/>
    <n v="70.56"/>
    <n v="6"/>
    <n v="23.990400000000001"/>
    <x v="5"/>
  </r>
  <r>
    <x v="938"/>
    <x v="403"/>
    <d v="2017-04-12T00:00:00"/>
    <x v="1"/>
    <s v="NH-18610"/>
    <s v="Nicole Hansen"/>
    <s v="Corporate"/>
    <x v="0"/>
    <x v="272"/>
    <x v="17"/>
    <x v="3"/>
    <s v="FUR-FU-10004665"/>
    <x v="0"/>
    <x v="3"/>
    <x v="266"/>
    <n v="273.95999999999998"/>
    <n v="2"/>
    <n v="71.229600000000005"/>
    <x v="6"/>
  </r>
  <r>
    <x v="938"/>
    <x v="403"/>
    <d v="2017-04-12T00:00:00"/>
    <x v="1"/>
    <s v="NH-18610"/>
    <s v="Nicole Hansen"/>
    <s v="Corporate"/>
    <x v="0"/>
    <x v="272"/>
    <x v="17"/>
    <x v="3"/>
    <s v="FUR-FU-10004188"/>
    <x v="0"/>
    <x v="3"/>
    <x v="150"/>
    <n v="306.89999999999998"/>
    <n v="3"/>
    <n v="79.793999999999997"/>
    <x v="6"/>
  </r>
  <r>
    <x v="939"/>
    <x v="634"/>
    <d v="2015-10-30T00:00:00"/>
    <x v="1"/>
    <s v="AG-10495"/>
    <s v="Andrew Gjertsen"/>
    <s v="Corporate"/>
    <x v="0"/>
    <x v="6"/>
    <x v="5"/>
    <x v="3"/>
    <s v="FUR-TA-10002607"/>
    <x v="0"/>
    <x v="2"/>
    <x v="48"/>
    <n v="347.36099999999999"/>
    <n v="7"/>
    <n v="-69.472200000000001"/>
    <x v="1"/>
  </r>
  <r>
    <x v="940"/>
    <x v="635"/>
    <d v="2014-11-25T00:00:00"/>
    <x v="1"/>
    <s v="GR-14560"/>
    <s v="Georgia Rosenberg"/>
    <s v="Corporate"/>
    <x v="0"/>
    <x v="16"/>
    <x v="14"/>
    <x v="2"/>
    <s v="FUR-BO-10000362"/>
    <x v="0"/>
    <x v="0"/>
    <x v="203"/>
    <n v="1025.8800000000001"/>
    <n v="6"/>
    <n v="235.95240000000001"/>
    <x v="0"/>
  </r>
  <r>
    <x v="941"/>
    <x v="211"/>
    <d v="2016-09-24T00:00:00"/>
    <x v="3"/>
    <s v="EB-13750"/>
    <s v="Edward Becker"/>
    <s v="Corporate"/>
    <x v="0"/>
    <x v="28"/>
    <x v="2"/>
    <x v="1"/>
    <s v="FUR-FU-10002501"/>
    <x v="0"/>
    <x v="3"/>
    <x v="254"/>
    <n v="63.2"/>
    <n v="5"/>
    <n v="23.384"/>
    <x v="4"/>
  </r>
  <r>
    <x v="942"/>
    <x v="636"/>
    <d v="2016-04-14T00:00:00"/>
    <x v="1"/>
    <s v="HF-14995"/>
    <s v="Herbert Flentye"/>
    <s v="Consumer"/>
    <x v="0"/>
    <x v="2"/>
    <x v="2"/>
    <x v="1"/>
    <s v="FUR-BO-10001798"/>
    <x v="0"/>
    <x v="0"/>
    <x v="0"/>
    <n v="556.66499999999996"/>
    <n v="5"/>
    <n v="6.5490000000000004"/>
    <x v="6"/>
  </r>
  <r>
    <x v="943"/>
    <x v="122"/>
    <d v="2016-12-06T00:00:00"/>
    <x v="2"/>
    <s v="NM-18520"/>
    <s v="Neoma Murray"/>
    <s v="Consumer"/>
    <x v="0"/>
    <x v="2"/>
    <x v="2"/>
    <x v="1"/>
    <s v="FUR-FU-10001085"/>
    <x v="0"/>
    <x v="3"/>
    <x v="328"/>
    <n v="111.9"/>
    <n v="6"/>
    <n v="51.473999999999997"/>
    <x v="5"/>
  </r>
  <r>
    <x v="944"/>
    <x v="184"/>
    <d v="2016-06-14T00:00:00"/>
    <x v="3"/>
    <s v="MH-17290"/>
    <s v="Marc Harrigan"/>
    <s v="Home Office"/>
    <x v="0"/>
    <x v="2"/>
    <x v="2"/>
    <x v="1"/>
    <s v="FUR-BO-10004218"/>
    <x v="0"/>
    <x v="0"/>
    <x v="327"/>
    <n v="599.16499999999996"/>
    <n v="5"/>
    <n v="35.244999999999997"/>
    <x v="2"/>
  </r>
  <r>
    <x v="945"/>
    <x v="637"/>
    <d v="2014-09-07T00:00:00"/>
    <x v="2"/>
    <s v="PR-18880"/>
    <s v="Patrick Ryan"/>
    <s v="Consumer"/>
    <x v="0"/>
    <x v="66"/>
    <x v="1"/>
    <x v="0"/>
    <s v="FUR-FU-10001967"/>
    <x v="0"/>
    <x v="3"/>
    <x v="65"/>
    <n v="31.984000000000002"/>
    <n v="2"/>
    <n v="1.9990000000000001"/>
    <x v="4"/>
  </r>
  <r>
    <x v="946"/>
    <x v="638"/>
    <d v="2014-07-08T00:00:00"/>
    <x v="2"/>
    <s v="DM-13525"/>
    <s v="Don Miller"/>
    <s v="Corporate"/>
    <x v="0"/>
    <x v="273"/>
    <x v="1"/>
    <x v="0"/>
    <s v="FUR-FU-10001591"/>
    <x v="0"/>
    <x v="3"/>
    <x v="215"/>
    <n v="19.52"/>
    <n v="2"/>
    <n v="5.3680000000000003"/>
    <x v="3"/>
  </r>
  <r>
    <x v="946"/>
    <x v="638"/>
    <d v="2014-07-08T00:00:00"/>
    <x v="2"/>
    <s v="DM-13525"/>
    <s v="Don Miller"/>
    <s v="Corporate"/>
    <x v="0"/>
    <x v="273"/>
    <x v="1"/>
    <x v="0"/>
    <s v="FUR-FU-10003192"/>
    <x v="0"/>
    <x v="3"/>
    <x v="357"/>
    <n v="213.21600000000001"/>
    <n v="3"/>
    <n v="15.991199999999999"/>
    <x v="3"/>
  </r>
  <r>
    <x v="947"/>
    <x v="639"/>
    <d v="2014-09-19T00:00:00"/>
    <x v="1"/>
    <s v="TA-21385"/>
    <s v="Tom Ashbrook"/>
    <s v="Home Office"/>
    <x v="0"/>
    <x v="274"/>
    <x v="44"/>
    <x v="3"/>
    <s v="FUR-FU-10003464"/>
    <x v="0"/>
    <x v="3"/>
    <x v="302"/>
    <n v="40.56"/>
    <n v="2"/>
    <n v="12.979200000000001"/>
    <x v="4"/>
  </r>
  <r>
    <x v="948"/>
    <x v="297"/>
    <d v="2018-01-02T00:00:00"/>
    <x v="1"/>
    <s v="BS-11755"/>
    <s v="Bruce Stewart"/>
    <s v="Consumer"/>
    <x v="0"/>
    <x v="71"/>
    <x v="13"/>
    <x v="1"/>
    <s v="FUR-FU-10004093"/>
    <x v="0"/>
    <x v="3"/>
    <x v="230"/>
    <n v="68.459999999999994"/>
    <n v="2"/>
    <n v="20.538"/>
    <x v="5"/>
  </r>
  <r>
    <x v="949"/>
    <x v="362"/>
    <d v="2017-09-06T00:00:00"/>
    <x v="0"/>
    <s v="PK-19075"/>
    <s v="Pete Kriz"/>
    <s v="Consumer"/>
    <x v="0"/>
    <x v="28"/>
    <x v="2"/>
    <x v="1"/>
    <s v="FUR-TA-10001771"/>
    <x v="0"/>
    <x v="2"/>
    <x v="358"/>
    <n v="1478.2719999999999"/>
    <n v="8"/>
    <n v="92.391999999999996"/>
    <x v="4"/>
  </r>
  <r>
    <x v="950"/>
    <x v="559"/>
    <d v="2017-10-04T00:00:00"/>
    <x v="1"/>
    <s v="BD-11725"/>
    <s v="Bruce Degenhardt"/>
    <s v="Consumer"/>
    <x v="0"/>
    <x v="2"/>
    <x v="2"/>
    <x v="1"/>
    <s v="FUR-FU-10001706"/>
    <x v="0"/>
    <x v="3"/>
    <x v="11"/>
    <n v="9.24"/>
    <n v="3"/>
    <n v="4.4352"/>
    <x v="4"/>
  </r>
  <r>
    <x v="951"/>
    <x v="640"/>
    <d v="2014-01-20T00:00:00"/>
    <x v="2"/>
    <s v="TS-21340"/>
    <s v="Toby Swindell"/>
    <s v="Consumer"/>
    <x v="0"/>
    <x v="163"/>
    <x v="22"/>
    <x v="1"/>
    <s v="FUR-BO-10001972"/>
    <x v="0"/>
    <x v="0"/>
    <x v="75"/>
    <n v="181.47"/>
    <n v="5"/>
    <n v="-320.59699999999998"/>
    <x v="8"/>
  </r>
  <r>
    <x v="952"/>
    <x v="641"/>
    <d v="2016-06-14T00:00:00"/>
    <x v="1"/>
    <s v="DB-13210"/>
    <s v="Dean Braden"/>
    <s v="Consumer"/>
    <x v="0"/>
    <x v="28"/>
    <x v="2"/>
    <x v="1"/>
    <s v="FUR-CH-10002774"/>
    <x v="0"/>
    <x v="1"/>
    <x v="5"/>
    <n v="122.352"/>
    <n v="3"/>
    <n v="13.7646"/>
    <x v="2"/>
  </r>
  <r>
    <x v="953"/>
    <x v="218"/>
    <d v="2014-09-27T00:00:00"/>
    <x v="2"/>
    <s v="KF-16285"/>
    <s v="Karen Ferguson"/>
    <s v="Home Office"/>
    <x v="0"/>
    <x v="53"/>
    <x v="2"/>
    <x v="1"/>
    <s v="FUR-CH-10000454"/>
    <x v="0"/>
    <x v="1"/>
    <x v="1"/>
    <n v="585.55200000000002"/>
    <n v="3"/>
    <n v="73.194000000000003"/>
    <x v="4"/>
  </r>
  <r>
    <x v="954"/>
    <x v="642"/>
    <d v="2017-12-23T00:00:00"/>
    <x v="1"/>
    <s v="TS-21505"/>
    <s v="Tony Sayre"/>
    <s v="Consumer"/>
    <x v="0"/>
    <x v="47"/>
    <x v="12"/>
    <x v="1"/>
    <s v="FUR-FU-10000320"/>
    <x v="0"/>
    <x v="3"/>
    <x v="311"/>
    <n v="13.36"/>
    <n v="5"/>
    <n v="4.008"/>
    <x v="5"/>
  </r>
  <r>
    <x v="954"/>
    <x v="642"/>
    <d v="2017-12-23T00:00:00"/>
    <x v="1"/>
    <s v="TS-21505"/>
    <s v="Tony Sayre"/>
    <s v="Consumer"/>
    <x v="0"/>
    <x v="47"/>
    <x v="12"/>
    <x v="1"/>
    <s v="FUR-BO-10000468"/>
    <x v="0"/>
    <x v="0"/>
    <x v="233"/>
    <n v="102.018"/>
    <n v="7"/>
    <n v="-183.63239999999999"/>
    <x v="5"/>
  </r>
  <r>
    <x v="955"/>
    <x v="129"/>
    <d v="2017-02-04T00:00:00"/>
    <x v="1"/>
    <s v="EB-13870"/>
    <s v="Emily Burns"/>
    <s v="Consumer"/>
    <x v="0"/>
    <x v="89"/>
    <x v="1"/>
    <x v="0"/>
    <s v="FUR-CH-10002044"/>
    <x v="0"/>
    <x v="1"/>
    <x v="359"/>
    <n v="419.13600000000002"/>
    <n v="4"/>
    <n v="-68.1096"/>
    <x v="8"/>
  </r>
  <r>
    <x v="956"/>
    <x v="535"/>
    <d v="2017-04-04T00:00:00"/>
    <x v="0"/>
    <s v="BF-11020"/>
    <s v="Barry Franzšsisch"/>
    <s v="Corporate"/>
    <x v="0"/>
    <x v="51"/>
    <x v="1"/>
    <x v="0"/>
    <s v="FUR-CH-10003774"/>
    <x v="0"/>
    <x v="1"/>
    <x v="234"/>
    <n v="218.352"/>
    <n v="3"/>
    <n v="-19.105799999999999"/>
    <x v="6"/>
  </r>
  <r>
    <x v="957"/>
    <x v="616"/>
    <d v="2014-11-28T00:00:00"/>
    <x v="3"/>
    <s v="DH-13675"/>
    <s v="Duane Huffman"/>
    <s v="Home Office"/>
    <x v="0"/>
    <x v="28"/>
    <x v="2"/>
    <x v="1"/>
    <s v="FUR-BO-10000330"/>
    <x v="0"/>
    <x v="0"/>
    <x v="213"/>
    <n v="411.33199999999999"/>
    <n v="4"/>
    <n v="-4.8391999999999999"/>
    <x v="0"/>
  </r>
  <r>
    <x v="958"/>
    <x v="316"/>
    <d v="2017-07-18T00:00:00"/>
    <x v="0"/>
    <s v="MM-18055"/>
    <s v="Michelle Moray"/>
    <s v="Consumer"/>
    <x v="0"/>
    <x v="13"/>
    <x v="7"/>
    <x v="2"/>
    <s v="FUR-CH-10002084"/>
    <x v="0"/>
    <x v="1"/>
    <x v="244"/>
    <n v="664.14599999999996"/>
    <n v="6"/>
    <n v="88.552800000000005"/>
    <x v="3"/>
  </r>
  <r>
    <x v="959"/>
    <x v="575"/>
    <d v="2017-11-06T00:00:00"/>
    <x v="1"/>
    <s v="TH-21115"/>
    <s v="Thea Hudgings"/>
    <s v="Corporate"/>
    <x v="0"/>
    <x v="3"/>
    <x v="3"/>
    <x v="2"/>
    <s v="FUR-FU-10001847"/>
    <x v="0"/>
    <x v="3"/>
    <x v="270"/>
    <n v="3.3119999999999998"/>
    <n v="1"/>
    <n v="0.66239999999999999"/>
    <x v="0"/>
  </r>
  <r>
    <x v="960"/>
    <x v="643"/>
    <d v="2015-10-12T00:00:00"/>
    <x v="1"/>
    <s v="MB-17305"/>
    <s v="Maria Bertelson"/>
    <s v="Consumer"/>
    <x v="0"/>
    <x v="28"/>
    <x v="2"/>
    <x v="1"/>
    <s v="FUR-FU-10001588"/>
    <x v="0"/>
    <x v="3"/>
    <x v="63"/>
    <n v="145.9"/>
    <n v="5"/>
    <n v="62.737000000000002"/>
    <x v="1"/>
  </r>
  <r>
    <x v="961"/>
    <x v="423"/>
    <d v="2017-12-09T00:00:00"/>
    <x v="1"/>
    <s v="MS-17980"/>
    <s v="Michael Stewart"/>
    <s v="Corporate"/>
    <x v="0"/>
    <x v="3"/>
    <x v="3"/>
    <x v="2"/>
    <s v="FUR-CH-10004540"/>
    <x v="0"/>
    <x v="1"/>
    <x v="173"/>
    <n v="239.96"/>
    <n v="10"/>
    <n v="-10.284000000000001"/>
    <x v="5"/>
  </r>
  <r>
    <x v="961"/>
    <x v="423"/>
    <d v="2017-12-09T00:00:00"/>
    <x v="1"/>
    <s v="MS-17980"/>
    <s v="Michael Stewart"/>
    <s v="Corporate"/>
    <x v="0"/>
    <x v="3"/>
    <x v="3"/>
    <x v="2"/>
    <s v="FUR-FU-10004093"/>
    <x v="0"/>
    <x v="3"/>
    <x v="230"/>
    <n v="54.768000000000001"/>
    <n v="2"/>
    <n v="6.8460000000000001"/>
    <x v="5"/>
  </r>
  <r>
    <x v="962"/>
    <x v="644"/>
    <d v="2017-05-26T00:00:00"/>
    <x v="1"/>
    <s v="LE-16810"/>
    <s v="Laurel Elliston"/>
    <s v="Consumer"/>
    <x v="0"/>
    <x v="9"/>
    <x v="8"/>
    <x v="3"/>
    <s v="FUR-CH-10000513"/>
    <x v="0"/>
    <x v="1"/>
    <x v="16"/>
    <n v="181.98599999999999"/>
    <n v="2"/>
    <n v="-54.595799999999997"/>
    <x v="7"/>
  </r>
  <r>
    <x v="963"/>
    <x v="645"/>
    <d v="2016-12-25T00:00:00"/>
    <x v="1"/>
    <s v="ES-14080"/>
    <s v="Erin Smith"/>
    <s v="Corporate"/>
    <x v="0"/>
    <x v="104"/>
    <x v="22"/>
    <x v="1"/>
    <s v="FUR-TA-10001086"/>
    <x v="0"/>
    <x v="2"/>
    <x v="360"/>
    <n v="455.97"/>
    <n v="6"/>
    <n v="-218.8656"/>
    <x v="5"/>
  </r>
  <r>
    <x v="964"/>
    <x v="87"/>
    <d v="2017-09-08T00:00:00"/>
    <x v="2"/>
    <s v="JM-16195"/>
    <s v="Justin MacKendrick"/>
    <s v="Consumer"/>
    <x v="0"/>
    <x v="275"/>
    <x v="4"/>
    <x v="1"/>
    <s v="FUR-FU-10002396"/>
    <x v="0"/>
    <x v="3"/>
    <x v="326"/>
    <n v="25.16"/>
    <n v="2"/>
    <n v="10.5672"/>
    <x v="4"/>
  </r>
  <r>
    <x v="965"/>
    <x v="352"/>
    <d v="2014-11-16T00:00:00"/>
    <x v="1"/>
    <s v="DB-12970"/>
    <s v="Darren Budd"/>
    <s v="Corporate"/>
    <x v="0"/>
    <x v="6"/>
    <x v="5"/>
    <x v="3"/>
    <s v="FUR-BO-10004467"/>
    <x v="0"/>
    <x v="0"/>
    <x v="179"/>
    <n v="67.993200000000002"/>
    <n v="1"/>
    <n v="-12.998699999999999"/>
    <x v="0"/>
  </r>
  <r>
    <x v="966"/>
    <x v="125"/>
    <d v="2017-10-06T00:00:00"/>
    <x v="0"/>
    <s v="JW-15220"/>
    <s v="Jane Waco"/>
    <s v="Corporate"/>
    <x v="0"/>
    <x v="132"/>
    <x v="33"/>
    <x v="0"/>
    <s v="FUR-FU-10002963"/>
    <x v="0"/>
    <x v="3"/>
    <x v="305"/>
    <n v="10.16"/>
    <n v="2"/>
    <n v="3.4544000000000001"/>
    <x v="1"/>
  </r>
  <r>
    <x v="967"/>
    <x v="646"/>
    <d v="2015-12-18T00:00:00"/>
    <x v="1"/>
    <s v="KD-16495"/>
    <s v="Keith Dawkins"/>
    <s v="Corporate"/>
    <x v="0"/>
    <x v="38"/>
    <x v="21"/>
    <x v="0"/>
    <s v="FUR-FU-10003829"/>
    <x v="0"/>
    <x v="3"/>
    <x v="275"/>
    <n v="6.16"/>
    <n v="2"/>
    <n v="1.9712000000000001"/>
    <x v="5"/>
  </r>
  <r>
    <x v="968"/>
    <x v="647"/>
    <d v="2017-03-13T00:00:00"/>
    <x v="3"/>
    <s v="SU-20665"/>
    <s v="Stephanie Ulpright"/>
    <s v="Home Office"/>
    <x v="0"/>
    <x v="9"/>
    <x v="8"/>
    <x v="3"/>
    <s v="FUR-CH-10003606"/>
    <x v="0"/>
    <x v="1"/>
    <x v="321"/>
    <n v="89.768000000000001"/>
    <n v="1"/>
    <n v="-2.5648"/>
    <x v="9"/>
  </r>
  <r>
    <x v="969"/>
    <x v="574"/>
    <d v="2016-12-16T00:00:00"/>
    <x v="1"/>
    <s v="RF-19840"/>
    <s v="Roy Franzšsisch"/>
    <s v="Consumer"/>
    <x v="0"/>
    <x v="102"/>
    <x v="2"/>
    <x v="1"/>
    <s v="FUR-FU-10004864"/>
    <x v="0"/>
    <x v="3"/>
    <x v="92"/>
    <n v="383.64"/>
    <n v="6"/>
    <n v="122.76479999999999"/>
    <x v="5"/>
  </r>
  <r>
    <x v="970"/>
    <x v="198"/>
    <d v="2017-09-14T00:00:00"/>
    <x v="0"/>
    <s v="LC-17050"/>
    <s v="Liz Carlisle"/>
    <s v="Consumer"/>
    <x v="0"/>
    <x v="2"/>
    <x v="2"/>
    <x v="1"/>
    <s v="FUR-CH-10003833"/>
    <x v="0"/>
    <x v="1"/>
    <x v="237"/>
    <n v="243.92"/>
    <n v="5"/>
    <n v="-15.244999999999999"/>
    <x v="4"/>
  </r>
  <r>
    <x v="971"/>
    <x v="648"/>
    <d v="2017-10-08T00:00:00"/>
    <x v="1"/>
    <s v="PS-18970"/>
    <s v="Paul Stevenson"/>
    <s v="Home Office"/>
    <x v="0"/>
    <x v="218"/>
    <x v="32"/>
    <x v="2"/>
    <s v="FUR-FU-10000076"/>
    <x v="0"/>
    <x v="3"/>
    <x v="175"/>
    <n v="19.98"/>
    <n v="1"/>
    <n v="8.5914000000000001"/>
    <x v="1"/>
  </r>
  <r>
    <x v="972"/>
    <x v="256"/>
    <d v="2014-12-19T00:00:00"/>
    <x v="0"/>
    <s v="JO-15280"/>
    <s v="Jas O'Carroll"/>
    <s v="Consumer"/>
    <x v="0"/>
    <x v="53"/>
    <x v="2"/>
    <x v="1"/>
    <s v="FUR-FU-10003829"/>
    <x v="0"/>
    <x v="3"/>
    <x v="275"/>
    <n v="6.16"/>
    <n v="2"/>
    <n v="1.9712000000000001"/>
    <x v="5"/>
  </r>
  <r>
    <x v="973"/>
    <x v="137"/>
    <d v="2014-10-18T00:00:00"/>
    <x v="0"/>
    <s v="ML-17395"/>
    <s v="Marina Lichtenstein"/>
    <s v="Corporate"/>
    <x v="0"/>
    <x v="174"/>
    <x v="18"/>
    <x v="2"/>
    <s v="FUR-CH-10002880"/>
    <x v="0"/>
    <x v="1"/>
    <x v="162"/>
    <n v="245.98"/>
    <n v="2"/>
    <n v="27.0578"/>
    <x v="1"/>
  </r>
  <r>
    <x v="974"/>
    <x v="649"/>
    <d v="2016-09-25T00:00:00"/>
    <x v="1"/>
    <s v="FM-14215"/>
    <s v="Filia McAdams"/>
    <s v="Corporate"/>
    <x v="0"/>
    <x v="224"/>
    <x v="30"/>
    <x v="0"/>
    <s v="FUR-FU-10001546"/>
    <x v="0"/>
    <x v="3"/>
    <x v="284"/>
    <n v="17.088000000000001"/>
    <n v="2"/>
    <n v="1.0680000000000001"/>
    <x v="4"/>
  </r>
  <r>
    <x v="974"/>
    <x v="649"/>
    <d v="2016-09-25T00:00:00"/>
    <x v="1"/>
    <s v="FM-14215"/>
    <s v="Filia McAdams"/>
    <s v="Corporate"/>
    <x v="0"/>
    <x v="224"/>
    <x v="30"/>
    <x v="0"/>
    <s v="FUR-CH-10002880"/>
    <x v="0"/>
    <x v="1"/>
    <x v="162"/>
    <n v="98.391999999999996"/>
    <n v="1"/>
    <n v="-11.069100000000001"/>
    <x v="4"/>
  </r>
  <r>
    <x v="975"/>
    <x v="254"/>
    <d v="2017-07-04T00:00:00"/>
    <x v="1"/>
    <s v="DV-13045"/>
    <s v="Darrin Van Huff"/>
    <s v="Corporate"/>
    <x v="0"/>
    <x v="10"/>
    <x v="9"/>
    <x v="0"/>
    <s v="FUR-FU-10001591"/>
    <x v="0"/>
    <x v="3"/>
    <x v="215"/>
    <n v="19.52"/>
    <n v="2"/>
    <n v="5.3680000000000003"/>
    <x v="2"/>
  </r>
  <r>
    <x v="976"/>
    <x v="228"/>
    <d v="2016-09-30T00:00:00"/>
    <x v="1"/>
    <s v="SC-20695"/>
    <s v="Steve Chapman"/>
    <s v="Corporate"/>
    <x v="0"/>
    <x v="276"/>
    <x v="16"/>
    <x v="3"/>
    <s v="FUR-CH-10004218"/>
    <x v="0"/>
    <x v="1"/>
    <x v="10"/>
    <n v="201.96"/>
    <n v="2"/>
    <n v="50.49"/>
    <x v="4"/>
  </r>
  <r>
    <x v="976"/>
    <x v="228"/>
    <d v="2016-09-30T00:00:00"/>
    <x v="1"/>
    <s v="SC-20695"/>
    <s v="Steve Chapman"/>
    <s v="Corporate"/>
    <x v="0"/>
    <x v="276"/>
    <x v="16"/>
    <x v="3"/>
    <s v="FUR-FU-10000755"/>
    <x v="0"/>
    <x v="3"/>
    <x v="294"/>
    <n v="68.64"/>
    <n v="11"/>
    <n v="17.16"/>
    <x v="4"/>
  </r>
  <r>
    <x v="977"/>
    <x v="189"/>
    <d v="2014-10-01T00:00:00"/>
    <x v="0"/>
    <s v="PP-18955"/>
    <s v="Paul Prost"/>
    <s v="Home Office"/>
    <x v="0"/>
    <x v="15"/>
    <x v="13"/>
    <x v="1"/>
    <s v="FUR-FU-10001706"/>
    <x v="0"/>
    <x v="3"/>
    <x v="11"/>
    <n v="6.16"/>
    <n v="2"/>
    <n v="2.9567999999999999"/>
    <x v="4"/>
  </r>
  <r>
    <x v="977"/>
    <x v="189"/>
    <d v="2014-10-01T00:00:00"/>
    <x v="0"/>
    <s v="PP-18955"/>
    <s v="Paul Prost"/>
    <s v="Home Office"/>
    <x v="0"/>
    <x v="15"/>
    <x v="13"/>
    <x v="1"/>
    <s v="FUR-TA-10002958"/>
    <x v="0"/>
    <x v="2"/>
    <x v="192"/>
    <n v="2348.8200000000002"/>
    <n v="9"/>
    <n v="399.29939999999999"/>
    <x v="4"/>
  </r>
  <r>
    <x v="978"/>
    <x v="332"/>
    <d v="2017-07-01T00:00:00"/>
    <x v="1"/>
    <s v="DR-12880"/>
    <s v="Dan Reichenbach"/>
    <s v="Corporate"/>
    <x v="0"/>
    <x v="89"/>
    <x v="1"/>
    <x v="0"/>
    <s v="FUR-CH-10001545"/>
    <x v="0"/>
    <x v="1"/>
    <x v="361"/>
    <n v="273.55200000000002"/>
    <n v="3"/>
    <n v="-13.6776"/>
    <x v="2"/>
  </r>
  <r>
    <x v="979"/>
    <x v="650"/>
    <d v="2016-08-23T00:00:00"/>
    <x v="0"/>
    <s v="RB-19465"/>
    <s v="Rick Bensley"/>
    <s v="Home Office"/>
    <x v="0"/>
    <x v="3"/>
    <x v="3"/>
    <x v="2"/>
    <s v="FUR-TA-10002530"/>
    <x v="0"/>
    <x v="2"/>
    <x v="197"/>
    <n v="815.29200000000003"/>
    <n v="9"/>
    <n v="-339.70499999999998"/>
    <x v="10"/>
  </r>
  <r>
    <x v="980"/>
    <x v="651"/>
    <d v="2014-02-15T00:00:00"/>
    <x v="1"/>
    <s v="NF-18385"/>
    <s v="Natalie Fritzler"/>
    <s v="Consumer"/>
    <x v="0"/>
    <x v="180"/>
    <x v="25"/>
    <x v="0"/>
    <s v="FUR-TA-10003715"/>
    <x v="0"/>
    <x v="2"/>
    <x v="201"/>
    <n v="1256.22"/>
    <n v="6"/>
    <n v="75.373199999999997"/>
    <x v="11"/>
  </r>
  <r>
    <x v="981"/>
    <x v="292"/>
    <d v="2017-04-02T00:00:00"/>
    <x v="1"/>
    <s v="ML-18040"/>
    <s v="Michelle Lonsdale"/>
    <s v="Corporate"/>
    <x v="0"/>
    <x v="54"/>
    <x v="17"/>
    <x v="3"/>
    <s v="FUR-FU-10004245"/>
    <x v="0"/>
    <x v="3"/>
    <x v="362"/>
    <n v="60.84"/>
    <n v="3"/>
    <n v="23.119199999999999"/>
    <x v="9"/>
  </r>
  <r>
    <x v="982"/>
    <x v="652"/>
    <d v="2014-12-27T00:00:00"/>
    <x v="1"/>
    <s v="GM-14440"/>
    <s v="Gary McGarr"/>
    <s v="Consumer"/>
    <x v="0"/>
    <x v="53"/>
    <x v="2"/>
    <x v="1"/>
    <s v="FUR-CH-10004287"/>
    <x v="0"/>
    <x v="1"/>
    <x v="32"/>
    <n v="1325.76"/>
    <n v="6"/>
    <n v="149.148"/>
    <x v="5"/>
  </r>
  <r>
    <x v="982"/>
    <x v="652"/>
    <d v="2014-12-27T00:00:00"/>
    <x v="1"/>
    <s v="GM-14440"/>
    <s v="Gary McGarr"/>
    <s v="Consumer"/>
    <x v="0"/>
    <x v="53"/>
    <x v="2"/>
    <x v="1"/>
    <s v="FUR-CH-10000595"/>
    <x v="0"/>
    <x v="1"/>
    <x v="97"/>
    <n v="572.16"/>
    <n v="3"/>
    <n v="35.76"/>
    <x v="5"/>
  </r>
  <r>
    <x v="983"/>
    <x v="610"/>
    <d v="2016-04-05T00:00:00"/>
    <x v="0"/>
    <s v="DB-12910"/>
    <s v="Daniel Byrd"/>
    <s v="Home Office"/>
    <x v="0"/>
    <x v="29"/>
    <x v="24"/>
    <x v="0"/>
    <s v="FUR-FU-10003274"/>
    <x v="0"/>
    <x v="3"/>
    <x v="51"/>
    <n v="7.04"/>
    <n v="4"/>
    <n v="3.0975999999999999"/>
    <x v="6"/>
  </r>
  <r>
    <x v="984"/>
    <x v="438"/>
    <d v="2017-04-19T00:00:00"/>
    <x v="1"/>
    <s v="HM-14860"/>
    <s v="Harry Marie"/>
    <s v="Corporate"/>
    <x v="0"/>
    <x v="277"/>
    <x v="18"/>
    <x v="2"/>
    <s v="FUR-FU-10004018"/>
    <x v="0"/>
    <x v="3"/>
    <x v="188"/>
    <n v="74.45"/>
    <n v="5"/>
    <n v="20.101500000000001"/>
    <x v="6"/>
  </r>
  <r>
    <x v="985"/>
    <x v="653"/>
    <d v="2015-01-09T00:00:00"/>
    <x v="1"/>
    <s v="AG-10495"/>
    <s v="Andrew Gjertsen"/>
    <s v="Corporate"/>
    <x v="0"/>
    <x v="166"/>
    <x v="25"/>
    <x v="0"/>
    <s v="FUR-FU-10001473"/>
    <x v="0"/>
    <x v="3"/>
    <x v="198"/>
    <n v="192.22"/>
    <n v="14"/>
    <n v="69.199200000000005"/>
    <x v="8"/>
  </r>
  <r>
    <x v="986"/>
    <x v="357"/>
    <d v="2017-07-19T00:00:00"/>
    <x v="0"/>
    <s v="AJ-10795"/>
    <s v="Anthony Johnson"/>
    <s v="Corporate"/>
    <x v="0"/>
    <x v="278"/>
    <x v="2"/>
    <x v="1"/>
    <s v="FUR-BO-10002613"/>
    <x v="0"/>
    <x v="0"/>
    <x v="35"/>
    <n v="1194.165"/>
    <n v="5"/>
    <n v="210.73500000000001"/>
    <x v="3"/>
  </r>
  <r>
    <x v="987"/>
    <x v="105"/>
    <d v="2016-12-21T00:00:00"/>
    <x v="2"/>
    <s v="AH-10120"/>
    <s v="Adrian Hane"/>
    <s v="Home Office"/>
    <x v="0"/>
    <x v="279"/>
    <x v="36"/>
    <x v="1"/>
    <s v="FUR-TA-10002530"/>
    <x v="0"/>
    <x v="2"/>
    <x v="197"/>
    <n v="377.45"/>
    <n v="5"/>
    <n v="-264.21499999999997"/>
    <x v="5"/>
  </r>
  <r>
    <x v="988"/>
    <x v="211"/>
    <d v="2016-10-01T00:00:00"/>
    <x v="1"/>
    <s v="CL-12700"/>
    <s v="Craig Leslie"/>
    <s v="Home Office"/>
    <x v="0"/>
    <x v="14"/>
    <x v="12"/>
    <x v="1"/>
    <s v="FUR-FU-10002671"/>
    <x v="0"/>
    <x v="3"/>
    <x v="59"/>
    <n v="21.44"/>
    <n v="2"/>
    <n v="7.5039999999999996"/>
    <x v="4"/>
  </r>
  <r>
    <x v="989"/>
    <x v="654"/>
    <d v="2015-06-11T00:00:00"/>
    <x v="0"/>
    <s v="TG-21640"/>
    <s v="Trudy Glocke"/>
    <s v="Consumer"/>
    <x v="0"/>
    <x v="280"/>
    <x v="42"/>
    <x v="1"/>
    <s v="FUR-FU-10003192"/>
    <x v="0"/>
    <x v="3"/>
    <x v="357"/>
    <n v="355.36"/>
    <n v="4"/>
    <n v="92.393600000000006"/>
    <x v="2"/>
  </r>
  <r>
    <x v="990"/>
    <x v="527"/>
    <d v="2015-01-05T00:00:00"/>
    <x v="1"/>
    <s v="ZC-21910"/>
    <s v="Zuschuss Carroll"/>
    <s v="Consumer"/>
    <x v="0"/>
    <x v="9"/>
    <x v="8"/>
    <x v="3"/>
    <s v="FUR-FU-10000193"/>
    <x v="0"/>
    <x v="3"/>
    <x v="306"/>
    <n v="38.975999999999999"/>
    <n v="3"/>
    <n v="-50.668799999999997"/>
    <x v="5"/>
  </r>
  <r>
    <x v="991"/>
    <x v="655"/>
    <d v="2014-07-28T00:00:00"/>
    <x v="3"/>
    <s v="CK-12205"/>
    <s v="Chloris Kastensmidt"/>
    <s v="Consumer"/>
    <x v="0"/>
    <x v="281"/>
    <x v="1"/>
    <x v="0"/>
    <s v="FUR-FU-10003623"/>
    <x v="0"/>
    <x v="3"/>
    <x v="241"/>
    <n v="129.88800000000001"/>
    <n v="6"/>
    <n v="12.988799999999999"/>
    <x v="3"/>
  </r>
  <r>
    <x v="992"/>
    <x v="626"/>
    <d v="2015-12-31T00:00:00"/>
    <x v="1"/>
    <s v="RB-19705"/>
    <s v="Roger Barcio"/>
    <s v="Home Office"/>
    <x v="0"/>
    <x v="6"/>
    <x v="5"/>
    <x v="3"/>
    <s v="FUR-CH-10002044"/>
    <x v="0"/>
    <x v="1"/>
    <x v="359"/>
    <n v="275.05799999999999"/>
    <n v="3"/>
    <n v="-90.376199999999997"/>
    <x v="5"/>
  </r>
  <r>
    <x v="993"/>
    <x v="479"/>
    <d v="2015-12-16T00:00:00"/>
    <x v="1"/>
    <s v="KM-16225"/>
    <s v="Kalyca Meade"/>
    <s v="Corporate"/>
    <x v="0"/>
    <x v="237"/>
    <x v="32"/>
    <x v="2"/>
    <s v="FUR-CH-10000785"/>
    <x v="0"/>
    <x v="1"/>
    <x v="69"/>
    <n v="542.94000000000005"/>
    <n v="3"/>
    <n v="141.1644"/>
    <x v="5"/>
  </r>
  <r>
    <x v="994"/>
    <x v="399"/>
    <d v="2016-05-07T00:00:00"/>
    <x v="0"/>
    <s v="AH-10465"/>
    <s v="Amy Hunt"/>
    <s v="Consumer"/>
    <x v="0"/>
    <x v="28"/>
    <x v="2"/>
    <x v="1"/>
    <s v="FUR-TA-10001676"/>
    <x v="0"/>
    <x v="2"/>
    <x v="193"/>
    <n v="71.087999999999994"/>
    <n v="2"/>
    <n v="-1.7771999999999999"/>
    <x v="7"/>
  </r>
  <r>
    <x v="995"/>
    <x v="609"/>
    <d v="2014-12-21T00:00:00"/>
    <x v="1"/>
    <s v="SS-20875"/>
    <s v="Sung Shariari"/>
    <s v="Consumer"/>
    <x v="0"/>
    <x v="149"/>
    <x v="15"/>
    <x v="2"/>
    <s v="FUR-TA-10002645"/>
    <x v="0"/>
    <x v="2"/>
    <x v="259"/>
    <n v="136.53"/>
    <n v="1"/>
    <n v="-52.336500000000001"/>
    <x v="5"/>
  </r>
  <r>
    <x v="996"/>
    <x v="190"/>
    <d v="2015-05-15T00:00:00"/>
    <x v="1"/>
    <s v="NW-18400"/>
    <s v="Natalie Webber"/>
    <s v="Consumer"/>
    <x v="0"/>
    <x v="13"/>
    <x v="7"/>
    <x v="2"/>
    <s v="FUR-FU-10001095"/>
    <x v="0"/>
    <x v="3"/>
    <x v="151"/>
    <n v="79.44"/>
    <n v="3"/>
    <n v="30.187200000000001"/>
    <x v="7"/>
  </r>
  <r>
    <x v="996"/>
    <x v="190"/>
    <d v="2015-05-15T00:00:00"/>
    <x v="1"/>
    <s v="NW-18400"/>
    <s v="Natalie Webber"/>
    <s v="Consumer"/>
    <x v="0"/>
    <x v="13"/>
    <x v="7"/>
    <x v="2"/>
    <s v="FUR-CH-10002647"/>
    <x v="0"/>
    <x v="1"/>
    <x v="99"/>
    <n v="127.764"/>
    <n v="2"/>
    <n v="21.294"/>
    <x v="7"/>
  </r>
  <r>
    <x v="997"/>
    <x v="64"/>
    <d v="2017-12-13T00:00:00"/>
    <x v="1"/>
    <s v="JP-15520"/>
    <s v="Jeremy Pistek"/>
    <s v="Consumer"/>
    <x v="0"/>
    <x v="123"/>
    <x v="16"/>
    <x v="3"/>
    <s v="FUR-BO-10003159"/>
    <x v="0"/>
    <x v="0"/>
    <x v="214"/>
    <n v="459.92"/>
    <n v="4"/>
    <n v="41.392800000000001"/>
    <x v="5"/>
  </r>
  <r>
    <x v="998"/>
    <x v="656"/>
    <d v="2017-07-02T00:00:00"/>
    <x v="2"/>
    <s v="DR-12880"/>
    <s v="Dan Reichenbach"/>
    <s v="Corporate"/>
    <x v="0"/>
    <x v="282"/>
    <x v="19"/>
    <x v="2"/>
    <s v="FUR-BO-10002598"/>
    <x v="0"/>
    <x v="0"/>
    <x v="310"/>
    <n v="638.82000000000005"/>
    <n v="9"/>
    <n v="185.2578"/>
    <x v="2"/>
  </r>
  <r>
    <x v="998"/>
    <x v="656"/>
    <d v="2017-07-02T00:00:00"/>
    <x v="2"/>
    <s v="DR-12880"/>
    <s v="Dan Reichenbach"/>
    <s v="Corporate"/>
    <x v="0"/>
    <x v="282"/>
    <x v="19"/>
    <x v="2"/>
    <s v="FUR-FU-10003976"/>
    <x v="0"/>
    <x v="3"/>
    <x v="195"/>
    <n v="25.16"/>
    <n v="2"/>
    <n v="8.5543999999999993"/>
    <x v="2"/>
  </r>
  <r>
    <x v="999"/>
    <x v="187"/>
    <d v="2014-01-25T00:00:00"/>
    <x v="1"/>
    <s v="MV-17485"/>
    <s v="Mark Van Huff"/>
    <s v="Consumer"/>
    <x v="0"/>
    <x v="2"/>
    <x v="2"/>
    <x v="1"/>
    <s v="FUR-FU-10003194"/>
    <x v="0"/>
    <x v="3"/>
    <x v="19"/>
    <n v="19.3"/>
    <n v="2"/>
    <n v="5.79"/>
    <x v="8"/>
  </r>
  <r>
    <x v="1000"/>
    <x v="657"/>
    <d v="2017-03-31T00:00:00"/>
    <x v="2"/>
    <s v="DH-13075"/>
    <s v="Dave Hallsten"/>
    <s v="Corporate"/>
    <x v="0"/>
    <x v="130"/>
    <x v="2"/>
    <x v="1"/>
    <s v="FUR-FU-10001095"/>
    <x v="0"/>
    <x v="3"/>
    <x v="151"/>
    <n v="26.48"/>
    <n v="1"/>
    <n v="10.0624"/>
    <x v="9"/>
  </r>
  <r>
    <x v="1000"/>
    <x v="657"/>
    <d v="2017-03-31T00:00:00"/>
    <x v="2"/>
    <s v="DH-13075"/>
    <s v="Dave Hallsten"/>
    <s v="Corporate"/>
    <x v="0"/>
    <x v="130"/>
    <x v="2"/>
    <x v="1"/>
    <s v="FUR-FU-10003829"/>
    <x v="0"/>
    <x v="3"/>
    <x v="275"/>
    <n v="21.56"/>
    <n v="7"/>
    <n v="6.8992000000000004"/>
    <x v="9"/>
  </r>
  <r>
    <x v="1001"/>
    <x v="658"/>
    <d v="2014-06-05T00:00:00"/>
    <x v="1"/>
    <s v="SS-20410"/>
    <s v="Shahid Shariari"/>
    <s v="Consumer"/>
    <x v="0"/>
    <x v="283"/>
    <x v="8"/>
    <x v="3"/>
    <s v="FUR-TA-10001539"/>
    <x v="0"/>
    <x v="2"/>
    <x v="4"/>
    <n v="355.45499999999998"/>
    <n v="3"/>
    <n v="-184.8366"/>
    <x v="7"/>
  </r>
  <r>
    <x v="1002"/>
    <x v="659"/>
    <d v="2016-02-10T00:00:00"/>
    <x v="1"/>
    <s v="LC-17050"/>
    <s v="Liz Carlisle"/>
    <s v="Consumer"/>
    <x v="0"/>
    <x v="52"/>
    <x v="0"/>
    <x v="0"/>
    <s v="FUR-CH-10000015"/>
    <x v="0"/>
    <x v="1"/>
    <x v="79"/>
    <n v="866.4"/>
    <n v="4"/>
    <n v="225.26400000000001"/>
    <x v="11"/>
  </r>
  <r>
    <x v="1003"/>
    <x v="660"/>
    <d v="2015-08-16T00:00:00"/>
    <x v="1"/>
    <s v="BW-11065"/>
    <s v="Barry Weirich"/>
    <s v="Consumer"/>
    <x v="0"/>
    <x v="168"/>
    <x v="30"/>
    <x v="0"/>
    <s v="FUR-FU-10004270"/>
    <x v="0"/>
    <x v="3"/>
    <x v="276"/>
    <n v="46.152000000000001"/>
    <n v="3"/>
    <n v="12.1149"/>
    <x v="10"/>
  </r>
  <r>
    <x v="1004"/>
    <x v="661"/>
    <d v="2017-08-15T00:00:00"/>
    <x v="2"/>
    <s v="JM-16195"/>
    <s v="Justin MacKendrick"/>
    <s v="Consumer"/>
    <x v="0"/>
    <x v="284"/>
    <x v="2"/>
    <x v="1"/>
    <s v="FUR-FU-10001473"/>
    <x v="0"/>
    <x v="3"/>
    <x v="198"/>
    <n v="54.92"/>
    <n v="4"/>
    <n v="19.7712"/>
    <x v="10"/>
  </r>
  <r>
    <x v="1005"/>
    <x v="240"/>
    <d v="2015-11-05T00:00:00"/>
    <x v="2"/>
    <s v="FH-14365"/>
    <s v="Fred Hopkins"/>
    <s v="Corporate"/>
    <x v="0"/>
    <x v="62"/>
    <x v="7"/>
    <x v="2"/>
    <s v="FUR-CH-10004983"/>
    <x v="0"/>
    <x v="1"/>
    <x v="319"/>
    <n v="1448.82"/>
    <n v="10"/>
    <n v="209.274"/>
    <x v="0"/>
  </r>
  <r>
    <x v="1006"/>
    <x v="262"/>
    <d v="2015-09-28T00:00:00"/>
    <x v="1"/>
    <s v="SC-20440"/>
    <s v="Shaun Chance"/>
    <s v="Corporate"/>
    <x v="0"/>
    <x v="2"/>
    <x v="2"/>
    <x v="1"/>
    <s v="FUR-FU-10000010"/>
    <x v="0"/>
    <x v="3"/>
    <x v="109"/>
    <n v="14.91"/>
    <n v="3"/>
    <n v="4.6220999999999997"/>
    <x v="4"/>
  </r>
  <r>
    <x v="1007"/>
    <x v="188"/>
    <d v="2016-04-16T00:00:00"/>
    <x v="1"/>
    <s v="BP-11290"/>
    <s v="Beth Paige"/>
    <s v="Consumer"/>
    <x v="0"/>
    <x v="2"/>
    <x v="2"/>
    <x v="1"/>
    <s v="FUR-CH-10001545"/>
    <x v="0"/>
    <x v="1"/>
    <x v="361"/>
    <n v="638.28800000000001"/>
    <n v="7"/>
    <n v="-31.914400000000001"/>
    <x v="6"/>
  </r>
  <r>
    <x v="1008"/>
    <x v="163"/>
    <d v="2014-11-18T00:00:00"/>
    <x v="1"/>
    <s v="AP-10915"/>
    <s v="Arthur Prichep"/>
    <s v="Consumer"/>
    <x v="0"/>
    <x v="2"/>
    <x v="2"/>
    <x v="1"/>
    <s v="FUR-CH-10000988"/>
    <x v="0"/>
    <x v="1"/>
    <x v="221"/>
    <n v="112.648"/>
    <n v="1"/>
    <n v="11.264799999999999"/>
    <x v="0"/>
  </r>
  <r>
    <x v="1009"/>
    <x v="125"/>
    <d v="2017-10-08T00:00:00"/>
    <x v="1"/>
    <s v="JK-16090"/>
    <s v="Juliana Krohn"/>
    <s v="Consumer"/>
    <x v="0"/>
    <x v="76"/>
    <x v="36"/>
    <x v="1"/>
    <s v="FUR-BO-10001972"/>
    <x v="0"/>
    <x v="0"/>
    <x v="75"/>
    <n v="217.76400000000001"/>
    <n v="6"/>
    <n v="-384.71640000000002"/>
    <x v="1"/>
  </r>
  <r>
    <x v="1010"/>
    <x v="662"/>
    <d v="2017-04-14T00:00:00"/>
    <x v="0"/>
    <s v="MG-18205"/>
    <s v="Mitch Gastineau"/>
    <s v="Corporate"/>
    <x v="0"/>
    <x v="51"/>
    <x v="1"/>
    <x v="0"/>
    <s v="FUR-FU-10003829"/>
    <x v="0"/>
    <x v="3"/>
    <x v="275"/>
    <n v="12.32"/>
    <n v="5"/>
    <n v="1.8480000000000001"/>
    <x v="6"/>
  </r>
  <r>
    <x v="1011"/>
    <x v="560"/>
    <d v="2017-10-02T00:00:00"/>
    <x v="2"/>
    <s v="PG-18820"/>
    <s v="Patrick Gardner"/>
    <s v="Consumer"/>
    <x v="0"/>
    <x v="175"/>
    <x v="2"/>
    <x v="1"/>
    <s v="FUR-CH-10002961"/>
    <x v="0"/>
    <x v="1"/>
    <x v="189"/>
    <n v="72.784000000000006"/>
    <n v="1"/>
    <n v="0"/>
    <x v="4"/>
  </r>
  <r>
    <x v="1011"/>
    <x v="560"/>
    <d v="2017-10-02T00:00:00"/>
    <x v="2"/>
    <s v="PG-18820"/>
    <s v="Patrick Gardner"/>
    <s v="Consumer"/>
    <x v="0"/>
    <x v="175"/>
    <x v="2"/>
    <x v="1"/>
    <s v="FUR-FU-10004848"/>
    <x v="0"/>
    <x v="3"/>
    <x v="7"/>
    <n v="51.75"/>
    <n v="1"/>
    <n v="15.525"/>
    <x v="4"/>
  </r>
  <r>
    <x v="1012"/>
    <x v="189"/>
    <d v="2014-10-03T00:00:00"/>
    <x v="0"/>
    <s v="LD-17005"/>
    <s v="Lisa DeCherney"/>
    <s v="Consumer"/>
    <x v="0"/>
    <x v="13"/>
    <x v="7"/>
    <x v="2"/>
    <s v="FUR-FU-10000521"/>
    <x v="0"/>
    <x v="3"/>
    <x v="31"/>
    <n v="117.36"/>
    <n v="4"/>
    <n v="36.381599999999999"/>
    <x v="4"/>
  </r>
  <r>
    <x v="1013"/>
    <x v="663"/>
    <d v="2014-08-25T00:00:00"/>
    <x v="0"/>
    <s v="CR-12730"/>
    <s v="Craig Reiter"/>
    <s v="Consumer"/>
    <x v="0"/>
    <x v="9"/>
    <x v="8"/>
    <x v="3"/>
    <s v="FUR-CH-10004495"/>
    <x v="0"/>
    <x v="1"/>
    <x v="304"/>
    <n v="421.37200000000001"/>
    <n v="2"/>
    <n v="-6.0195999999999996"/>
    <x v="10"/>
  </r>
  <r>
    <x v="1014"/>
    <x v="596"/>
    <d v="2017-11-19T00:00:00"/>
    <x v="1"/>
    <s v="KE-16420"/>
    <s v="Katrina Edelman"/>
    <s v="Corporate"/>
    <x v="0"/>
    <x v="144"/>
    <x v="5"/>
    <x v="3"/>
    <s v="FUR-BO-10003441"/>
    <x v="0"/>
    <x v="0"/>
    <x v="145"/>
    <n v="205.9992"/>
    <n v="3"/>
    <n v="-27.264600000000002"/>
    <x v="0"/>
  </r>
  <r>
    <x v="1015"/>
    <x v="664"/>
    <d v="2016-02-11T00:00:00"/>
    <x v="1"/>
    <s v="KB-16240"/>
    <s v="Karen Bern"/>
    <s v="Corporate"/>
    <x v="0"/>
    <x v="196"/>
    <x v="9"/>
    <x v="0"/>
    <s v="FUR-FU-10000723"/>
    <x v="0"/>
    <x v="3"/>
    <x v="100"/>
    <n v="132.22399999999999"/>
    <n v="4"/>
    <n v="-18.180800000000001"/>
    <x v="11"/>
  </r>
  <r>
    <x v="1016"/>
    <x v="665"/>
    <d v="2015-03-26T00:00:00"/>
    <x v="1"/>
    <s v="JD-16150"/>
    <s v="Justin Deggeller"/>
    <s v="Corporate"/>
    <x v="0"/>
    <x v="53"/>
    <x v="2"/>
    <x v="1"/>
    <s v="FUR-FU-10000747"/>
    <x v="0"/>
    <x v="3"/>
    <x v="363"/>
    <n v="91.96"/>
    <n v="2"/>
    <n v="15.6332"/>
    <x v="9"/>
  </r>
  <r>
    <x v="1017"/>
    <x v="666"/>
    <d v="2017-05-18T00:00:00"/>
    <x v="1"/>
    <s v="CS-12175"/>
    <s v="Charles Sheldon"/>
    <s v="Corporate"/>
    <x v="0"/>
    <x v="28"/>
    <x v="2"/>
    <x v="1"/>
    <s v="FUR-TA-10001520"/>
    <x v="0"/>
    <x v="2"/>
    <x v="146"/>
    <n v="285.48"/>
    <n v="5"/>
    <n v="-10.705500000000001"/>
    <x v="7"/>
  </r>
  <r>
    <x v="1018"/>
    <x v="667"/>
    <d v="2017-09-06T00:00:00"/>
    <x v="0"/>
    <s v="KB-16405"/>
    <s v="Katrina Bavinger"/>
    <s v="Home Office"/>
    <x v="0"/>
    <x v="13"/>
    <x v="7"/>
    <x v="2"/>
    <s v="FUR-CH-10004626"/>
    <x v="0"/>
    <x v="1"/>
    <x v="353"/>
    <n v="90.801000000000002"/>
    <n v="1"/>
    <n v="14.124599999999999"/>
    <x v="4"/>
  </r>
  <r>
    <x v="1018"/>
    <x v="667"/>
    <d v="2017-09-06T00:00:00"/>
    <x v="0"/>
    <s v="KB-16405"/>
    <s v="Katrina Bavinger"/>
    <s v="Home Office"/>
    <x v="0"/>
    <x v="13"/>
    <x v="7"/>
    <x v="2"/>
    <s v="FUR-CH-10004860"/>
    <x v="0"/>
    <x v="1"/>
    <x v="41"/>
    <n v="181.76400000000001"/>
    <n v="2"/>
    <n v="-8.0784000000000002"/>
    <x v="4"/>
  </r>
  <r>
    <x v="1019"/>
    <x v="122"/>
    <d v="2016-12-07T00:00:00"/>
    <x v="1"/>
    <s v="MM-17920"/>
    <s v="Michael Moore"/>
    <s v="Consumer"/>
    <x v="0"/>
    <x v="52"/>
    <x v="6"/>
    <x v="3"/>
    <s v="FUR-TA-10004575"/>
    <x v="0"/>
    <x v="2"/>
    <x v="67"/>
    <n v="581.96"/>
    <n v="2"/>
    <n v="104.75279999999999"/>
    <x v="5"/>
  </r>
  <r>
    <x v="1019"/>
    <x v="122"/>
    <d v="2016-12-07T00:00:00"/>
    <x v="1"/>
    <s v="MM-17920"/>
    <s v="Michael Moore"/>
    <s v="Consumer"/>
    <x v="0"/>
    <x v="52"/>
    <x v="6"/>
    <x v="3"/>
    <s v="FUR-CH-10004754"/>
    <x v="0"/>
    <x v="1"/>
    <x v="219"/>
    <n v="29.98"/>
    <n v="1"/>
    <n v="8.0945999999999998"/>
    <x v="5"/>
  </r>
  <r>
    <x v="1020"/>
    <x v="668"/>
    <d v="2016-07-26T00:00:00"/>
    <x v="1"/>
    <s v="BP-11290"/>
    <s v="Beth Paige"/>
    <s v="Consumer"/>
    <x v="0"/>
    <x v="41"/>
    <x v="30"/>
    <x v="0"/>
    <s v="FUR-CH-10002961"/>
    <x v="0"/>
    <x v="1"/>
    <x v="189"/>
    <n v="363.92"/>
    <n v="5"/>
    <n v="0"/>
    <x v="3"/>
  </r>
  <r>
    <x v="1021"/>
    <x v="159"/>
    <d v="2015-09-26T00:00:00"/>
    <x v="0"/>
    <s v="MG-17875"/>
    <s v="Michael Grace"/>
    <s v="Home Office"/>
    <x v="0"/>
    <x v="58"/>
    <x v="25"/>
    <x v="0"/>
    <s v="FUR-FU-10002554"/>
    <x v="0"/>
    <x v="3"/>
    <x v="185"/>
    <n v="47.98"/>
    <n v="2"/>
    <n v="11.035399999999999"/>
    <x v="4"/>
  </r>
  <r>
    <x v="1022"/>
    <x v="669"/>
    <d v="2015-11-21T00:00:00"/>
    <x v="1"/>
    <s v="BS-11665"/>
    <s v="Brian Stugart"/>
    <s v="Consumer"/>
    <x v="0"/>
    <x v="53"/>
    <x v="2"/>
    <x v="1"/>
    <s v="FUR-FU-10002813"/>
    <x v="0"/>
    <x v="3"/>
    <x v="350"/>
    <n v="80.959999999999994"/>
    <n v="4"/>
    <n v="29.145600000000002"/>
    <x v="0"/>
  </r>
  <r>
    <x v="1022"/>
    <x v="669"/>
    <d v="2015-11-21T00:00:00"/>
    <x v="1"/>
    <s v="BS-11665"/>
    <s v="Brian Stugart"/>
    <s v="Consumer"/>
    <x v="0"/>
    <x v="53"/>
    <x v="2"/>
    <x v="1"/>
    <s v="FUR-CH-10001708"/>
    <x v="0"/>
    <x v="1"/>
    <x v="180"/>
    <n v="225.56800000000001"/>
    <n v="2"/>
    <n v="2.8195999999999999"/>
    <x v="0"/>
  </r>
  <r>
    <x v="1022"/>
    <x v="669"/>
    <d v="2015-11-21T00:00:00"/>
    <x v="1"/>
    <s v="BS-11665"/>
    <s v="Brian Stugart"/>
    <s v="Consumer"/>
    <x v="0"/>
    <x v="53"/>
    <x v="2"/>
    <x v="1"/>
    <s v="FUR-FU-10001591"/>
    <x v="0"/>
    <x v="3"/>
    <x v="215"/>
    <n v="36.6"/>
    <n v="3"/>
    <n v="15.372"/>
    <x v="0"/>
  </r>
  <r>
    <x v="1023"/>
    <x v="670"/>
    <d v="2015-11-14T00:00:00"/>
    <x v="1"/>
    <s v="PO-19180"/>
    <s v="Philisse Overcash"/>
    <s v="Home Office"/>
    <x v="0"/>
    <x v="18"/>
    <x v="11"/>
    <x v="3"/>
    <s v="FUR-FU-10004351"/>
    <x v="0"/>
    <x v="3"/>
    <x v="47"/>
    <n v="29.22"/>
    <n v="3"/>
    <n v="12.8568"/>
    <x v="0"/>
  </r>
  <r>
    <x v="1024"/>
    <x v="671"/>
    <d v="2015-08-11T00:00:00"/>
    <x v="1"/>
    <s v="AH-10690"/>
    <s v="Anna HŠberlin"/>
    <s v="Corporate"/>
    <x v="0"/>
    <x v="144"/>
    <x v="5"/>
    <x v="3"/>
    <s v="FUR-FU-10002364"/>
    <x v="0"/>
    <x v="3"/>
    <x v="242"/>
    <n v="14.76"/>
    <n v="5"/>
    <n v="-11.439"/>
    <x v="10"/>
  </r>
  <r>
    <x v="1025"/>
    <x v="667"/>
    <d v="2017-09-07T00:00:00"/>
    <x v="0"/>
    <s v="JK-15730"/>
    <s v="Joe Kamberova"/>
    <s v="Consumer"/>
    <x v="0"/>
    <x v="41"/>
    <x v="2"/>
    <x v="1"/>
    <s v="FUR-BO-10004218"/>
    <x v="0"/>
    <x v="0"/>
    <x v="327"/>
    <n v="239.666"/>
    <n v="2"/>
    <n v="14.098000000000001"/>
    <x v="4"/>
  </r>
  <r>
    <x v="1026"/>
    <x v="341"/>
    <d v="2015-11-08T00:00:00"/>
    <x v="1"/>
    <s v="MS-17530"/>
    <s v="MaryBeth Skach"/>
    <s v="Consumer"/>
    <x v="0"/>
    <x v="285"/>
    <x v="31"/>
    <x v="0"/>
    <s v="FUR-TA-10002530"/>
    <x v="0"/>
    <x v="2"/>
    <x v="197"/>
    <n v="301.95999999999998"/>
    <n v="2"/>
    <n v="45.293999999999997"/>
    <x v="0"/>
  </r>
  <r>
    <x v="1027"/>
    <x v="31"/>
    <d v="2014-08-07T00:00:00"/>
    <x v="0"/>
    <s v="RS-19420"/>
    <s v="Ricardo Sperren"/>
    <s v="Corporate"/>
    <x v="0"/>
    <x v="286"/>
    <x v="19"/>
    <x v="2"/>
    <s v="FUR-CH-10002335"/>
    <x v="0"/>
    <x v="1"/>
    <x v="133"/>
    <n v="1133.3499999999999"/>
    <n v="5"/>
    <n v="294.67099999999999"/>
    <x v="10"/>
  </r>
  <r>
    <x v="1028"/>
    <x v="267"/>
    <d v="2016-11-12T00:00:00"/>
    <x v="1"/>
    <s v="MA-17995"/>
    <s v="Michelle Arnett"/>
    <s v="Home Office"/>
    <x v="0"/>
    <x v="287"/>
    <x v="45"/>
    <x v="1"/>
    <s v="FUR-CH-10001215"/>
    <x v="0"/>
    <x v="1"/>
    <x v="94"/>
    <n v="1603.136"/>
    <n v="4"/>
    <n v="100.196"/>
    <x v="0"/>
  </r>
  <r>
    <x v="1029"/>
    <x v="184"/>
    <d v="2016-06-14T00:00:00"/>
    <x v="3"/>
    <s v="EB-13705"/>
    <s v="Ed Braxton"/>
    <s v="Corporate"/>
    <x v="0"/>
    <x v="261"/>
    <x v="2"/>
    <x v="1"/>
    <s v="FUR-TA-10001771"/>
    <x v="0"/>
    <x v="2"/>
    <x v="358"/>
    <n v="1293.4880000000001"/>
    <n v="7"/>
    <n v="80.843000000000004"/>
    <x v="2"/>
  </r>
  <r>
    <x v="1030"/>
    <x v="211"/>
    <d v="2016-09-28T00:00:00"/>
    <x v="1"/>
    <s v="RD-19900"/>
    <s v="Ruben Dartt"/>
    <s v="Consumer"/>
    <x v="0"/>
    <x v="17"/>
    <x v="6"/>
    <x v="3"/>
    <s v="FUR-FU-10004006"/>
    <x v="0"/>
    <x v="3"/>
    <x v="23"/>
    <n v="127.95"/>
    <n v="3"/>
    <n v="21.7515"/>
    <x v="4"/>
  </r>
  <r>
    <x v="1031"/>
    <x v="126"/>
    <d v="2016-09-22T00:00:00"/>
    <x v="1"/>
    <s v="JW-15220"/>
    <s v="Jane Waco"/>
    <s v="Corporate"/>
    <x v="0"/>
    <x v="53"/>
    <x v="2"/>
    <x v="1"/>
    <s v="FUR-CH-10001215"/>
    <x v="0"/>
    <x v="1"/>
    <x v="94"/>
    <n v="801.56799999999998"/>
    <n v="2"/>
    <n v="50.097999999999999"/>
    <x v="4"/>
  </r>
  <r>
    <x v="1031"/>
    <x v="126"/>
    <d v="2016-09-22T00:00:00"/>
    <x v="1"/>
    <s v="JW-15220"/>
    <s v="Jane Waco"/>
    <s v="Corporate"/>
    <x v="0"/>
    <x v="53"/>
    <x v="2"/>
    <x v="1"/>
    <s v="FUR-CH-10002880"/>
    <x v="0"/>
    <x v="1"/>
    <x v="162"/>
    <n v="885.52800000000002"/>
    <n v="9"/>
    <n v="-99.621899999999997"/>
    <x v="4"/>
  </r>
  <r>
    <x v="1032"/>
    <x v="345"/>
    <d v="2016-03-15T00:00:00"/>
    <x v="0"/>
    <s v="EH-13765"/>
    <s v="Edward Hooks"/>
    <s v="Corporate"/>
    <x v="0"/>
    <x v="28"/>
    <x v="2"/>
    <x v="1"/>
    <s v="FUR-FU-10004712"/>
    <x v="0"/>
    <x v="3"/>
    <x v="78"/>
    <n v="28.28"/>
    <n v="2"/>
    <n v="7.3528000000000002"/>
    <x v="9"/>
  </r>
  <r>
    <x v="1033"/>
    <x v="672"/>
    <d v="2016-04-09T00:00:00"/>
    <x v="1"/>
    <s v="ZD-21925"/>
    <s v="Zuschuss Donatelli"/>
    <s v="Consumer"/>
    <x v="0"/>
    <x v="52"/>
    <x v="6"/>
    <x v="3"/>
    <s v="FUR-FU-10003799"/>
    <x v="0"/>
    <x v="3"/>
    <x v="21"/>
    <n v="71.12"/>
    <n v="4"/>
    <n v="22.0472"/>
    <x v="6"/>
  </r>
  <r>
    <x v="1034"/>
    <x v="673"/>
    <d v="2016-12-02T00:00:00"/>
    <x v="1"/>
    <s v="PC-18745"/>
    <s v="Pamela Coakley"/>
    <s v="Corporate"/>
    <x v="0"/>
    <x v="162"/>
    <x v="18"/>
    <x v="2"/>
    <s v="FUR-FU-10001889"/>
    <x v="0"/>
    <x v="3"/>
    <x v="228"/>
    <n v="31.56"/>
    <n v="3"/>
    <n v="10.4148"/>
    <x v="0"/>
  </r>
  <r>
    <x v="1035"/>
    <x v="674"/>
    <d v="2016-12-07T00:00:00"/>
    <x v="1"/>
    <s v="KD-16495"/>
    <s v="Keith Dawkins"/>
    <s v="Corporate"/>
    <x v="0"/>
    <x v="124"/>
    <x v="2"/>
    <x v="1"/>
    <s v="FUR-FU-10003026"/>
    <x v="0"/>
    <x v="3"/>
    <x v="318"/>
    <n v="14.52"/>
    <n v="3"/>
    <n v="5.6627999999999998"/>
    <x v="5"/>
  </r>
  <r>
    <x v="1036"/>
    <x v="5"/>
    <d v="2015-09-23T00:00:00"/>
    <x v="1"/>
    <s v="PF-19120"/>
    <s v="Peter Fuller"/>
    <s v="Consumer"/>
    <x v="0"/>
    <x v="13"/>
    <x v="7"/>
    <x v="2"/>
    <s v="FUR-CH-10001973"/>
    <x v="0"/>
    <x v="1"/>
    <x v="183"/>
    <n v="199.76400000000001"/>
    <n v="2"/>
    <n v="8.8783999999999992"/>
    <x v="4"/>
  </r>
  <r>
    <x v="1036"/>
    <x v="5"/>
    <d v="2015-09-23T00:00:00"/>
    <x v="1"/>
    <s v="PF-19120"/>
    <s v="Peter Fuller"/>
    <s v="Consumer"/>
    <x v="0"/>
    <x v="13"/>
    <x v="7"/>
    <x v="2"/>
    <s v="FUR-BO-10004834"/>
    <x v="0"/>
    <x v="0"/>
    <x v="6"/>
    <n v="4228.7039999999997"/>
    <n v="6"/>
    <n v="158.57640000000001"/>
    <x v="4"/>
  </r>
  <r>
    <x v="1036"/>
    <x v="5"/>
    <d v="2015-09-23T00:00:00"/>
    <x v="1"/>
    <s v="PF-19120"/>
    <s v="Peter Fuller"/>
    <s v="Consumer"/>
    <x v="0"/>
    <x v="13"/>
    <x v="7"/>
    <x v="2"/>
    <s v="FUR-BO-10002213"/>
    <x v="0"/>
    <x v="0"/>
    <x v="240"/>
    <n v="2003.92"/>
    <n v="5"/>
    <n v="-25.048999999999999"/>
    <x v="4"/>
  </r>
  <r>
    <x v="1037"/>
    <x v="675"/>
    <d v="2016-11-30T00:00:00"/>
    <x v="0"/>
    <s v="DK-13225"/>
    <s v="Dean Katz"/>
    <s v="Corporate"/>
    <x v="0"/>
    <x v="13"/>
    <x v="7"/>
    <x v="2"/>
    <s v="FUR-TA-10002958"/>
    <x v="0"/>
    <x v="2"/>
    <x v="192"/>
    <n v="313.17599999999999"/>
    <n v="2"/>
    <n v="-120.0508"/>
    <x v="0"/>
  </r>
  <r>
    <x v="1038"/>
    <x v="676"/>
    <d v="2014-04-12T00:00:00"/>
    <x v="1"/>
    <s v="RA-19885"/>
    <s v="Ruben Ausman"/>
    <s v="Corporate"/>
    <x v="0"/>
    <x v="42"/>
    <x v="33"/>
    <x v="0"/>
    <s v="FUR-TA-10001086"/>
    <x v="0"/>
    <x v="2"/>
    <x v="360"/>
    <n v="1215.92"/>
    <n v="8"/>
    <n v="316.13920000000002"/>
    <x v="6"/>
  </r>
  <r>
    <x v="1039"/>
    <x v="524"/>
    <d v="2014-10-15T00:00:00"/>
    <x v="1"/>
    <s v="DB-13555"/>
    <s v="Dorothy Badders"/>
    <s v="Corporate"/>
    <x v="0"/>
    <x v="160"/>
    <x v="31"/>
    <x v="0"/>
    <s v="FUR-FU-10002107"/>
    <x v="0"/>
    <x v="3"/>
    <x v="262"/>
    <n v="8.92"/>
    <n v="4"/>
    <n v="3.9247999999999998"/>
    <x v="1"/>
  </r>
  <r>
    <x v="1040"/>
    <x v="677"/>
    <d v="2017-07-09T00:00:00"/>
    <x v="2"/>
    <s v="RL-19615"/>
    <s v="Rob Lucas"/>
    <s v="Consumer"/>
    <x v="0"/>
    <x v="3"/>
    <x v="3"/>
    <x v="2"/>
    <s v="FUR-BO-10001519"/>
    <x v="0"/>
    <x v="0"/>
    <x v="141"/>
    <n v="87.21"/>
    <n v="3"/>
    <n v="-45.349200000000003"/>
    <x v="3"/>
  </r>
  <r>
    <x v="1041"/>
    <x v="557"/>
    <d v="2016-07-04T00:00:00"/>
    <x v="3"/>
    <s v="RB-19465"/>
    <s v="Rick Bensley"/>
    <s v="Home Office"/>
    <x v="0"/>
    <x v="15"/>
    <x v="13"/>
    <x v="1"/>
    <s v="FUR-FU-10000221"/>
    <x v="0"/>
    <x v="3"/>
    <x v="111"/>
    <n v="25.4"/>
    <n v="5"/>
    <n v="8.6359999999999992"/>
    <x v="3"/>
  </r>
  <r>
    <x v="1042"/>
    <x v="678"/>
    <d v="2014-08-29T00:00:00"/>
    <x v="1"/>
    <s v="JM-15265"/>
    <s v="Janet Molinari"/>
    <s v="Corporate"/>
    <x v="0"/>
    <x v="2"/>
    <x v="2"/>
    <x v="1"/>
    <s v="FUR-FU-10000771"/>
    <x v="0"/>
    <x v="3"/>
    <x v="285"/>
    <n v="6.28"/>
    <n v="1"/>
    <n v="2.6375999999999999"/>
    <x v="10"/>
  </r>
  <r>
    <x v="1043"/>
    <x v="163"/>
    <d v="2014-11-15T00:00:00"/>
    <x v="0"/>
    <s v="TS-21430"/>
    <s v="Tom Stivers"/>
    <s v="Corporate"/>
    <x v="0"/>
    <x v="288"/>
    <x v="3"/>
    <x v="2"/>
    <s v="FUR-FU-10000409"/>
    <x v="0"/>
    <x v="3"/>
    <x v="283"/>
    <n v="23.968"/>
    <n v="2"/>
    <n v="7.7896000000000001"/>
    <x v="0"/>
  </r>
  <r>
    <x v="1043"/>
    <x v="163"/>
    <d v="2014-11-15T00:00:00"/>
    <x v="0"/>
    <s v="TS-21430"/>
    <s v="Tom Stivers"/>
    <s v="Corporate"/>
    <x v="0"/>
    <x v="288"/>
    <x v="3"/>
    <x v="2"/>
    <s v="FUR-BO-10002545"/>
    <x v="0"/>
    <x v="0"/>
    <x v="9"/>
    <n v="521.96"/>
    <n v="4"/>
    <n v="-250.54079999999999"/>
    <x v="0"/>
  </r>
  <r>
    <x v="1044"/>
    <x v="679"/>
    <d v="2016-03-15T00:00:00"/>
    <x v="0"/>
    <s v="DK-13225"/>
    <s v="Dean Katz"/>
    <s v="Corporate"/>
    <x v="0"/>
    <x v="28"/>
    <x v="2"/>
    <x v="1"/>
    <s v="FUR-CH-10003746"/>
    <x v="0"/>
    <x v="1"/>
    <x v="131"/>
    <n v="770.35199999999998"/>
    <n v="3"/>
    <n v="77.035200000000003"/>
    <x v="9"/>
  </r>
  <r>
    <x v="1045"/>
    <x v="436"/>
    <d v="2017-02-14T00:00:00"/>
    <x v="0"/>
    <s v="ML-17395"/>
    <s v="Marina Lichtenstein"/>
    <s v="Corporate"/>
    <x v="0"/>
    <x v="2"/>
    <x v="2"/>
    <x v="1"/>
    <s v="FUR-FU-10003142"/>
    <x v="0"/>
    <x v="3"/>
    <x v="238"/>
    <n v="21.12"/>
    <n v="4"/>
    <n v="6.5472000000000001"/>
    <x v="11"/>
  </r>
  <r>
    <x v="1046"/>
    <x v="435"/>
    <d v="2014-07-22T00:00:00"/>
    <x v="2"/>
    <s v="CC-12145"/>
    <s v="Charles Crestani"/>
    <s v="Consumer"/>
    <x v="0"/>
    <x v="53"/>
    <x v="2"/>
    <x v="1"/>
    <s v="FUR-FU-10003577"/>
    <x v="0"/>
    <x v="3"/>
    <x v="128"/>
    <n v="43.02"/>
    <n v="3"/>
    <n v="15.4872"/>
    <x v="3"/>
  </r>
  <r>
    <x v="1047"/>
    <x v="335"/>
    <d v="2017-02-11T00:00:00"/>
    <x v="1"/>
    <s v="BD-11770"/>
    <s v="Bryan Davis"/>
    <s v="Consumer"/>
    <x v="0"/>
    <x v="13"/>
    <x v="7"/>
    <x v="2"/>
    <s v="FUR-BO-10001811"/>
    <x v="0"/>
    <x v="0"/>
    <x v="157"/>
    <n v="240.78399999999999"/>
    <n v="1"/>
    <n v="30.097999999999999"/>
    <x v="11"/>
  </r>
  <r>
    <x v="1048"/>
    <x v="266"/>
    <d v="2014-09-13T00:00:00"/>
    <x v="1"/>
    <s v="RB-19465"/>
    <s v="Rick Bensley"/>
    <s v="Home Office"/>
    <x v="0"/>
    <x v="169"/>
    <x v="37"/>
    <x v="3"/>
    <s v="FUR-TA-10001039"/>
    <x v="0"/>
    <x v="2"/>
    <x v="165"/>
    <n v="429.9"/>
    <n v="5"/>
    <n v="111.774"/>
    <x v="4"/>
  </r>
  <r>
    <x v="1048"/>
    <x v="266"/>
    <d v="2014-09-13T00:00:00"/>
    <x v="1"/>
    <s v="RB-19465"/>
    <s v="Rick Bensley"/>
    <s v="Home Office"/>
    <x v="0"/>
    <x v="169"/>
    <x v="37"/>
    <x v="3"/>
    <s v="FUR-CH-10004698"/>
    <x v="0"/>
    <x v="1"/>
    <x v="34"/>
    <n v="161.96"/>
    <n v="2"/>
    <n v="45.348799999999997"/>
    <x v="4"/>
  </r>
  <r>
    <x v="1049"/>
    <x v="680"/>
    <d v="2016-07-25T00:00:00"/>
    <x v="1"/>
    <s v="JS-16030"/>
    <s v="Joy Smith"/>
    <s v="Consumer"/>
    <x v="0"/>
    <x v="289"/>
    <x v="21"/>
    <x v="0"/>
    <s v="FUR-FU-10001185"/>
    <x v="0"/>
    <x v="3"/>
    <x v="281"/>
    <n v="185.58"/>
    <n v="6"/>
    <n v="76.087800000000001"/>
    <x v="3"/>
  </r>
  <r>
    <x v="1049"/>
    <x v="680"/>
    <d v="2016-07-25T00:00:00"/>
    <x v="1"/>
    <s v="JS-16030"/>
    <s v="Joy Smith"/>
    <s v="Consumer"/>
    <x v="0"/>
    <x v="289"/>
    <x v="21"/>
    <x v="0"/>
    <s v="FUR-BO-10003546"/>
    <x v="0"/>
    <x v="0"/>
    <x v="341"/>
    <n v="504.9"/>
    <n v="5"/>
    <n v="126.22499999999999"/>
    <x v="3"/>
  </r>
  <r>
    <x v="1050"/>
    <x v="102"/>
    <d v="2017-09-21T00:00:00"/>
    <x v="1"/>
    <s v="ES-14020"/>
    <s v="Erica Smith"/>
    <s v="Consumer"/>
    <x v="0"/>
    <x v="2"/>
    <x v="2"/>
    <x v="1"/>
    <s v="FUR-CH-10003396"/>
    <x v="0"/>
    <x v="1"/>
    <x v="81"/>
    <n v="184.75200000000001"/>
    <n v="3"/>
    <n v="-20.784600000000001"/>
    <x v="4"/>
  </r>
  <r>
    <x v="1051"/>
    <x v="106"/>
    <d v="2016-12-11T00:00:00"/>
    <x v="3"/>
    <s v="NS-18640"/>
    <s v="Noel Staavos"/>
    <s v="Corporate"/>
    <x v="0"/>
    <x v="29"/>
    <x v="15"/>
    <x v="2"/>
    <s v="FUR-CH-10003298"/>
    <x v="0"/>
    <x v="1"/>
    <x v="322"/>
    <n v="458.43"/>
    <n v="5"/>
    <n v="-137.529"/>
    <x v="5"/>
  </r>
  <r>
    <x v="1051"/>
    <x v="106"/>
    <d v="2016-12-11T00:00:00"/>
    <x v="3"/>
    <s v="NS-18640"/>
    <s v="Noel Staavos"/>
    <s v="Corporate"/>
    <x v="0"/>
    <x v="29"/>
    <x v="15"/>
    <x v="2"/>
    <s v="FUR-TA-10003008"/>
    <x v="0"/>
    <x v="2"/>
    <x v="190"/>
    <n v="328.59"/>
    <n v="3"/>
    <n v="-147.8655"/>
    <x v="5"/>
  </r>
  <r>
    <x v="1052"/>
    <x v="681"/>
    <d v="2014-12-14T00:00:00"/>
    <x v="1"/>
    <s v="SH-19975"/>
    <s v="Sally Hughsby"/>
    <s v="Corporate"/>
    <x v="0"/>
    <x v="290"/>
    <x v="42"/>
    <x v="1"/>
    <s v="FUR-CH-10001708"/>
    <x v="0"/>
    <x v="1"/>
    <x v="180"/>
    <n v="338.35199999999998"/>
    <n v="3"/>
    <n v="4.2294"/>
    <x v="5"/>
  </r>
  <r>
    <x v="1053"/>
    <x v="536"/>
    <d v="2014-12-17T00:00:00"/>
    <x v="1"/>
    <s v="RF-19345"/>
    <s v="Randy Ferguson"/>
    <s v="Corporate"/>
    <x v="0"/>
    <x v="43"/>
    <x v="22"/>
    <x v="1"/>
    <s v="FUR-FU-10002553"/>
    <x v="0"/>
    <x v="3"/>
    <x v="218"/>
    <n v="87.96"/>
    <n v="3"/>
    <n v="7.6965000000000003"/>
    <x v="5"/>
  </r>
  <r>
    <x v="1054"/>
    <x v="87"/>
    <d v="2017-09-11T00:00:00"/>
    <x v="1"/>
    <s v="AG-10390"/>
    <s v="Allen Goldenen"/>
    <s v="Consumer"/>
    <x v="0"/>
    <x v="2"/>
    <x v="2"/>
    <x v="1"/>
    <s v="FUR-FU-10002597"/>
    <x v="0"/>
    <x v="3"/>
    <x v="132"/>
    <n v="19.760000000000002"/>
    <n v="4"/>
    <n v="8.2992000000000008"/>
    <x v="4"/>
  </r>
  <r>
    <x v="1055"/>
    <x v="46"/>
    <d v="2015-11-07T00:00:00"/>
    <x v="1"/>
    <s v="SW-20245"/>
    <s v="Scot Wooten"/>
    <s v="Consumer"/>
    <x v="0"/>
    <x v="8"/>
    <x v="7"/>
    <x v="2"/>
    <s v="FUR-CH-10003535"/>
    <x v="0"/>
    <x v="1"/>
    <x v="312"/>
    <n v="109.764"/>
    <n v="2"/>
    <n v="8.5372000000000003"/>
    <x v="0"/>
  </r>
  <r>
    <x v="1056"/>
    <x v="535"/>
    <d v="2017-04-03T00:00:00"/>
    <x v="2"/>
    <s v="GB-14530"/>
    <s v="George Bell"/>
    <s v="Corporate"/>
    <x v="0"/>
    <x v="73"/>
    <x v="10"/>
    <x v="0"/>
    <s v="FUR-FU-10004006"/>
    <x v="0"/>
    <x v="3"/>
    <x v="23"/>
    <n v="127.95"/>
    <n v="3"/>
    <n v="21.7515"/>
    <x v="6"/>
  </r>
  <r>
    <x v="1057"/>
    <x v="226"/>
    <d v="2014-04-12T00:00:00"/>
    <x v="1"/>
    <s v="AY-10555"/>
    <s v="Andy Yotov"/>
    <s v="Corporate"/>
    <x v="0"/>
    <x v="2"/>
    <x v="2"/>
    <x v="1"/>
    <s v="FUR-FU-10000747"/>
    <x v="0"/>
    <x v="3"/>
    <x v="363"/>
    <n v="91.96"/>
    <n v="2"/>
    <n v="15.6332"/>
    <x v="6"/>
  </r>
  <r>
    <x v="1057"/>
    <x v="226"/>
    <d v="2014-04-12T00:00:00"/>
    <x v="1"/>
    <s v="AY-10555"/>
    <s v="Andy Yotov"/>
    <s v="Corporate"/>
    <x v="0"/>
    <x v="2"/>
    <x v="2"/>
    <x v="1"/>
    <s v="FUR-FU-10001918"/>
    <x v="0"/>
    <x v="3"/>
    <x v="60"/>
    <n v="33.11"/>
    <n v="7"/>
    <n v="12.9129"/>
    <x v="6"/>
  </r>
  <r>
    <x v="1058"/>
    <x v="682"/>
    <d v="2017-07-06T00:00:00"/>
    <x v="3"/>
    <s v="AH-10585"/>
    <s v="Angele Hood"/>
    <s v="Consumer"/>
    <x v="0"/>
    <x v="89"/>
    <x v="1"/>
    <x v="0"/>
    <s v="FUR-CH-10000155"/>
    <x v="0"/>
    <x v="1"/>
    <x v="229"/>
    <n v="239.24"/>
    <n v="1"/>
    <n v="23.923999999999999"/>
    <x v="3"/>
  </r>
  <r>
    <x v="1059"/>
    <x v="683"/>
    <d v="2017-01-01T00:00:00"/>
    <x v="1"/>
    <s v="SS-20140"/>
    <s v="Saphhira Shifley"/>
    <s v="Corporate"/>
    <x v="0"/>
    <x v="291"/>
    <x v="28"/>
    <x v="2"/>
    <s v="FUR-FU-10003142"/>
    <x v="0"/>
    <x v="3"/>
    <x v="238"/>
    <n v="21.12"/>
    <n v="4"/>
    <n v="6.5472000000000001"/>
    <x v="5"/>
  </r>
  <r>
    <x v="1060"/>
    <x v="646"/>
    <d v="2015-12-18T00:00:00"/>
    <x v="1"/>
    <s v="PP-18955"/>
    <s v="Paul Prost"/>
    <s v="Home Office"/>
    <x v="0"/>
    <x v="2"/>
    <x v="2"/>
    <x v="1"/>
    <s v="FUR-FU-10002963"/>
    <x v="0"/>
    <x v="3"/>
    <x v="305"/>
    <n v="15.24"/>
    <n v="3"/>
    <n v="5.1816000000000004"/>
    <x v="5"/>
  </r>
  <r>
    <x v="1061"/>
    <x v="631"/>
    <d v="2016-09-08T00:00:00"/>
    <x v="1"/>
    <s v="AA-10645"/>
    <s v="Anna Andreadi"/>
    <s v="Consumer"/>
    <x v="0"/>
    <x v="292"/>
    <x v="0"/>
    <x v="0"/>
    <s v="FUR-FU-10003347"/>
    <x v="0"/>
    <x v="3"/>
    <x v="80"/>
    <n v="42.6"/>
    <n v="3"/>
    <n v="16.614000000000001"/>
    <x v="4"/>
  </r>
  <r>
    <x v="1062"/>
    <x v="684"/>
    <d v="2016-02-08T00:00:00"/>
    <x v="1"/>
    <s v="TB-21520"/>
    <s v="Tracy Blumstein"/>
    <s v="Consumer"/>
    <x v="0"/>
    <x v="293"/>
    <x v="22"/>
    <x v="1"/>
    <s v="FUR-FU-10002088"/>
    <x v="0"/>
    <x v="3"/>
    <x v="209"/>
    <n v="14.368"/>
    <n v="2"/>
    <n v="3.9512"/>
    <x v="11"/>
  </r>
  <r>
    <x v="1063"/>
    <x v="405"/>
    <d v="2017-05-24T00:00:00"/>
    <x v="0"/>
    <s v="AH-10075"/>
    <s v="Adam Hart"/>
    <s v="Corporate"/>
    <x v="0"/>
    <x v="270"/>
    <x v="9"/>
    <x v="0"/>
    <s v="FUR-CH-10001482"/>
    <x v="0"/>
    <x v="1"/>
    <x v="112"/>
    <n v="314.35199999999998"/>
    <n v="3"/>
    <n v="-35.364600000000003"/>
    <x v="7"/>
  </r>
  <r>
    <x v="1064"/>
    <x v="558"/>
    <d v="2015-09-08T00:00:00"/>
    <x v="1"/>
    <s v="CP-12085"/>
    <s v="Cathy Prescott"/>
    <s v="Corporate"/>
    <x v="0"/>
    <x v="104"/>
    <x v="22"/>
    <x v="1"/>
    <s v="FUR-FU-10002937"/>
    <x v="0"/>
    <x v="3"/>
    <x v="205"/>
    <n v="238.15199999999999"/>
    <n v="3"/>
    <n v="89.307000000000002"/>
    <x v="4"/>
  </r>
  <r>
    <x v="1065"/>
    <x v="641"/>
    <d v="2016-06-16T00:00:00"/>
    <x v="1"/>
    <s v="BF-11215"/>
    <s v="Benjamin Farhat"/>
    <s v="Home Office"/>
    <x v="0"/>
    <x v="12"/>
    <x v="11"/>
    <x v="3"/>
    <s v="FUR-TA-10001771"/>
    <x v="0"/>
    <x v="2"/>
    <x v="358"/>
    <n v="692.94"/>
    <n v="3"/>
    <n v="173.23500000000001"/>
    <x v="2"/>
  </r>
  <r>
    <x v="1066"/>
    <x v="348"/>
    <d v="2016-09-26T00:00:00"/>
    <x v="0"/>
    <s v="JS-15940"/>
    <s v="Joni Sundaresam"/>
    <s v="Home Office"/>
    <x v="0"/>
    <x v="68"/>
    <x v="15"/>
    <x v="2"/>
    <s v="FUR-FU-10004963"/>
    <x v="0"/>
    <x v="3"/>
    <x v="289"/>
    <n v="28"/>
    <n v="4"/>
    <n v="7.7"/>
    <x v="4"/>
  </r>
  <r>
    <x v="1067"/>
    <x v="685"/>
    <d v="2017-05-24T00:00:00"/>
    <x v="1"/>
    <s v="CC-12430"/>
    <s v="Chuck Clark"/>
    <s v="Home Office"/>
    <x v="0"/>
    <x v="174"/>
    <x v="2"/>
    <x v="1"/>
    <s v="FUR-CH-10000225"/>
    <x v="0"/>
    <x v="1"/>
    <x v="85"/>
    <n v="518.27200000000005"/>
    <n v="8"/>
    <n v="-97.176000000000002"/>
    <x v="7"/>
  </r>
  <r>
    <x v="1067"/>
    <x v="685"/>
    <d v="2017-05-24T00:00:00"/>
    <x v="1"/>
    <s v="CC-12430"/>
    <s v="Chuck Clark"/>
    <s v="Home Office"/>
    <x v="0"/>
    <x v="174"/>
    <x v="2"/>
    <x v="1"/>
    <s v="FUR-FU-10002191"/>
    <x v="0"/>
    <x v="3"/>
    <x v="154"/>
    <n v="6.98"/>
    <n v="1"/>
    <n v="3.3504"/>
    <x v="7"/>
  </r>
  <r>
    <x v="1068"/>
    <x v="686"/>
    <d v="2016-09-07T00:00:00"/>
    <x v="1"/>
    <s v="PG-18820"/>
    <s v="Patrick Gardner"/>
    <s v="Consumer"/>
    <x v="0"/>
    <x v="13"/>
    <x v="7"/>
    <x v="2"/>
    <s v="FUR-FU-10004864"/>
    <x v="0"/>
    <x v="3"/>
    <x v="92"/>
    <n v="191.82"/>
    <n v="3"/>
    <n v="61.382399999999997"/>
    <x v="4"/>
  </r>
  <r>
    <x v="1069"/>
    <x v="687"/>
    <d v="2014-02-18T00:00:00"/>
    <x v="3"/>
    <s v="TB-21595"/>
    <s v="Troy Blackwell"/>
    <s v="Consumer"/>
    <x v="0"/>
    <x v="294"/>
    <x v="5"/>
    <x v="3"/>
    <s v="FUR-FU-10002396"/>
    <x v="0"/>
    <x v="3"/>
    <x v="326"/>
    <n v="25.16"/>
    <n v="5"/>
    <n v="-11.321999999999999"/>
    <x v="11"/>
  </r>
  <r>
    <x v="1070"/>
    <x v="646"/>
    <d v="2015-12-18T00:00:00"/>
    <x v="1"/>
    <s v="EH-13945"/>
    <s v="Eric Hoffmann"/>
    <s v="Consumer"/>
    <x v="0"/>
    <x v="46"/>
    <x v="2"/>
    <x v="1"/>
    <s v="FUR-FU-10004351"/>
    <x v="0"/>
    <x v="3"/>
    <x v="47"/>
    <n v="29.22"/>
    <n v="3"/>
    <n v="12.8568"/>
    <x v="5"/>
  </r>
  <r>
    <x v="1071"/>
    <x v="688"/>
    <d v="2017-09-26T00:00:00"/>
    <x v="1"/>
    <s v="SV-20365"/>
    <s v="Seth Vernon"/>
    <s v="Consumer"/>
    <x v="0"/>
    <x v="13"/>
    <x v="7"/>
    <x v="2"/>
    <s v="FUR-CH-10003846"/>
    <x v="0"/>
    <x v="1"/>
    <x v="186"/>
    <n v="272.64600000000002"/>
    <n v="3"/>
    <n v="18.176400000000001"/>
    <x v="4"/>
  </r>
  <r>
    <x v="1071"/>
    <x v="688"/>
    <d v="2017-09-26T00:00:00"/>
    <x v="1"/>
    <s v="SV-20365"/>
    <s v="Seth Vernon"/>
    <s v="Consumer"/>
    <x v="0"/>
    <x v="13"/>
    <x v="7"/>
    <x v="2"/>
    <s v="FUR-CH-10003061"/>
    <x v="0"/>
    <x v="1"/>
    <x v="12"/>
    <n v="80.991"/>
    <n v="1"/>
    <n v="8.0991"/>
    <x v="4"/>
  </r>
  <r>
    <x v="1071"/>
    <x v="688"/>
    <d v="2017-09-26T00:00:00"/>
    <x v="1"/>
    <s v="SV-20365"/>
    <s v="Seth Vernon"/>
    <s v="Consumer"/>
    <x v="0"/>
    <x v="13"/>
    <x v="7"/>
    <x v="2"/>
    <s v="FUR-CH-10004086"/>
    <x v="0"/>
    <x v="1"/>
    <x v="61"/>
    <n v="2888.127"/>
    <n v="11"/>
    <n v="609.71569999999997"/>
    <x v="4"/>
  </r>
  <r>
    <x v="1071"/>
    <x v="688"/>
    <d v="2017-09-26T00:00:00"/>
    <x v="1"/>
    <s v="SV-20365"/>
    <s v="Seth Vernon"/>
    <s v="Consumer"/>
    <x v="0"/>
    <x v="13"/>
    <x v="7"/>
    <x v="2"/>
    <s v="FUR-CH-10001215"/>
    <x v="0"/>
    <x v="1"/>
    <x v="94"/>
    <n v="2254.41"/>
    <n v="5"/>
    <n v="375.73500000000001"/>
    <x v="4"/>
  </r>
  <r>
    <x v="1072"/>
    <x v="621"/>
    <d v="2017-08-24T00:00:00"/>
    <x v="2"/>
    <s v="Dp-13240"/>
    <s v="Dean percer"/>
    <s v="Home Office"/>
    <x v="0"/>
    <x v="3"/>
    <x v="3"/>
    <x v="2"/>
    <s v="FUR-TA-10002356"/>
    <x v="0"/>
    <x v="2"/>
    <x v="147"/>
    <n v="314.53199999999998"/>
    <n v="2"/>
    <n v="-83.875200000000007"/>
    <x v="10"/>
  </r>
  <r>
    <x v="1073"/>
    <x v="689"/>
    <d v="2016-11-16T00:00:00"/>
    <x v="1"/>
    <s v="SP-20920"/>
    <s v="Susan Pistek"/>
    <s v="Consumer"/>
    <x v="0"/>
    <x v="255"/>
    <x v="15"/>
    <x v="2"/>
    <s v="FUR-CH-10004495"/>
    <x v="0"/>
    <x v="1"/>
    <x v="304"/>
    <n v="1474.8019999999999"/>
    <n v="7"/>
    <n v="-21.0686"/>
    <x v="0"/>
  </r>
  <r>
    <x v="1073"/>
    <x v="689"/>
    <d v="2016-11-16T00:00:00"/>
    <x v="1"/>
    <s v="SP-20920"/>
    <s v="Susan Pistek"/>
    <s v="Consumer"/>
    <x v="0"/>
    <x v="255"/>
    <x v="15"/>
    <x v="2"/>
    <s v="FUR-CH-10000454"/>
    <x v="0"/>
    <x v="1"/>
    <x v="1"/>
    <n v="1537.0740000000001"/>
    <n v="9"/>
    <n v="0"/>
    <x v="0"/>
  </r>
  <r>
    <x v="1073"/>
    <x v="689"/>
    <d v="2016-11-16T00:00:00"/>
    <x v="1"/>
    <s v="SP-20920"/>
    <s v="Susan Pistek"/>
    <s v="Consumer"/>
    <x v="0"/>
    <x v="255"/>
    <x v="15"/>
    <x v="2"/>
    <s v="FUR-CH-10003746"/>
    <x v="0"/>
    <x v="1"/>
    <x v="131"/>
    <n v="449.37200000000001"/>
    <n v="2"/>
    <n v="-12.8392"/>
    <x v="0"/>
  </r>
  <r>
    <x v="1074"/>
    <x v="690"/>
    <d v="2017-09-25T00:00:00"/>
    <x v="1"/>
    <s v="JR-16210"/>
    <s v="Justin Ritter"/>
    <s v="Corporate"/>
    <x v="0"/>
    <x v="76"/>
    <x v="36"/>
    <x v="1"/>
    <s v="FUR-FU-10004864"/>
    <x v="0"/>
    <x v="3"/>
    <x v="92"/>
    <n v="409.21600000000001"/>
    <n v="8"/>
    <n v="61.382399999999997"/>
    <x v="4"/>
  </r>
  <r>
    <x v="1074"/>
    <x v="690"/>
    <d v="2017-09-25T00:00:00"/>
    <x v="1"/>
    <s v="JR-16210"/>
    <s v="Justin Ritter"/>
    <s v="Corporate"/>
    <x v="0"/>
    <x v="76"/>
    <x v="36"/>
    <x v="1"/>
    <s v="FUR-BO-10001972"/>
    <x v="0"/>
    <x v="0"/>
    <x v="75"/>
    <n v="72.587999999999994"/>
    <n v="2"/>
    <n v="-128.2388"/>
    <x v="4"/>
  </r>
  <r>
    <x v="1075"/>
    <x v="691"/>
    <d v="2016-04-06T00:00:00"/>
    <x v="1"/>
    <s v="EH-13990"/>
    <s v="Erica Hackney"/>
    <s v="Consumer"/>
    <x v="0"/>
    <x v="13"/>
    <x v="7"/>
    <x v="2"/>
    <s v="FUR-CH-10003817"/>
    <x v="0"/>
    <x v="1"/>
    <x v="33"/>
    <n v="327.99599999999998"/>
    <n v="6"/>
    <n v="54.665999999999997"/>
    <x v="9"/>
  </r>
  <r>
    <x v="1076"/>
    <x v="421"/>
    <d v="2014-12-31T00:00:00"/>
    <x v="1"/>
    <s v="TB-21190"/>
    <s v="Thomas Brumley"/>
    <s v="Home Office"/>
    <x v="0"/>
    <x v="13"/>
    <x v="7"/>
    <x v="2"/>
    <s v="FUR-CH-10004477"/>
    <x v="0"/>
    <x v="1"/>
    <x v="42"/>
    <n v="767.21400000000006"/>
    <n v="14"/>
    <n v="161.9674"/>
    <x v="5"/>
  </r>
  <r>
    <x v="1077"/>
    <x v="692"/>
    <d v="2016-08-19T00:00:00"/>
    <x v="2"/>
    <s v="AO-10810"/>
    <s v="Anthony O'Donnell"/>
    <s v="Corporate"/>
    <x v="0"/>
    <x v="2"/>
    <x v="2"/>
    <x v="1"/>
    <s v="FUR-TA-10004152"/>
    <x v="0"/>
    <x v="2"/>
    <x v="308"/>
    <n v="161.28"/>
    <n v="2"/>
    <n v="12.096"/>
    <x v="10"/>
  </r>
  <r>
    <x v="1078"/>
    <x v="693"/>
    <d v="2014-04-04T00:00:00"/>
    <x v="1"/>
    <s v="GA-14725"/>
    <s v="Guy Armstrong"/>
    <s v="Consumer"/>
    <x v="0"/>
    <x v="28"/>
    <x v="2"/>
    <x v="1"/>
    <s v="FUR-BO-10001337"/>
    <x v="0"/>
    <x v="0"/>
    <x v="90"/>
    <n v="205.666"/>
    <n v="2"/>
    <n v="-12.098000000000001"/>
    <x v="9"/>
  </r>
  <r>
    <x v="1079"/>
    <x v="158"/>
    <d v="2017-12-31T00:00:00"/>
    <x v="2"/>
    <s v="JG-15310"/>
    <s v="Jason Gross"/>
    <s v="Corporate"/>
    <x v="0"/>
    <x v="62"/>
    <x v="2"/>
    <x v="1"/>
    <s v="FUR-CH-10003968"/>
    <x v="0"/>
    <x v="1"/>
    <x v="13"/>
    <n v="340.70400000000001"/>
    <n v="6"/>
    <n v="-34.070399999999999"/>
    <x v="5"/>
  </r>
  <r>
    <x v="1080"/>
    <x v="57"/>
    <d v="2016-04-11T00:00:00"/>
    <x v="2"/>
    <s v="RM-19375"/>
    <s v="Raymond Messe"/>
    <s v="Consumer"/>
    <x v="0"/>
    <x v="29"/>
    <x v="24"/>
    <x v="0"/>
    <s v="FUR-BO-10001608"/>
    <x v="0"/>
    <x v="0"/>
    <x v="315"/>
    <n v="354.9"/>
    <n v="5"/>
    <n v="88.724999999999994"/>
    <x v="6"/>
  </r>
  <r>
    <x v="1081"/>
    <x v="385"/>
    <d v="2014-03-21T00:00:00"/>
    <x v="0"/>
    <s v="EK-13795"/>
    <s v="Eileen Kiefer"/>
    <s v="Home Office"/>
    <x v="0"/>
    <x v="28"/>
    <x v="2"/>
    <x v="1"/>
    <s v="FUR-BO-10004218"/>
    <x v="0"/>
    <x v="0"/>
    <x v="327"/>
    <n v="1198.33"/>
    <n v="10"/>
    <n v="70.489999999999995"/>
    <x v="9"/>
  </r>
  <r>
    <x v="1082"/>
    <x v="333"/>
    <d v="2017-04-23T00:00:00"/>
    <x v="2"/>
    <s v="CV-12805"/>
    <s v="Cynthia Voltz"/>
    <s v="Corporate"/>
    <x v="0"/>
    <x v="3"/>
    <x v="3"/>
    <x v="2"/>
    <s v="FUR-FU-10001876"/>
    <x v="0"/>
    <x v="3"/>
    <x v="279"/>
    <n v="51.968000000000004"/>
    <n v="2"/>
    <n v="10.393599999999999"/>
    <x v="6"/>
  </r>
  <r>
    <x v="1082"/>
    <x v="333"/>
    <d v="2017-04-23T00:00:00"/>
    <x v="2"/>
    <s v="CV-12805"/>
    <s v="Cynthia Voltz"/>
    <s v="Corporate"/>
    <x v="0"/>
    <x v="3"/>
    <x v="3"/>
    <x v="2"/>
    <s v="FUR-FU-10004671"/>
    <x v="0"/>
    <x v="3"/>
    <x v="272"/>
    <n v="42.408000000000001"/>
    <n v="3"/>
    <n v="9.5418000000000003"/>
    <x v="6"/>
  </r>
  <r>
    <x v="1083"/>
    <x v="694"/>
    <d v="2014-03-21T00:00:00"/>
    <x v="2"/>
    <s v="MC-17605"/>
    <s v="Matt Connell"/>
    <s v="Corporate"/>
    <x v="0"/>
    <x v="49"/>
    <x v="1"/>
    <x v="0"/>
    <s v="FUR-FU-10003981"/>
    <x v="0"/>
    <x v="3"/>
    <x v="70"/>
    <n v="4.992"/>
    <n v="3"/>
    <n v="1.3728"/>
    <x v="9"/>
  </r>
  <r>
    <x v="1083"/>
    <x v="694"/>
    <d v="2014-03-21T00:00:00"/>
    <x v="2"/>
    <s v="MC-17605"/>
    <s v="Matt Connell"/>
    <s v="Corporate"/>
    <x v="0"/>
    <x v="49"/>
    <x v="1"/>
    <x v="0"/>
    <s v="FUR-FU-10002508"/>
    <x v="0"/>
    <x v="3"/>
    <x v="346"/>
    <n v="20.015999999999998"/>
    <n v="3"/>
    <n v="5.5044000000000004"/>
    <x v="9"/>
  </r>
  <r>
    <x v="1084"/>
    <x v="231"/>
    <d v="2015-09-26T00:00:00"/>
    <x v="1"/>
    <s v="GB-14575"/>
    <s v="Giulietta Baptist"/>
    <s v="Consumer"/>
    <x v="0"/>
    <x v="11"/>
    <x v="10"/>
    <x v="0"/>
    <s v="FUR-CH-10000309"/>
    <x v="0"/>
    <x v="1"/>
    <x v="155"/>
    <n v="1690.04"/>
    <n v="4"/>
    <n v="422.51"/>
    <x v="4"/>
  </r>
  <r>
    <x v="1085"/>
    <x v="106"/>
    <d v="2016-12-13T00:00:00"/>
    <x v="2"/>
    <s v="DB-13270"/>
    <s v="Deborah Brumfield"/>
    <s v="Home Office"/>
    <x v="0"/>
    <x v="295"/>
    <x v="36"/>
    <x v="1"/>
    <s v="FUR-CH-10004218"/>
    <x v="0"/>
    <x v="1"/>
    <x v="10"/>
    <n v="403.92"/>
    <n v="5"/>
    <n v="25.245000000000001"/>
    <x v="5"/>
  </r>
  <r>
    <x v="1086"/>
    <x v="695"/>
    <d v="2016-12-28T00:00:00"/>
    <x v="1"/>
    <s v="JM-15535"/>
    <s v="Jessica Myrick"/>
    <s v="Consumer"/>
    <x v="0"/>
    <x v="13"/>
    <x v="7"/>
    <x v="2"/>
    <s v="FUR-FU-10003192"/>
    <x v="0"/>
    <x v="3"/>
    <x v="357"/>
    <n v="799.56"/>
    <n v="9"/>
    <n v="207.88560000000001"/>
    <x v="5"/>
  </r>
  <r>
    <x v="1087"/>
    <x v="696"/>
    <d v="2016-12-23T00:00:00"/>
    <x v="1"/>
    <s v="PK-19075"/>
    <s v="Pete Kriz"/>
    <s v="Consumer"/>
    <x v="0"/>
    <x v="278"/>
    <x v="2"/>
    <x v="1"/>
    <s v="FUR-CH-10001708"/>
    <x v="0"/>
    <x v="1"/>
    <x v="180"/>
    <n v="563.91999999999996"/>
    <n v="5"/>
    <n v="7.0490000000000004"/>
    <x v="5"/>
  </r>
  <r>
    <x v="1088"/>
    <x v="451"/>
    <d v="2017-12-03T00:00:00"/>
    <x v="2"/>
    <s v="MG-17650"/>
    <s v="Matthew Grinstein"/>
    <s v="Home Office"/>
    <x v="0"/>
    <x v="149"/>
    <x v="15"/>
    <x v="2"/>
    <s v="FUR-FU-10002885"/>
    <x v="0"/>
    <x v="3"/>
    <x v="152"/>
    <n v="7.7119999999999997"/>
    <n v="2"/>
    <n v="1.7352000000000001"/>
    <x v="5"/>
  </r>
  <r>
    <x v="1089"/>
    <x v="697"/>
    <d v="2016-10-24T00:00:00"/>
    <x v="0"/>
    <s v="CM-12445"/>
    <s v="Chuck Magee"/>
    <s v="Consumer"/>
    <x v="0"/>
    <x v="6"/>
    <x v="5"/>
    <x v="3"/>
    <s v="FUR-CH-10002372"/>
    <x v="0"/>
    <x v="1"/>
    <x v="83"/>
    <n v="56.686"/>
    <n v="1"/>
    <n v="-14.5764"/>
    <x v="1"/>
  </r>
  <r>
    <x v="1090"/>
    <x v="100"/>
    <d v="2017-08-25T00:00:00"/>
    <x v="1"/>
    <s v="YS-21880"/>
    <s v="Yana Sorensen"/>
    <s v="Corporate"/>
    <x v="0"/>
    <x v="15"/>
    <x v="13"/>
    <x v="1"/>
    <s v="FUR-FU-10001475"/>
    <x v="0"/>
    <x v="3"/>
    <x v="106"/>
    <n v="65.94"/>
    <n v="3"/>
    <n v="22.419599999999999"/>
    <x v="10"/>
  </r>
  <r>
    <x v="1091"/>
    <x v="44"/>
    <d v="2015-12-03T00:00:00"/>
    <x v="1"/>
    <s v="MC-17425"/>
    <s v="Mark Cousins"/>
    <s v="Corporate"/>
    <x v="0"/>
    <x v="13"/>
    <x v="7"/>
    <x v="2"/>
    <s v="FUR-FU-10000087"/>
    <x v="0"/>
    <x v="3"/>
    <x v="39"/>
    <n v="68.16"/>
    <n v="3"/>
    <n v="27.945599999999999"/>
    <x v="0"/>
  </r>
  <r>
    <x v="1092"/>
    <x v="340"/>
    <d v="2017-12-27T00:00:00"/>
    <x v="1"/>
    <s v="DK-12985"/>
    <s v="Darren Koutras"/>
    <s v="Consumer"/>
    <x v="0"/>
    <x v="296"/>
    <x v="9"/>
    <x v="0"/>
    <s v="FUR-FU-10000087"/>
    <x v="0"/>
    <x v="3"/>
    <x v="39"/>
    <n v="72.703999999999994"/>
    <n v="4"/>
    <n v="19.084800000000001"/>
    <x v="5"/>
  </r>
  <r>
    <x v="1093"/>
    <x v="698"/>
    <d v="2015-10-09T00:00:00"/>
    <x v="1"/>
    <s v="JF-15490"/>
    <s v="Jeremy Farry"/>
    <s v="Consumer"/>
    <x v="0"/>
    <x v="295"/>
    <x v="36"/>
    <x v="1"/>
    <s v="FUR-BO-10003660"/>
    <x v="0"/>
    <x v="0"/>
    <x v="301"/>
    <n v="66.293999999999997"/>
    <n v="1"/>
    <n v="-103.86060000000001"/>
    <x v="1"/>
  </r>
  <r>
    <x v="1093"/>
    <x v="698"/>
    <d v="2015-10-09T00:00:00"/>
    <x v="1"/>
    <s v="JF-15490"/>
    <s v="Jeremy Farry"/>
    <s v="Consumer"/>
    <x v="0"/>
    <x v="295"/>
    <x v="36"/>
    <x v="1"/>
    <s v="FUR-CH-10000422"/>
    <x v="0"/>
    <x v="1"/>
    <x v="287"/>
    <n v="291.16800000000001"/>
    <n v="4"/>
    <n v="-14.558400000000001"/>
    <x v="1"/>
  </r>
  <r>
    <x v="1094"/>
    <x v="91"/>
    <d v="2017-09-11T00:00:00"/>
    <x v="3"/>
    <s v="JF-15415"/>
    <s v="Jennifer Ferguson"/>
    <s v="Consumer"/>
    <x v="0"/>
    <x v="15"/>
    <x v="13"/>
    <x v="1"/>
    <s v="FUR-CH-10003199"/>
    <x v="0"/>
    <x v="1"/>
    <x v="136"/>
    <n v="177.56800000000001"/>
    <n v="2"/>
    <n v="8.8783999999999992"/>
    <x v="4"/>
  </r>
  <r>
    <x v="1095"/>
    <x v="132"/>
    <d v="2015-12-16T00:00:00"/>
    <x v="1"/>
    <s v="HA-14905"/>
    <s v="Helen Abelman"/>
    <s v="Consumer"/>
    <x v="0"/>
    <x v="124"/>
    <x v="2"/>
    <x v="1"/>
    <s v="FUR-FU-10004597"/>
    <x v="0"/>
    <x v="3"/>
    <x v="249"/>
    <n v="166.5"/>
    <n v="3"/>
    <n v="21.645"/>
    <x v="5"/>
  </r>
  <r>
    <x v="1096"/>
    <x v="15"/>
    <d v="2017-05-31T00:00:00"/>
    <x v="0"/>
    <s v="LO-17170"/>
    <s v="Lori Olson"/>
    <s v="Corporate"/>
    <x v="0"/>
    <x v="41"/>
    <x v="28"/>
    <x v="2"/>
    <s v="FUR-FU-10001185"/>
    <x v="0"/>
    <x v="3"/>
    <x v="281"/>
    <n v="247.44"/>
    <n v="8"/>
    <n v="101.4504"/>
    <x v="7"/>
  </r>
  <r>
    <x v="1097"/>
    <x v="141"/>
    <d v="2015-11-25T00:00:00"/>
    <x v="1"/>
    <s v="KB-16405"/>
    <s v="Katrina Bavinger"/>
    <s v="Home Office"/>
    <x v="0"/>
    <x v="15"/>
    <x v="13"/>
    <x v="1"/>
    <s v="FUR-FU-10002364"/>
    <x v="0"/>
    <x v="3"/>
    <x v="242"/>
    <n v="22.14"/>
    <n v="3"/>
    <n v="6.4206000000000003"/>
    <x v="0"/>
  </r>
  <r>
    <x v="1098"/>
    <x v="464"/>
    <d v="2017-06-04T00:00:00"/>
    <x v="1"/>
    <s v="ML-17410"/>
    <s v="Maris LaWare"/>
    <s v="Consumer"/>
    <x v="0"/>
    <x v="29"/>
    <x v="6"/>
    <x v="3"/>
    <s v="FUR-FU-10003981"/>
    <x v="0"/>
    <x v="3"/>
    <x v="70"/>
    <n v="6.24"/>
    <n v="3"/>
    <n v="2.6208"/>
    <x v="7"/>
  </r>
  <r>
    <x v="1099"/>
    <x v="699"/>
    <d v="2015-09-14T00:00:00"/>
    <x v="1"/>
    <s v="VW-21775"/>
    <s v="Victoria Wilson"/>
    <s v="Corporate"/>
    <x v="0"/>
    <x v="132"/>
    <x v="33"/>
    <x v="0"/>
    <s v="FUR-FU-10001731"/>
    <x v="0"/>
    <x v="3"/>
    <x v="317"/>
    <n v="21.36"/>
    <n v="8"/>
    <n v="8.1167999999999996"/>
    <x v="4"/>
  </r>
  <r>
    <x v="1100"/>
    <x v="308"/>
    <d v="2017-12-06T00:00:00"/>
    <x v="1"/>
    <s v="BB-11545"/>
    <s v="Brenda Bowman"/>
    <s v="Corporate"/>
    <x v="0"/>
    <x v="121"/>
    <x v="2"/>
    <x v="1"/>
    <s v="FUR-CH-10004983"/>
    <x v="0"/>
    <x v="1"/>
    <x v="319"/>
    <n v="1159.056"/>
    <n v="9"/>
    <n v="43.464599999999997"/>
    <x v="5"/>
  </r>
  <r>
    <x v="1101"/>
    <x v="700"/>
    <d v="2016-07-22T00:00:00"/>
    <x v="0"/>
    <s v="DK-13375"/>
    <s v="Dennis Kane"/>
    <s v="Consumer"/>
    <x v="0"/>
    <x v="15"/>
    <x v="13"/>
    <x v="1"/>
    <s v="FUR-FU-10001847"/>
    <x v="0"/>
    <x v="3"/>
    <x v="270"/>
    <n v="12.42"/>
    <n v="3"/>
    <n v="4.4711999999999996"/>
    <x v="3"/>
  </r>
  <r>
    <x v="1101"/>
    <x v="700"/>
    <d v="2016-07-22T00:00:00"/>
    <x v="0"/>
    <s v="DK-13375"/>
    <s v="Dennis Kane"/>
    <s v="Consumer"/>
    <x v="0"/>
    <x v="15"/>
    <x v="13"/>
    <x v="1"/>
    <s v="FUR-FU-10004164"/>
    <x v="0"/>
    <x v="3"/>
    <x v="324"/>
    <n v="24.75"/>
    <n v="5"/>
    <n v="10.89"/>
    <x v="3"/>
  </r>
  <r>
    <x v="1102"/>
    <x v="141"/>
    <d v="2015-11-26T00:00:00"/>
    <x v="1"/>
    <s v="JK-15205"/>
    <s v="Jamie Kunitz"/>
    <s v="Consumer"/>
    <x v="0"/>
    <x v="149"/>
    <x v="15"/>
    <x v="2"/>
    <s v="FUR-FU-10002874"/>
    <x v="0"/>
    <x v="3"/>
    <x v="364"/>
    <n v="63.823999999999998"/>
    <n v="2"/>
    <n v="9.5736000000000008"/>
    <x v="0"/>
  </r>
  <r>
    <x v="1103"/>
    <x v="211"/>
    <d v="2016-09-28T00:00:00"/>
    <x v="1"/>
    <s v="EH-13765"/>
    <s v="Edward Hooks"/>
    <s v="Corporate"/>
    <x v="0"/>
    <x v="2"/>
    <x v="2"/>
    <x v="1"/>
    <s v="FUR-CH-10000988"/>
    <x v="0"/>
    <x v="1"/>
    <x v="221"/>
    <n v="563.24"/>
    <n v="5"/>
    <n v="56.323999999999998"/>
    <x v="4"/>
  </r>
  <r>
    <x v="1104"/>
    <x v="59"/>
    <d v="2016-10-26T00:00:00"/>
    <x v="1"/>
    <s v="VW-21775"/>
    <s v="Victoria Wilson"/>
    <s v="Corporate"/>
    <x v="0"/>
    <x v="174"/>
    <x v="15"/>
    <x v="2"/>
    <s v="FUR-TA-10003238"/>
    <x v="0"/>
    <x v="2"/>
    <x v="243"/>
    <n v="661.17600000000004"/>
    <n v="2"/>
    <n v="-231.41159999999999"/>
    <x v="1"/>
  </r>
  <r>
    <x v="1105"/>
    <x v="591"/>
    <d v="2014-07-12T00:00:00"/>
    <x v="1"/>
    <s v="EB-13705"/>
    <s v="Ed Braxton"/>
    <s v="Corporate"/>
    <x v="0"/>
    <x v="28"/>
    <x v="2"/>
    <x v="1"/>
    <s v="FUR-TA-10003715"/>
    <x v="0"/>
    <x v="2"/>
    <x v="201"/>
    <n v="502.488"/>
    <n v="3"/>
    <n v="-87.935400000000001"/>
    <x v="3"/>
  </r>
  <r>
    <x v="1106"/>
    <x v="310"/>
    <d v="2015-03-18T00:00:00"/>
    <x v="0"/>
    <s v="NF-18595"/>
    <s v="Nicole Fjeld"/>
    <s v="Home Office"/>
    <x v="0"/>
    <x v="297"/>
    <x v="2"/>
    <x v="1"/>
    <s v="FUR-CH-10004063"/>
    <x v="0"/>
    <x v="1"/>
    <x v="27"/>
    <n v="915.13599999999997"/>
    <n v="4"/>
    <n v="102.9528"/>
    <x v="9"/>
  </r>
  <r>
    <x v="1106"/>
    <x v="310"/>
    <d v="2015-03-18T00:00:00"/>
    <x v="0"/>
    <s v="NF-18595"/>
    <s v="Nicole Fjeld"/>
    <s v="Home Office"/>
    <x v="0"/>
    <x v="297"/>
    <x v="2"/>
    <x v="1"/>
    <s v="FUR-FU-10001979"/>
    <x v="0"/>
    <x v="3"/>
    <x v="107"/>
    <n v="327.76"/>
    <n v="8"/>
    <n v="91.772800000000004"/>
    <x v="9"/>
  </r>
  <r>
    <x v="1107"/>
    <x v="308"/>
    <d v="2017-12-05T00:00:00"/>
    <x v="2"/>
    <s v="ME-17725"/>
    <s v="Max Engle"/>
    <s v="Consumer"/>
    <x v="0"/>
    <x v="279"/>
    <x v="25"/>
    <x v="0"/>
    <s v="FUR-CH-10001854"/>
    <x v="0"/>
    <x v="1"/>
    <x v="216"/>
    <n v="701.96"/>
    <n v="2"/>
    <n v="168.47040000000001"/>
    <x v="5"/>
  </r>
  <r>
    <x v="1108"/>
    <x v="147"/>
    <d v="2017-12-03T00:00:00"/>
    <x v="2"/>
    <s v="MZ-17335"/>
    <s v="Maria Zettner"/>
    <s v="Home Office"/>
    <x v="0"/>
    <x v="28"/>
    <x v="2"/>
    <x v="1"/>
    <s v="FUR-FU-10003489"/>
    <x v="0"/>
    <x v="3"/>
    <x v="365"/>
    <n v="25.83"/>
    <n v="3"/>
    <n v="9.5571000000000002"/>
    <x v="0"/>
  </r>
  <r>
    <x v="1109"/>
    <x v="114"/>
    <d v="2016-11-06T00:00:00"/>
    <x v="0"/>
    <s v="TP-21565"/>
    <s v="Tracy Poddar"/>
    <s v="Corporate"/>
    <x v="0"/>
    <x v="298"/>
    <x v="36"/>
    <x v="1"/>
    <s v="FUR-CH-10003298"/>
    <x v="0"/>
    <x v="1"/>
    <x v="322"/>
    <n v="104.78400000000001"/>
    <n v="1"/>
    <n v="-14.4078"/>
    <x v="0"/>
  </r>
  <r>
    <x v="1109"/>
    <x v="114"/>
    <d v="2016-11-06T00:00:00"/>
    <x v="0"/>
    <s v="TP-21565"/>
    <s v="Tracy Poddar"/>
    <s v="Corporate"/>
    <x v="0"/>
    <x v="298"/>
    <x v="36"/>
    <x v="1"/>
    <s v="FUR-CH-10000229"/>
    <x v="0"/>
    <x v="1"/>
    <x v="334"/>
    <n v="650.35199999999998"/>
    <n v="3"/>
    <n v="-97.552800000000005"/>
    <x v="0"/>
  </r>
  <r>
    <x v="1110"/>
    <x v="701"/>
    <d v="2014-09-16T00:00:00"/>
    <x v="1"/>
    <s v="LW-17125"/>
    <s v="Liz Willingham"/>
    <s v="Consumer"/>
    <x v="0"/>
    <x v="299"/>
    <x v="2"/>
    <x v="1"/>
    <s v="FUR-FU-10004006"/>
    <x v="0"/>
    <x v="3"/>
    <x v="23"/>
    <n v="127.95"/>
    <n v="3"/>
    <n v="21.7515"/>
    <x v="4"/>
  </r>
  <r>
    <x v="1111"/>
    <x v="187"/>
    <d v="2014-01-26T00:00:00"/>
    <x v="1"/>
    <s v="XP-21865"/>
    <s v="Xylona Preis"/>
    <s v="Consumer"/>
    <x v="0"/>
    <x v="300"/>
    <x v="17"/>
    <x v="3"/>
    <s v="FUR-FU-10002918"/>
    <x v="0"/>
    <x v="3"/>
    <x v="56"/>
    <n v="272.94"/>
    <n v="3"/>
    <n v="30.023399999999999"/>
    <x v="8"/>
  </r>
  <r>
    <x v="1111"/>
    <x v="187"/>
    <d v="2014-01-26T00:00:00"/>
    <x v="1"/>
    <s v="XP-21865"/>
    <s v="Xylona Preis"/>
    <s v="Consumer"/>
    <x v="0"/>
    <x v="300"/>
    <x v="17"/>
    <x v="3"/>
    <s v="FUR-FU-10002268"/>
    <x v="0"/>
    <x v="3"/>
    <x v="172"/>
    <n v="14.73"/>
    <n v="3"/>
    <n v="4.8609"/>
    <x v="8"/>
  </r>
  <r>
    <x v="1112"/>
    <x v="55"/>
    <d v="2016-09-06T00:00:00"/>
    <x v="1"/>
    <s v="BG-11740"/>
    <s v="Bruce Geld"/>
    <s v="Consumer"/>
    <x v="0"/>
    <x v="2"/>
    <x v="2"/>
    <x v="1"/>
    <s v="FUR-FU-10000672"/>
    <x v="0"/>
    <x v="3"/>
    <x v="309"/>
    <n v="47.04"/>
    <n v="4"/>
    <n v="15.993600000000001"/>
    <x v="10"/>
  </r>
  <r>
    <x v="1113"/>
    <x v="702"/>
    <d v="2017-10-09T00:00:00"/>
    <x v="1"/>
    <s v="TS-21370"/>
    <s v="Todd Sumrall"/>
    <s v="Corporate"/>
    <x v="0"/>
    <x v="13"/>
    <x v="7"/>
    <x v="2"/>
    <s v="FUR-CH-10002880"/>
    <x v="0"/>
    <x v="1"/>
    <x v="162"/>
    <n v="221.38200000000001"/>
    <n v="2"/>
    <n v="2.4598"/>
    <x v="1"/>
  </r>
  <r>
    <x v="1114"/>
    <x v="667"/>
    <d v="2017-09-08T00:00:00"/>
    <x v="1"/>
    <s v="AG-10900"/>
    <s v="Arthur Gainer"/>
    <s v="Consumer"/>
    <x v="0"/>
    <x v="144"/>
    <x v="5"/>
    <x v="3"/>
    <s v="FUR-FU-10004622"/>
    <x v="0"/>
    <x v="3"/>
    <x v="161"/>
    <n v="108.4"/>
    <n v="5"/>
    <n v="-105.69"/>
    <x v="4"/>
  </r>
  <r>
    <x v="1115"/>
    <x v="162"/>
    <d v="2016-10-07T00:00:00"/>
    <x v="1"/>
    <s v="TP-21565"/>
    <s v="Tracy Poddar"/>
    <s v="Corporate"/>
    <x v="0"/>
    <x v="141"/>
    <x v="5"/>
    <x v="3"/>
    <s v="FUR-FU-10001756"/>
    <x v="0"/>
    <x v="3"/>
    <x v="62"/>
    <n v="38.08"/>
    <n v="5"/>
    <n v="-29.512"/>
    <x v="1"/>
  </r>
  <r>
    <x v="1116"/>
    <x v="431"/>
    <d v="2016-11-21T00:00:00"/>
    <x v="3"/>
    <s v="JK-16120"/>
    <s v="Julie Kriz"/>
    <s v="Home Office"/>
    <x v="0"/>
    <x v="13"/>
    <x v="7"/>
    <x v="2"/>
    <s v="FUR-BO-10002598"/>
    <x v="0"/>
    <x v="0"/>
    <x v="310"/>
    <n v="113.568"/>
    <n v="2"/>
    <n v="12.776400000000001"/>
    <x v="0"/>
  </r>
  <r>
    <x v="1117"/>
    <x v="433"/>
    <d v="2017-10-05T00:00:00"/>
    <x v="0"/>
    <s v="CC-12430"/>
    <s v="Chuck Clark"/>
    <s v="Home Office"/>
    <x v="0"/>
    <x v="13"/>
    <x v="7"/>
    <x v="2"/>
    <s v="FUR-FU-10001934"/>
    <x v="0"/>
    <x v="3"/>
    <x v="24"/>
    <n v="83.92"/>
    <n v="4"/>
    <n v="21.819199999999999"/>
    <x v="1"/>
  </r>
  <r>
    <x v="1118"/>
    <x v="149"/>
    <d v="2014-05-03T00:00:00"/>
    <x v="1"/>
    <s v="LA-16780"/>
    <s v="Laura Armstrong"/>
    <s v="Corporate"/>
    <x v="0"/>
    <x v="10"/>
    <x v="9"/>
    <x v="0"/>
    <s v="FUR-CH-10001394"/>
    <x v="0"/>
    <x v="1"/>
    <x v="139"/>
    <n v="561.58399999999995"/>
    <n v="2"/>
    <n v="70.197999999999993"/>
    <x v="6"/>
  </r>
  <r>
    <x v="1119"/>
    <x v="120"/>
    <d v="2016-12-22T00:00:00"/>
    <x v="1"/>
    <s v="BP-11230"/>
    <s v="Benjamin Patterson"/>
    <s v="Consumer"/>
    <x v="0"/>
    <x v="2"/>
    <x v="2"/>
    <x v="1"/>
    <s v="FUR-FU-10002364"/>
    <x v="0"/>
    <x v="3"/>
    <x v="242"/>
    <n v="14.76"/>
    <n v="2"/>
    <n v="4.2804000000000002"/>
    <x v="5"/>
  </r>
  <r>
    <x v="1120"/>
    <x v="477"/>
    <d v="2016-04-02T00:00:00"/>
    <x v="1"/>
    <s v="TB-21595"/>
    <s v="Troy Blackwell"/>
    <s v="Consumer"/>
    <x v="0"/>
    <x v="76"/>
    <x v="15"/>
    <x v="2"/>
    <s v="FUR-BO-10004015"/>
    <x v="0"/>
    <x v="0"/>
    <x v="118"/>
    <n v="299.97500000000002"/>
    <n v="5"/>
    <n v="-167.98599999999999"/>
    <x v="9"/>
  </r>
  <r>
    <x v="1121"/>
    <x v="469"/>
    <d v="2016-12-19T00:00:00"/>
    <x v="1"/>
    <s v="PK-19075"/>
    <s v="Pete Kriz"/>
    <s v="Consumer"/>
    <x v="0"/>
    <x v="13"/>
    <x v="7"/>
    <x v="2"/>
    <s v="FUR-FU-10002937"/>
    <x v="0"/>
    <x v="3"/>
    <x v="205"/>
    <n v="396.92"/>
    <n v="4"/>
    <n v="198.46"/>
    <x v="5"/>
  </r>
  <r>
    <x v="1122"/>
    <x v="703"/>
    <d v="2017-05-31T00:00:00"/>
    <x v="2"/>
    <s v="BD-11725"/>
    <s v="Bruce Degenhardt"/>
    <s v="Consumer"/>
    <x v="0"/>
    <x v="120"/>
    <x v="35"/>
    <x v="0"/>
    <s v="FUR-BO-10000330"/>
    <x v="0"/>
    <x v="0"/>
    <x v="213"/>
    <n v="241.96"/>
    <n v="2"/>
    <n v="33.874400000000001"/>
    <x v="7"/>
  </r>
  <r>
    <x v="1122"/>
    <x v="703"/>
    <d v="2017-05-31T00:00:00"/>
    <x v="2"/>
    <s v="BD-11725"/>
    <s v="Bruce Degenhardt"/>
    <s v="Consumer"/>
    <x v="0"/>
    <x v="120"/>
    <x v="35"/>
    <x v="0"/>
    <s v="FUR-FU-10001731"/>
    <x v="0"/>
    <x v="3"/>
    <x v="317"/>
    <n v="8.01"/>
    <n v="3"/>
    <n v="3.0438000000000001"/>
    <x v="7"/>
  </r>
  <r>
    <x v="1123"/>
    <x v="704"/>
    <d v="2017-09-02T00:00:00"/>
    <x v="0"/>
    <s v="BW-11110"/>
    <s v="Bart Watters"/>
    <s v="Corporate"/>
    <x v="0"/>
    <x v="129"/>
    <x v="13"/>
    <x v="1"/>
    <s v="FUR-CH-10002331"/>
    <x v="0"/>
    <x v="1"/>
    <x v="86"/>
    <n v="569.56799999999998"/>
    <n v="2"/>
    <n v="7.1196000000000002"/>
    <x v="10"/>
  </r>
  <r>
    <x v="1124"/>
    <x v="138"/>
    <d v="2017-05-15T00:00:00"/>
    <x v="2"/>
    <s v="GT-14710"/>
    <s v="Greg Tran"/>
    <s v="Consumer"/>
    <x v="0"/>
    <x v="6"/>
    <x v="5"/>
    <x v="3"/>
    <s v="FUR-CH-10003981"/>
    <x v="0"/>
    <x v="1"/>
    <x v="232"/>
    <n v="899.43"/>
    <n v="5"/>
    <n v="-12.849"/>
    <x v="7"/>
  </r>
  <r>
    <x v="1125"/>
    <x v="359"/>
    <d v="2016-11-05T00:00:00"/>
    <x v="1"/>
    <s v="HW-14935"/>
    <s v="Helen Wasserman"/>
    <s v="Corporate"/>
    <x v="0"/>
    <x v="169"/>
    <x v="37"/>
    <x v="3"/>
    <s v="FUR-CH-10002084"/>
    <x v="0"/>
    <x v="1"/>
    <x v="244"/>
    <n v="368.97"/>
    <n v="3"/>
    <n v="81.173400000000001"/>
    <x v="1"/>
  </r>
  <r>
    <x v="1126"/>
    <x v="634"/>
    <d v="2015-10-27T00:00:00"/>
    <x v="2"/>
    <s v="RD-19660"/>
    <s v="Robert Dilbeck"/>
    <s v="Home Office"/>
    <x v="0"/>
    <x v="121"/>
    <x v="2"/>
    <x v="1"/>
    <s v="FUR-CH-10003956"/>
    <x v="0"/>
    <x v="1"/>
    <x v="76"/>
    <n v="454.27199999999999"/>
    <n v="8"/>
    <n v="-73.819199999999995"/>
    <x v="1"/>
  </r>
  <r>
    <x v="1127"/>
    <x v="705"/>
    <d v="2014-11-07T00:00:00"/>
    <x v="1"/>
    <s v="SH-20395"/>
    <s v="Shahid Hopkins"/>
    <s v="Consumer"/>
    <x v="0"/>
    <x v="51"/>
    <x v="30"/>
    <x v="0"/>
    <s v="FUR-TA-10001768"/>
    <x v="0"/>
    <x v="2"/>
    <x v="25"/>
    <n v="945.03599999999994"/>
    <n v="6"/>
    <n v="-299.26139999999998"/>
    <x v="0"/>
  </r>
  <r>
    <x v="1127"/>
    <x v="705"/>
    <d v="2014-11-07T00:00:00"/>
    <x v="1"/>
    <s v="SH-20395"/>
    <s v="Shahid Hopkins"/>
    <s v="Consumer"/>
    <x v="0"/>
    <x v="51"/>
    <x v="30"/>
    <x v="0"/>
    <s v="FUR-FU-10001468"/>
    <x v="0"/>
    <x v="3"/>
    <x v="253"/>
    <n v="410.35199999999998"/>
    <n v="3"/>
    <n v="-51.293999999999997"/>
    <x v="0"/>
  </r>
  <r>
    <x v="1128"/>
    <x v="706"/>
    <d v="2017-05-29T00:00:00"/>
    <x v="2"/>
    <s v="JG-15160"/>
    <s v="James Galang"/>
    <s v="Consumer"/>
    <x v="0"/>
    <x v="280"/>
    <x v="42"/>
    <x v="1"/>
    <s v="FUR-FU-10004963"/>
    <x v="0"/>
    <x v="3"/>
    <x v="289"/>
    <n v="35"/>
    <n v="4"/>
    <n v="14.7"/>
    <x v="7"/>
  </r>
  <r>
    <x v="1129"/>
    <x v="417"/>
    <d v="2017-12-19T00:00:00"/>
    <x v="1"/>
    <s v="LC-16885"/>
    <s v="Lena Creighton"/>
    <s v="Consumer"/>
    <x v="0"/>
    <x v="215"/>
    <x v="5"/>
    <x v="3"/>
    <s v="FUR-TA-10000577"/>
    <x v="0"/>
    <x v="2"/>
    <x v="2"/>
    <n v="974.98800000000006"/>
    <n v="4"/>
    <n v="-97.498800000000003"/>
    <x v="5"/>
  </r>
  <r>
    <x v="1130"/>
    <x v="707"/>
    <d v="2014-10-06T00:00:00"/>
    <x v="2"/>
    <s v="CC-12220"/>
    <s v="Chris Cortes"/>
    <s v="Consumer"/>
    <x v="0"/>
    <x v="13"/>
    <x v="7"/>
    <x v="2"/>
    <s v="FUR-CH-10003298"/>
    <x v="0"/>
    <x v="1"/>
    <x v="322"/>
    <n v="589.41"/>
    <n v="5"/>
    <n v="-6.5490000000000004"/>
    <x v="1"/>
  </r>
  <r>
    <x v="1131"/>
    <x v="25"/>
    <d v="2016-10-20T00:00:00"/>
    <x v="1"/>
    <s v="BW-11110"/>
    <s v="Bart Watters"/>
    <s v="Corporate"/>
    <x v="0"/>
    <x v="13"/>
    <x v="7"/>
    <x v="2"/>
    <s v="FUR-FU-10003535"/>
    <x v="0"/>
    <x v="3"/>
    <x v="182"/>
    <n v="82.26"/>
    <n v="3"/>
    <n v="33.726599999999998"/>
    <x v="1"/>
  </r>
  <r>
    <x v="1132"/>
    <x v="708"/>
    <d v="2017-03-06T00:00:00"/>
    <x v="0"/>
    <s v="TT-21460"/>
    <s v="Tonja Turnell"/>
    <s v="Home Office"/>
    <x v="0"/>
    <x v="6"/>
    <x v="5"/>
    <x v="3"/>
    <s v="FUR-FU-10004848"/>
    <x v="0"/>
    <x v="3"/>
    <x v="7"/>
    <n v="103.5"/>
    <n v="5"/>
    <n v="-77.625"/>
    <x v="9"/>
  </r>
  <r>
    <x v="1133"/>
    <x v="709"/>
    <d v="2017-08-03T00:00:00"/>
    <x v="2"/>
    <s v="EC-14050"/>
    <s v="Erin Creighton"/>
    <s v="Consumer"/>
    <x v="0"/>
    <x v="28"/>
    <x v="2"/>
    <x v="1"/>
    <s v="FUR-FU-10003142"/>
    <x v="0"/>
    <x v="3"/>
    <x v="238"/>
    <n v="36.96"/>
    <n v="7"/>
    <n v="11.457599999999999"/>
    <x v="3"/>
  </r>
  <r>
    <x v="1134"/>
    <x v="138"/>
    <d v="2017-05-17T00:00:00"/>
    <x v="2"/>
    <s v="AJ-10780"/>
    <s v="Anthony Jacobs"/>
    <s v="Corporate"/>
    <x v="0"/>
    <x v="237"/>
    <x v="32"/>
    <x v="2"/>
    <s v="FUR-CH-10003298"/>
    <x v="0"/>
    <x v="1"/>
    <x v="322"/>
    <n v="261.95999999999998"/>
    <n v="2"/>
    <n v="23.5764"/>
    <x v="7"/>
  </r>
  <r>
    <x v="1135"/>
    <x v="710"/>
    <d v="2016-09-28T00:00:00"/>
    <x v="1"/>
    <s v="AS-10630"/>
    <s v="Ann Steele"/>
    <s v="Home Office"/>
    <x v="0"/>
    <x v="74"/>
    <x v="0"/>
    <x v="0"/>
    <s v="FUR-FU-10004586"/>
    <x v="0"/>
    <x v="3"/>
    <x v="303"/>
    <n v="13.28"/>
    <n v="2"/>
    <n v="6.3743999999999996"/>
    <x v="4"/>
  </r>
  <r>
    <x v="1136"/>
    <x v="674"/>
    <d v="2016-12-08T00:00:00"/>
    <x v="1"/>
    <s v="DB-13270"/>
    <s v="Deborah Brumfield"/>
    <s v="Home Office"/>
    <x v="0"/>
    <x v="134"/>
    <x v="38"/>
    <x v="2"/>
    <s v="FUR-FU-10004864"/>
    <x v="0"/>
    <x v="3"/>
    <x v="356"/>
    <n v="72.42"/>
    <n v="6"/>
    <n v="23.898599999999998"/>
    <x v="5"/>
  </r>
  <r>
    <x v="1137"/>
    <x v="711"/>
    <d v="2014-01-15T00:00:00"/>
    <x v="2"/>
    <s v="BS-11590"/>
    <s v="Brendan Sweed"/>
    <s v="Corporate"/>
    <x v="0"/>
    <x v="3"/>
    <x v="3"/>
    <x v="2"/>
    <s v="FUR-BO-10003433"/>
    <x v="0"/>
    <x v="0"/>
    <x v="184"/>
    <n v="61.96"/>
    <n v="4"/>
    <n v="-53.285600000000002"/>
    <x v="8"/>
  </r>
  <r>
    <x v="1138"/>
    <x v="35"/>
    <d v="2017-06-10T00:00:00"/>
    <x v="1"/>
    <s v="NR-18550"/>
    <s v="Nick Radford"/>
    <s v="Consumer"/>
    <x v="0"/>
    <x v="36"/>
    <x v="1"/>
    <x v="0"/>
    <s v="FUR-BO-10002824"/>
    <x v="0"/>
    <x v="0"/>
    <x v="88"/>
    <n v="241.56800000000001"/>
    <n v="2"/>
    <n v="0"/>
    <x v="2"/>
  </r>
  <r>
    <x v="1139"/>
    <x v="35"/>
    <d v="2017-06-09T00:00:00"/>
    <x v="1"/>
    <s v="KN-16390"/>
    <s v="Katherine Nockton"/>
    <s v="Corporate"/>
    <x v="0"/>
    <x v="13"/>
    <x v="7"/>
    <x v="2"/>
    <s v="FUR-TA-10001932"/>
    <x v="0"/>
    <x v="2"/>
    <x v="167"/>
    <n v="384.76799999999997"/>
    <n v="2"/>
    <n v="-115.43040000000001"/>
    <x v="2"/>
  </r>
  <r>
    <x v="1140"/>
    <x v="712"/>
    <d v="2014-09-19T00:00:00"/>
    <x v="1"/>
    <s v="MF-18250"/>
    <s v="Monica Federle"/>
    <s v="Corporate"/>
    <x v="0"/>
    <x v="3"/>
    <x v="3"/>
    <x v="2"/>
    <s v="FUR-FU-10000222"/>
    <x v="0"/>
    <x v="3"/>
    <x v="125"/>
    <n v="103.93600000000001"/>
    <n v="4"/>
    <n v="16.889600000000002"/>
    <x v="4"/>
  </r>
  <r>
    <x v="1141"/>
    <x v="47"/>
    <d v="2016-11-25T00:00:00"/>
    <x v="1"/>
    <s v="FA-14230"/>
    <s v="Frank Atkinson"/>
    <s v="Corporate"/>
    <x v="0"/>
    <x v="301"/>
    <x v="1"/>
    <x v="0"/>
    <s v="FUR-BO-10004695"/>
    <x v="0"/>
    <x v="0"/>
    <x v="38"/>
    <n v="289.56799999999998"/>
    <n v="2"/>
    <n v="10.8588"/>
    <x v="0"/>
  </r>
  <r>
    <x v="1142"/>
    <x v="713"/>
    <d v="2015-07-28T00:00:00"/>
    <x v="1"/>
    <s v="SS-20515"/>
    <s v="Shirley Schmidt"/>
    <s v="Home Office"/>
    <x v="0"/>
    <x v="74"/>
    <x v="0"/>
    <x v="0"/>
    <s v="FUR-FU-10001487"/>
    <x v="0"/>
    <x v="3"/>
    <x v="3"/>
    <n v="20.94"/>
    <n v="3"/>
    <n v="6.0726000000000004"/>
    <x v="3"/>
  </r>
  <r>
    <x v="1143"/>
    <x v="714"/>
    <d v="2016-10-11T00:00:00"/>
    <x v="0"/>
    <s v="SP-20545"/>
    <s v="Sibella Parks"/>
    <s v="Corporate"/>
    <x v="0"/>
    <x v="3"/>
    <x v="3"/>
    <x v="2"/>
    <s v="FUR-FU-10004071"/>
    <x v="0"/>
    <x v="3"/>
    <x v="119"/>
    <n v="332.83199999999999"/>
    <n v="4"/>
    <n v="-24.962399999999999"/>
    <x v="1"/>
  </r>
  <r>
    <x v="1144"/>
    <x v="102"/>
    <d v="2017-09-19T00:00:00"/>
    <x v="1"/>
    <s v="RD-19480"/>
    <s v="Rick Duston"/>
    <s v="Consumer"/>
    <x v="0"/>
    <x v="28"/>
    <x v="2"/>
    <x v="1"/>
    <s v="FUR-CH-10002961"/>
    <x v="0"/>
    <x v="1"/>
    <x v="189"/>
    <n v="218.352"/>
    <n v="3"/>
    <n v="0"/>
    <x v="4"/>
  </r>
  <r>
    <x v="1144"/>
    <x v="102"/>
    <d v="2017-09-19T00:00:00"/>
    <x v="1"/>
    <s v="RD-19480"/>
    <s v="Rick Duston"/>
    <s v="Consumer"/>
    <x v="0"/>
    <x v="28"/>
    <x v="2"/>
    <x v="1"/>
    <s v="FUR-FU-10001488"/>
    <x v="0"/>
    <x v="3"/>
    <x v="204"/>
    <n v="529.9"/>
    <n v="5"/>
    <n v="105.98"/>
    <x v="4"/>
  </r>
  <r>
    <x v="1145"/>
    <x v="623"/>
    <d v="2017-01-18T00:00:00"/>
    <x v="0"/>
    <s v="AR-10540"/>
    <s v="Andy Reiter"/>
    <s v="Consumer"/>
    <x v="0"/>
    <x v="38"/>
    <x v="17"/>
    <x v="3"/>
    <s v="FUR-CH-10004626"/>
    <x v="0"/>
    <x v="1"/>
    <x v="353"/>
    <n v="302.67"/>
    <n v="3"/>
    <n v="72.640799999999999"/>
    <x v="8"/>
  </r>
  <r>
    <x v="1146"/>
    <x v="317"/>
    <d v="2014-11-22T00:00:00"/>
    <x v="1"/>
    <s v="GT-14710"/>
    <s v="Greg Tran"/>
    <s v="Consumer"/>
    <x v="0"/>
    <x v="252"/>
    <x v="7"/>
    <x v="2"/>
    <s v="FUR-BO-10002213"/>
    <x v="0"/>
    <x v="0"/>
    <x v="240"/>
    <n v="4007.84"/>
    <n v="10"/>
    <n v="-50.097999999999999"/>
    <x v="0"/>
  </r>
  <r>
    <x v="1147"/>
    <x v="715"/>
    <d v="2014-10-23T00:00:00"/>
    <x v="2"/>
    <s v="FH-14365"/>
    <s v="Fred Hopkins"/>
    <s v="Corporate"/>
    <x v="0"/>
    <x v="270"/>
    <x v="9"/>
    <x v="0"/>
    <s v="FUR-TA-10003008"/>
    <x v="0"/>
    <x v="2"/>
    <x v="190"/>
    <n v="328.59"/>
    <n v="3"/>
    <n v="-147.8655"/>
    <x v="1"/>
  </r>
  <r>
    <x v="1148"/>
    <x v="551"/>
    <d v="2015-10-30T00:00:00"/>
    <x v="1"/>
    <s v="HK-14890"/>
    <s v="Heather Kirkland"/>
    <s v="Corporate"/>
    <x v="0"/>
    <x v="19"/>
    <x v="14"/>
    <x v="2"/>
    <s v="FUR-CH-10002439"/>
    <x v="0"/>
    <x v="1"/>
    <x v="260"/>
    <n v="291.10000000000002"/>
    <n v="5"/>
    <n v="75.686000000000007"/>
    <x v="1"/>
  </r>
  <r>
    <x v="1149"/>
    <x v="716"/>
    <d v="2017-11-19T00:00:00"/>
    <x v="2"/>
    <s v="CC-12220"/>
    <s v="Chris Cortes"/>
    <s v="Consumer"/>
    <x v="0"/>
    <x v="15"/>
    <x v="13"/>
    <x v="1"/>
    <s v="FUR-FU-10003394"/>
    <x v="0"/>
    <x v="3"/>
    <x v="120"/>
    <n v="139.91999999999999"/>
    <n v="2"/>
    <n v="23.7864"/>
    <x v="0"/>
  </r>
  <r>
    <x v="1150"/>
    <x v="29"/>
    <d v="2014-03-05T00:00:00"/>
    <x v="1"/>
    <s v="VF-21715"/>
    <s v="Vicky Freymann"/>
    <s v="Home Office"/>
    <x v="0"/>
    <x v="302"/>
    <x v="8"/>
    <x v="3"/>
    <s v="FUR-CH-10000863"/>
    <x v="0"/>
    <x v="1"/>
    <x v="20"/>
    <n v="634.11599999999999"/>
    <n v="6"/>
    <n v="-172.1172"/>
    <x v="9"/>
  </r>
  <r>
    <x v="1151"/>
    <x v="45"/>
    <d v="2015-08-01T00:00:00"/>
    <x v="2"/>
    <s v="GH-14410"/>
    <s v="Gary Hansen"/>
    <s v="Home Office"/>
    <x v="0"/>
    <x v="27"/>
    <x v="11"/>
    <x v="3"/>
    <s v="FUR-CH-10002304"/>
    <x v="0"/>
    <x v="1"/>
    <x v="158"/>
    <n v="155.88"/>
    <n v="6"/>
    <n v="38.97"/>
    <x v="3"/>
  </r>
  <r>
    <x v="1152"/>
    <x v="341"/>
    <d v="2015-11-03T00:00:00"/>
    <x v="0"/>
    <s v="JH-16180"/>
    <s v="Justin Hirsh"/>
    <s v="Consumer"/>
    <x v="0"/>
    <x v="13"/>
    <x v="7"/>
    <x v="2"/>
    <s v="FUR-CH-10000422"/>
    <x v="0"/>
    <x v="1"/>
    <x v="287"/>
    <n v="327.56400000000002"/>
    <n v="4"/>
    <n v="21.837599999999998"/>
    <x v="0"/>
  </r>
  <r>
    <x v="1153"/>
    <x v="717"/>
    <d v="2015-06-10T00:00:00"/>
    <x v="1"/>
    <s v="EB-13750"/>
    <s v="Edward Becker"/>
    <s v="Corporate"/>
    <x v="0"/>
    <x v="252"/>
    <x v="7"/>
    <x v="2"/>
    <s v="FUR-CH-10004997"/>
    <x v="0"/>
    <x v="1"/>
    <x v="105"/>
    <n v="1522.6379999999999"/>
    <n v="9"/>
    <n v="169.18199999999999"/>
    <x v="2"/>
  </r>
  <r>
    <x v="1154"/>
    <x v="718"/>
    <d v="2014-05-12T00:00:00"/>
    <x v="1"/>
    <s v="CT-11995"/>
    <s v="Carol Triggs"/>
    <s v="Consumer"/>
    <x v="0"/>
    <x v="37"/>
    <x v="20"/>
    <x v="2"/>
    <s v="FUR-TA-10003469"/>
    <x v="0"/>
    <x v="2"/>
    <x v="320"/>
    <n v="194.25"/>
    <n v="2"/>
    <n v="-38.85"/>
    <x v="7"/>
  </r>
  <r>
    <x v="1154"/>
    <x v="718"/>
    <d v="2014-05-12T00:00:00"/>
    <x v="1"/>
    <s v="CT-11995"/>
    <s v="Carol Triggs"/>
    <s v="Consumer"/>
    <x v="0"/>
    <x v="37"/>
    <x v="20"/>
    <x v="2"/>
    <s v="FUR-CH-10004675"/>
    <x v="0"/>
    <x v="1"/>
    <x v="135"/>
    <n v="872.32"/>
    <n v="4"/>
    <n v="244.24959999999999"/>
    <x v="7"/>
  </r>
  <r>
    <x v="1155"/>
    <x v="719"/>
    <d v="2014-04-22T00:00:00"/>
    <x v="1"/>
    <s v="KM-16720"/>
    <s v="Kunst Miller"/>
    <s v="Consumer"/>
    <x v="0"/>
    <x v="6"/>
    <x v="5"/>
    <x v="3"/>
    <s v="FUR-CH-10002602"/>
    <x v="0"/>
    <x v="1"/>
    <x v="64"/>
    <n v="317.05799999999999"/>
    <n v="3"/>
    <n v="-18.117599999999999"/>
    <x v="6"/>
  </r>
  <r>
    <x v="1156"/>
    <x v="470"/>
    <d v="2017-03-08T00:00:00"/>
    <x v="1"/>
    <s v="EJ-13720"/>
    <s v="Ed Jacobs"/>
    <s v="Consumer"/>
    <x v="0"/>
    <x v="2"/>
    <x v="2"/>
    <x v="1"/>
    <s v="FUR-CH-10003968"/>
    <x v="0"/>
    <x v="1"/>
    <x v="13"/>
    <n v="170.352"/>
    <n v="3"/>
    <n v="-17.0352"/>
    <x v="9"/>
  </r>
  <r>
    <x v="1157"/>
    <x v="148"/>
    <d v="2016-10-22T00:00:00"/>
    <x v="3"/>
    <s v="MS-17530"/>
    <s v="MaryBeth Skach"/>
    <s v="Consumer"/>
    <x v="0"/>
    <x v="15"/>
    <x v="13"/>
    <x v="1"/>
    <s v="FUR-FU-10003095"/>
    <x v="0"/>
    <x v="3"/>
    <x v="366"/>
    <n v="101.94"/>
    <n v="3"/>
    <n v="30.582000000000001"/>
    <x v="1"/>
  </r>
  <r>
    <x v="1158"/>
    <x v="720"/>
    <d v="2017-07-27T00:00:00"/>
    <x v="1"/>
    <s v="AM-10705"/>
    <s v="Anne McFarland"/>
    <s v="Consumer"/>
    <x v="0"/>
    <x v="279"/>
    <x v="25"/>
    <x v="0"/>
    <s v="FUR-FU-10003274"/>
    <x v="0"/>
    <x v="3"/>
    <x v="51"/>
    <n v="8.8000000000000007"/>
    <n v="5"/>
    <n v="3.8719999999999999"/>
    <x v="3"/>
  </r>
  <r>
    <x v="1158"/>
    <x v="720"/>
    <d v="2017-07-27T00:00:00"/>
    <x v="1"/>
    <s v="AM-10705"/>
    <s v="Anne McFarland"/>
    <s v="Consumer"/>
    <x v="0"/>
    <x v="279"/>
    <x v="25"/>
    <x v="0"/>
    <s v="FUR-BO-10003441"/>
    <x v="0"/>
    <x v="0"/>
    <x v="145"/>
    <n v="302.94"/>
    <n v="3"/>
    <n v="69.676199999999994"/>
    <x v="3"/>
  </r>
  <r>
    <x v="1159"/>
    <x v="116"/>
    <d v="2014-12-07T00:00:00"/>
    <x v="1"/>
    <s v="ON-18715"/>
    <s v="Odella Nelson"/>
    <s v="Corporate"/>
    <x v="0"/>
    <x v="218"/>
    <x v="32"/>
    <x v="2"/>
    <s v="FUR-FU-10003849"/>
    <x v="0"/>
    <x v="3"/>
    <x v="108"/>
    <n v="60.72"/>
    <n v="3"/>
    <n v="23.680800000000001"/>
    <x v="5"/>
  </r>
  <r>
    <x v="1159"/>
    <x v="116"/>
    <d v="2014-12-07T00:00:00"/>
    <x v="1"/>
    <s v="ON-18715"/>
    <s v="Odella Nelson"/>
    <s v="Corporate"/>
    <x v="0"/>
    <x v="218"/>
    <x v="32"/>
    <x v="2"/>
    <s v="FUR-CH-10004754"/>
    <x v="0"/>
    <x v="1"/>
    <x v="219"/>
    <n v="239.84"/>
    <n v="8"/>
    <n v="64.756799999999998"/>
    <x v="5"/>
  </r>
  <r>
    <x v="1160"/>
    <x v="205"/>
    <d v="2016-05-31T00:00:00"/>
    <x v="1"/>
    <s v="SV-20785"/>
    <s v="Stewart Visinsky"/>
    <s v="Consumer"/>
    <x v="0"/>
    <x v="72"/>
    <x v="2"/>
    <x v="1"/>
    <s v="FUR-CH-10004860"/>
    <x v="0"/>
    <x v="1"/>
    <x v="41"/>
    <n v="484.70400000000001"/>
    <n v="6"/>
    <n v="-84.8232"/>
    <x v="7"/>
  </r>
  <r>
    <x v="1161"/>
    <x v="721"/>
    <d v="2015-04-28T00:00:00"/>
    <x v="1"/>
    <s v="JK-16090"/>
    <s v="Juliana Krohn"/>
    <s v="Consumer"/>
    <x v="0"/>
    <x v="74"/>
    <x v="0"/>
    <x v="0"/>
    <s v="FUR-CH-10001891"/>
    <x v="0"/>
    <x v="1"/>
    <x v="55"/>
    <n v="191.96"/>
    <n v="2"/>
    <n v="51.8292"/>
    <x v="6"/>
  </r>
  <r>
    <x v="1161"/>
    <x v="721"/>
    <d v="2015-04-28T00:00:00"/>
    <x v="1"/>
    <s v="JK-16090"/>
    <s v="Juliana Krohn"/>
    <s v="Consumer"/>
    <x v="0"/>
    <x v="74"/>
    <x v="0"/>
    <x v="0"/>
    <s v="FUR-FU-10003394"/>
    <x v="0"/>
    <x v="3"/>
    <x v="120"/>
    <n v="209.88"/>
    <n v="3"/>
    <n v="35.679600000000001"/>
    <x v="6"/>
  </r>
  <r>
    <x v="1162"/>
    <x v="9"/>
    <d v="2016-06-19T00:00:00"/>
    <x v="2"/>
    <s v="MV-18190"/>
    <s v="Mike Vittorini"/>
    <s v="Consumer"/>
    <x v="0"/>
    <x v="2"/>
    <x v="2"/>
    <x v="1"/>
    <s v="FUR-BO-10004218"/>
    <x v="0"/>
    <x v="0"/>
    <x v="327"/>
    <n v="239.666"/>
    <n v="2"/>
    <n v="14.098000000000001"/>
    <x v="2"/>
  </r>
  <r>
    <x v="1163"/>
    <x v="722"/>
    <d v="2017-01-18T00:00:00"/>
    <x v="0"/>
    <s v="CP-12085"/>
    <s v="Cathy Prescott"/>
    <s v="Corporate"/>
    <x v="0"/>
    <x v="76"/>
    <x v="23"/>
    <x v="3"/>
    <s v="FUR-BO-10001608"/>
    <x v="0"/>
    <x v="0"/>
    <x v="315"/>
    <n v="212.94"/>
    <n v="3"/>
    <n v="53.234999999999999"/>
    <x v="8"/>
  </r>
  <r>
    <x v="1164"/>
    <x v="723"/>
    <d v="2014-09-09T00:00:00"/>
    <x v="2"/>
    <s v="VP-21760"/>
    <s v="Victoria Pisteka"/>
    <s v="Corporate"/>
    <x v="0"/>
    <x v="28"/>
    <x v="2"/>
    <x v="1"/>
    <s v="FUR-FU-10001487"/>
    <x v="0"/>
    <x v="3"/>
    <x v="3"/>
    <n v="41.88"/>
    <n v="6"/>
    <n v="12.145200000000001"/>
    <x v="4"/>
  </r>
  <r>
    <x v="1165"/>
    <x v="724"/>
    <d v="2015-01-23T00:00:00"/>
    <x v="1"/>
    <s v="PM-18940"/>
    <s v="Paul MacIntyre"/>
    <s v="Consumer"/>
    <x v="0"/>
    <x v="303"/>
    <x v="5"/>
    <x v="3"/>
    <s v="FUR-TA-10002855"/>
    <x v="0"/>
    <x v="2"/>
    <x v="235"/>
    <n v="102.438"/>
    <n v="1"/>
    <n v="-13.1706"/>
    <x v="8"/>
  </r>
  <r>
    <x v="1165"/>
    <x v="724"/>
    <d v="2015-01-23T00:00:00"/>
    <x v="1"/>
    <s v="PM-18940"/>
    <s v="Paul MacIntyre"/>
    <s v="Consumer"/>
    <x v="0"/>
    <x v="303"/>
    <x v="5"/>
    <x v="3"/>
    <s v="FUR-CH-10004875"/>
    <x v="0"/>
    <x v="1"/>
    <x v="290"/>
    <n v="199.304"/>
    <n v="4"/>
    <n v="-8.5416000000000007"/>
    <x v="8"/>
  </r>
  <r>
    <x v="1166"/>
    <x v="683"/>
    <d v="2016-12-30T00:00:00"/>
    <x v="1"/>
    <s v="JE-15715"/>
    <s v="Joe Elijah"/>
    <s v="Consumer"/>
    <x v="0"/>
    <x v="15"/>
    <x v="13"/>
    <x v="1"/>
    <s v="FUR-CH-10000847"/>
    <x v="0"/>
    <x v="1"/>
    <x v="199"/>
    <n v="698.35199999999998"/>
    <n v="3"/>
    <n v="52.376399999999997"/>
    <x v="5"/>
  </r>
  <r>
    <x v="1166"/>
    <x v="683"/>
    <d v="2016-12-30T00:00:00"/>
    <x v="1"/>
    <s v="JE-15715"/>
    <s v="Joe Elijah"/>
    <s v="Consumer"/>
    <x v="0"/>
    <x v="15"/>
    <x v="13"/>
    <x v="1"/>
    <s v="FUR-TA-10001307"/>
    <x v="0"/>
    <x v="2"/>
    <x v="211"/>
    <n v="1747.25"/>
    <n v="5"/>
    <n v="629.01"/>
    <x v="5"/>
  </r>
  <r>
    <x v="1167"/>
    <x v="314"/>
    <d v="2014-11-02T00:00:00"/>
    <x v="0"/>
    <s v="AJ-10780"/>
    <s v="Anthony Jacobs"/>
    <s v="Corporate"/>
    <x v="0"/>
    <x v="75"/>
    <x v="15"/>
    <x v="2"/>
    <s v="FUR-TA-10003954"/>
    <x v="0"/>
    <x v="2"/>
    <x v="239"/>
    <n v="1421.664"/>
    <n v="8"/>
    <n v="-734.52639999999997"/>
    <x v="1"/>
  </r>
  <r>
    <x v="1168"/>
    <x v="120"/>
    <d v="2016-12-21T00:00:00"/>
    <x v="1"/>
    <s v="MP-18175"/>
    <s v="Mike Pelletier"/>
    <s v="Home Office"/>
    <x v="0"/>
    <x v="76"/>
    <x v="36"/>
    <x v="1"/>
    <s v="FUR-TA-10003473"/>
    <x v="0"/>
    <x v="2"/>
    <x v="44"/>
    <n v="564.19500000000005"/>
    <n v="3"/>
    <n v="-304.6653"/>
    <x v="5"/>
  </r>
  <r>
    <x v="1169"/>
    <x v="272"/>
    <d v="2017-09-11T00:00:00"/>
    <x v="2"/>
    <s v="BF-11020"/>
    <s v="Barry Franzšsisch"/>
    <s v="Corporate"/>
    <x v="0"/>
    <x v="58"/>
    <x v="5"/>
    <x v="3"/>
    <s v="FUR-FU-10001095"/>
    <x v="0"/>
    <x v="3"/>
    <x v="151"/>
    <n v="21.184000000000001"/>
    <n v="2"/>
    <n v="-11.651199999999999"/>
    <x v="4"/>
  </r>
  <r>
    <x v="1169"/>
    <x v="272"/>
    <d v="2017-09-11T00:00:00"/>
    <x v="2"/>
    <s v="BF-11020"/>
    <s v="Barry Franzšsisch"/>
    <s v="Corporate"/>
    <x v="0"/>
    <x v="58"/>
    <x v="5"/>
    <x v="3"/>
    <s v="FUR-CH-10003535"/>
    <x v="0"/>
    <x v="1"/>
    <x v="312"/>
    <n v="213.43"/>
    <n v="5"/>
    <n v="-39.637"/>
    <x v="4"/>
  </r>
  <r>
    <x v="1170"/>
    <x v="134"/>
    <d v="2017-02-27T00:00:00"/>
    <x v="1"/>
    <s v="KM-16375"/>
    <s v="Katherine Murray"/>
    <s v="Home Office"/>
    <x v="0"/>
    <x v="171"/>
    <x v="22"/>
    <x v="1"/>
    <s v="FUR-FU-10002253"/>
    <x v="0"/>
    <x v="3"/>
    <x v="123"/>
    <n v="68.703999999999994"/>
    <n v="2"/>
    <n v="16.3172"/>
    <x v="11"/>
  </r>
  <r>
    <x v="1170"/>
    <x v="134"/>
    <d v="2017-02-27T00:00:00"/>
    <x v="1"/>
    <s v="KM-16375"/>
    <s v="Katherine Murray"/>
    <s v="Home Office"/>
    <x v="0"/>
    <x v="171"/>
    <x v="22"/>
    <x v="1"/>
    <s v="FUR-TA-10001039"/>
    <x v="0"/>
    <x v="2"/>
    <x v="165"/>
    <n v="386.91"/>
    <n v="9"/>
    <n v="-185.71680000000001"/>
    <x v="11"/>
  </r>
  <r>
    <x v="1171"/>
    <x v="725"/>
    <d v="2017-11-01T00:00:00"/>
    <x v="1"/>
    <s v="OT-18730"/>
    <s v="Olvera Toch"/>
    <s v="Consumer"/>
    <x v="0"/>
    <x v="304"/>
    <x v="25"/>
    <x v="0"/>
    <s v="FUR-TA-10001520"/>
    <x v="0"/>
    <x v="2"/>
    <x v="146"/>
    <n v="356.85"/>
    <n v="5"/>
    <n v="60.664499999999997"/>
    <x v="1"/>
  </r>
  <r>
    <x v="1172"/>
    <x v="666"/>
    <d v="2017-05-14T00:00:00"/>
    <x v="0"/>
    <s v="CA-12775"/>
    <s v="Cynthia Arntzen"/>
    <s v="Consumer"/>
    <x v="0"/>
    <x v="109"/>
    <x v="18"/>
    <x v="2"/>
    <s v="FUR-FU-10000719"/>
    <x v="0"/>
    <x v="3"/>
    <x v="347"/>
    <n v="42.85"/>
    <n v="5"/>
    <n v="15.426"/>
    <x v="7"/>
  </r>
  <r>
    <x v="1173"/>
    <x v="278"/>
    <d v="2015-09-12T00:00:00"/>
    <x v="1"/>
    <s v="TW-21025"/>
    <s v="Tamara Willingham"/>
    <s v="Home Office"/>
    <x v="0"/>
    <x v="305"/>
    <x v="25"/>
    <x v="0"/>
    <s v="FUR-FU-10000820"/>
    <x v="0"/>
    <x v="3"/>
    <x v="367"/>
    <n v="67.959999999999994"/>
    <n v="4"/>
    <n v="12.232799999999999"/>
    <x v="4"/>
  </r>
  <r>
    <x v="1174"/>
    <x v="567"/>
    <d v="2014-10-14T00:00:00"/>
    <x v="1"/>
    <s v="SD-20485"/>
    <s v="Shirley Daniels"/>
    <s v="Home Office"/>
    <x v="0"/>
    <x v="43"/>
    <x v="22"/>
    <x v="1"/>
    <s v="FUR-FU-10003724"/>
    <x v="0"/>
    <x v="3"/>
    <x v="181"/>
    <n v="46.872"/>
    <n v="7"/>
    <n v="3.5154000000000001"/>
    <x v="1"/>
  </r>
  <r>
    <x v="1175"/>
    <x v="726"/>
    <d v="2014-11-10T00:00:00"/>
    <x v="1"/>
    <s v="DE-13255"/>
    <s v="Deanra Eno"/>
    <s v="Home Office"/>
    <x v="0"/>
    <x v="2"/>
    <x v="2"/>
    <x v="1"/>
    <s v="FUR-FU-10000320"/>
    <x v="0"/>
    <x v="3"/>
    <x v="311"/>
    <n v="20.04"/>
    <n v="6"/>
    <n v="8.8176000000000005"/>
    <x v="0"/>
  </r>
  <r>
    <x v="1176"/>
    <x v="584"/>
    <d v="2015-12-22T00:00:00"/>
    <x v="1"/>
    <s v="MC-18100"/>
    <s v="Mick Crebagga"/>
    <s v="Consumer"/>
    <x v="0"/>
    <x v="17"/>
    <x v="8"/>
    <x v="3"/>
    <s v="FUR-FU-10000965"/>
    <x v="0"/>
    <x v="3"/>
    <x v="143"/>
    <n v="41.552"/>
    <n v="2"/>
    <n v="-19.737200000000001"/>
    <x v="5"/>
  </r>
  <r>
    <x v="1177"/>
    <x v="720"/>
    <d v="2017-07-25T00:00:00"/>
    <x v="1"/>
    <s v="SW-20455"/>
    <s v="Shaun Weien"/>
    <s v="Consumer"/>
    <x v="0"/>
    <x v="53"/>
    <x v="2"/>
    <x v="1"/>
    <s v="FUR-CH-10000988"/>
    <x v="0"/>
    <x v="1"/>
    <x v="221"/>
    <n v="225.29599999999999"/>
    <n v="2"/>
    <n v="22.529599999999999"/>
    <x v="3"/>
  </r>
  <r>
    <x v="1178"/>
    <x v="727"/>
    <d v="2015-05-24T00:00:00"/>
    <x v="1"/>
    <s v="SG-20470"/>
    <s v="Sheri Gordon"/>
    <s v="Consumer"/>
    <x v="0"/>
    <x v="306"/>
    <x v="30"/>
    <x v="0"/>
    <s v="FUR-FU-10001986"/>
    <x v="0"/>
    <x v="3"/>
    <x v="222"/>
    <n v="163.136"/>
    <n v="4"/>
    <n v="20.391999999999999"/>
    <x v="7"/>
  </r>
  <r>
    <x v="1179"/>
    <x v="502"/>
    <d v="2015-11-19T00:00:00"/>
    <x v="1"/>
    <s v="GZ-14470"/>
    <s v="Gary Zandusky"/>
    <s v="Consumer"/>
    <x v="0"/>
    <x v="307"/>
    <x v="41"/>
    <x v="1"/>
    <s v="FUR-CH-10004287"/>
    <x v="0"/>
    <x v="1"/>
    <x v="32"/>
    <n v="883.84"/>
    <n v="4"/>
    <n v="99.432000000000002"/>
    <x v="0"/>
  </r>
  <r>
    <x v="1179"/>
    <x v="502"/>
    <d v="2015-11-19T00:00:00"/>
    <x v="1"/>
    <s v="GZ-14470"/>
    <s v="Gary Zandusky"/>
    <s v="Consumer"/>
    <x v="0"/>
    <x v="307"/>
    <x v="41"/>
    <x v="1"/>
    <s v="FUR-CH-10001891"/>
    <x v="0"/>
    <x v="1"/>
    <x v="55"/>
    <n v="230.352"/>
    <n v="3"/>
    <n v="20.155799999999999"/>
    <x v="0"/>
  </r>
  <r>
    <x v="1180"/>
    <x v="417"/>
    <d v="2017-12-14T00:00:00"/>
    <x v="3"/>
    <s v="DB-13060"/>
    <s v="Dave Brooks"/>
    <s v="Consumer"/>
    <x v="0"/>
    <x v="187"/>
    <x v="8"/>
    <x v="3"/>
    <s v="FUR-FU-10002298"/>
    <x v="0"/>
    <x v="3"/>
    <x v="256"/>
    <n v="266.35199999999998"/>
    <n v="6"/>
    <n v="-292.98719999999997"/>
    <x v="5"/>
  </r>
  <r>
    <x v="1180"/>
    <x v="417"/>
    <d v="2017-12-14T00:00:00"/>
    <x v="3"/>
    <s v="DB-13060"/>
    <s v="Dave Brooks"/>
    <s v="Consumer"/>
    <x v="0"/>
    <x v="187"/>
    <x v="8"/>
    <x v="3"/>
    <s v="FUR-FU-10004091"/>
    <x v="0"/>
    <x v="3"/>
    <x v="54"/>
    <n v="56.328000000000003"/>
    <n v="3"/>
    <n v="-26.755800000000001"/>
    <x v="5"/>
  </r>
  <r>
    <x v="1181"/>
    <x v="57"/>
    <d v="2016-04-15T00:00:00"/>
    <x v="1"/>
    <s v="CK-12325"/>
    <s v="Christine Kargatis"/>
    <s v="Home Office"/>
    <x v="0"/>
    <x v="308"/>
    <x v="31"/>
    <x v="0"/>
    <s v="FUR-FU-10003268"/>
    <x v="0"/>
    <x v="3"/>
    <x v="176"/>
    <n v="159.91999999999999"/>
    <n v="4"/>
    <n v="31.984000000000002"/>
    <x v="6"/>
  </r>
  <r>
    <x v="1182"/>
    <x v="114"/>
    <d v="2016-11-09T00:00:00"/>
    <x v="1"/>
    <s v="MF-17665"/>
    <s v="Maureen Fritzler"/>
    <s v="Corporate"/>
    <x v="0"/>
    <x v="89"/>
    <x v="1"/>
    <x v="0"/>
    <s v="FUR-FU-10001889"/>
    <x v="0"/>
    <x v="3"/>
    <x v="228"/>
    <n v="50.496000000000002"/>
    <n v="6"/>
    <n v="8.2056000000000004"/>
    <x v="0"/>
  </r>
  <r>
    <x v="1183"/>
    <x v="311"/>
    <d v="2015-06-20T00:00:00"/>
    <x v="2"/>
    <s v="BV-11245"/>
    <s v="Benjamin Venier"/>
    <s v="Corporate"/>
    <x v="0"/>
    <x v="107"/>
    <x v="9"/>
    <x v="0"/>
    <s v="FUR-CH-10002965"/>
    <x v="0"/>
    <x v="1"/>
    <x v="50"/>
    <n v="643.13599999999997"/>
    <n v="4"/>
    <n v="56.2744"/>
    <x v="2"/>
  </r>
  <r>
    <x v="1184"/>
    <x v="261"/>
    <d v="2014-05-31T00:00:00"/>
    <x v="1"/>
    <s v="MM-18055"/>
    <s v="Michelle Moray"/>
    <s v="Consumer"/>
    <x v="0"/>
    <x v="9"/>
    <x v="8"/>
    <x v="3"/>
    <s v="FUR-CH-10003981"/>
    <x v="0"/>
    <x v="1"/>
    <x v="232"/>
    <n v="359.77199999999999"/>
    <n v="2"/>
    <n v="-5.1395999999999997"/>
    <x v="7"/>
  </r>
  <r>
    <x v="1185"/>
    <x v="682"/>
    <d v="2017-07-11T00:00:00"/>
    <x v="1"/>
    <s v="PO-18850"/>
    <s v="Patrick O'Brill"/>
    <s v="Consumer"/>
    <x v="0"/>
    <x v="2"/>
    <x v="2"/>
    <x v="1"/>
    <s v="FUR-CH-10001146"/>
    <x v="0"/>
    <x v="1"/>
    <x v="29"/>
    <n v="122.136"/>
    <n v="3"/>
    <n v="-13.7403"/>
    <x v="3"/>
  </r>
  <r>
    <x v="1186"/>
    <x v="728"/>
    <d v="2016-06-30T00:00:00"/>
    <x v="0"/>
    <s v="BP-11155"/>
    <s v="Becky Pak"/>
    <s v="Consumer"/>
    <x v="0"/>
    <x v="309"/>
    <x v="18"/>
    <x v="2"/>
    <s v="FUR-CH-10003535"/>
    <x v="0"/>
    <x v="1"/>
    <x v="312"/>
    <n v="121.96"/>
    <n v="2"/>
    <n v="20.7332"/>
    <x v="2"/>
  </r>
  <r>
    <x v="1187"/>
    <x v="102"/>
    <d v="2017-09-19T00:00:00"/>
    <x v="1"/>
    <s v="TC-21145"/>
    <s v="Theresa Coyne"/>
    <s v="Corporate"/>
    <x v="0"/>
    <x v="174"/>
    <x v="18"/>
    <x v="2"/>
    <s v="FUR-FU-10002445"/>
    <x v="0"/>
    <x v="3"/>
    <x v="292"/>
    <n v="47.4"/>
    <n v="5"/>
    <n v="18.96"/>
    <x v="4"/>
  </r>
  <r>
    <x v="1187"/>
    <x v="102"/>
    <d v="2017-09-19T00:00:00"/>
    <x v="1"/>
    <s v="TC-21145"/>
    <s v="Theresa Coyne"/>
    <s v="Corporate"/>
    <x v="0"/>
    <x v="174"/>
    <x v="18"/>
    <x v="2"/>
    <s v="FUR-CH-10003606"/>
    <x v="0"/>
    <x v="1"/>
    <x v="321"/>
    <n v="512.96"/>
    <n v="4"/>
    <n v="143.62880000000001"/>
    <x v="4"/>
  </r>
  <r>
    <x v="1188"/>
    <x v="729"/>
    <d v="2016-07-26T00:00:00"/>
    <x v="0"/>
    <s v="DB-12970"/>
    <s v="Darren Budd"/>
    <s v="Corporate"/>
    <x v="0"/>
    <x v="13"/>
    <x v="7"/>
    <x v="2"/>
    <s v="FUR-CH-10001708"/>
    <x v="0"/>
    <x v="1"/>
    <x v="180"/>
    <n v="253.76400000000001"/>
    <n v="2"/>
    <n v="31.015599999999999"/>
    <x v="3"/>
  </r>
  <r>
    <x v="1189"/>
    <x v="333"/>
    <d v="2017-04-24T00:00:00"/>
    <x v="1"/>
    <s v="SJ-20215"/>
    <s v="Sarah Jordon"/>
    <s v="Consumer"/>
    <x v="0"/>
    <x v="9"/>
    <x v="8"/>
    <x v="3"/>
    <s v="FUR-CH-10002602"/>
    <x v="0"/>
    <x v="1"/>
    <x v="64"/>
    <n v="317.05799999999999"/>
    <n v="3"/>
    <n v="-18.117599999999999"/>
    <x v="6"/>
  </r>
  <r>
    <x v="1189"/>
    <x v="333"/>
    <d v="2017-04-24T00:00:00"/>
    <x v="1"/>
    <s v="SJ-20215"/>
    <s v="Sarah Jordon"/>
    <s v="Consumer"/>
    <x v="0"/>
    <x v="9"/>
    <x v="8"/>
    <x v="3"/>
    <s v="FUR-FU-10002456"/>
    <x v="0"/>
    <x v="3"/>
    <x v="202"/>
    <n v="14.56"/>
    <n v="5"/>
    <n v="-6.1879999999999997"/>
    <x v="6"/>
  </r>
  <r>
    <x v="1190"/>
    <x v="222"/>
    <d v="2016-09-08T00:00:00"/>
    <x v="0"/>
    <s v="HF-14995"/>
    <s v="Herbert Flentye"/>
    <s v="Consumer"/>
    <x v="0"/>
    <x v="237"/>
    <x v="32"/>
    <x v="2"/>
    <s v="FUR-BO-10003159"/>
    <x v="0"/>
    <x v="0"/>
    <x v="214"/>
    <n v="344.94"/>
    <n v="3"/>
    <n v="31.044599999999999"/>
    <x v="4"/>
  </r>
  <r>
    <x v="1190"/>
    <x v="222"/>
    <d v="2016-09-08T00:00:00"/>
    <x v="0"/>
    <s v="HF-14995"/>
    <s v="Herbert Flentye"/>
    <s v="Consumer"/>
    <x v="0"/>
    <x v="237"/>
    <x v="32"/>
    <x v="2"/>
    <s v="FUR-FU-10002364"/>
    <x v="0"/>
    <x v="3"/>
    <x v="242"/>
    <n v="14.76"/>
    <n v="2"/>
    <n v="4.2804000000000002"/>
    <x v="4"/>
  </r>
  <r>
    <x v="1191"/>
    <x v="730"/>
    <d v="2017-07-28T00:00:00"/>
    <x v="0"/>
    <s v="JC-15775"/>
    <s v="John Castell"/>
    <s v="Consumer"/>
    <x v="0"/>
    <x v="3"/>
    <x v="3"/>
    <x v="2"/>
    <s v="FUR-FU-10000732"/>
    <x v="0"/>
    <x v="3"/>
    <x v="113"/>
    <n v="20.096"/>
    <n v="4"/>
    <n v="3.0144000000000002"/>
    <x v="3"/>
  </r>
  <r>
    <x v="1191"/>
    <x v="730"/>
    <d v="2017-07-28T00:00:00"/>
    <x v="0"/>
    <s v="JC-15775"/>
    <s v="John Castell"/>
    <s v="Consumer"/>
    <x v="0"/>
    <x v="3"/>
    <x v="3"/>
    <x v="2"/>
    <s v="FUR-TA-10001771"/>
    <x v="0"/>
    <x v="2"/>
    <x v="358"/>
    <n v="138.58799999999999"/>
    <n v="1"/>
    <n v="-34.646999999999998"/>
    <x v="3"/>
  </r>
  <r>
    <x v="1192"/>
    <x v="615"/>
    <d v="2015-09-20T00:00:00"/>
    <x v="1"/>
    <s v="JH-15910"/>
    <s v="Jonathan Howell"/>
    <s v="Consumer"/>
    <x v="0"/>
    <x v="182"/>
    <x v="24"/>
    <x v="0"/>
    <s v="FUR-FU-10003975"/>
    <x v="0"/>
    <x v="3"/>
    <x v="156"/>
    <n v="129.93"/>
    <n v="3"/>
    <n v="12.993"/>
    <x v="4"/>
  </r>
  <r>
    <x v="1193"/>
    <x v="480"/>
    <d v="2016-11-15T00:00:00"/>
    <x v="1"/>
    <s v="BF-11170"/>
    <s v="Ben Ferrer"/>
    <s v="Home Office"/>
    <x v="0"/>
    <x v="155"/>
    <x v="2"/>
    <x v="1"/>
    <s v="FUR-FU-10003731"/>
    <x v="0"/>
    <x v="3"/>
    <x v="329"/>
    <n v="9.98"/>
    <n v="1"/>
    <n v="2.7944"/>
    <x v="0"/>
  </r>
  <r>
    <x v="1194"/>
    <x v="397"/>
    <d v="2015-11-20T00:00:00"/>
    <x v="1"/>
    <s v="MC-17605"/>
    <s v="Matt Connell"/>
    <s v="Corporate"/>
    <x v="0"/>
    <x v="9"/>
    <x v="8"/>
    <x v="3"/>
    <s v="FUR-FU-10001215"/>
    <x v="0"/>
    <x v="3"/>
    <x v="331"/>
    <n v="34.503999999999998"/>
    <n v="2"/>
    <n v="-15.5268"/>
    <x v="0"/>
  </r>
  <r>
    <x v="1195"/>
    <x v="382"/>
    <d v="2015-08-25T00:00:00"/>
    <x v="3"/>
    <s v="MC-18100"/>
    <s v="Mick Crebagga"/>
    <s v="Consumer"/>
    <x v="0"/>
    <x v="6"/>
    <x v="5"/>
    <x v="3"/>
    <s v="FUR-FU-10001473"/>
    <x v="0"/>
    <x v="3"/>
    <x v="246"/>
    <n v="20.103999999999999"/>
    <n v="2"/>
    <n v="-16.585799999999999"/>
    <x v="10"/>
  </r>
  <r>
    <x v="1195"/>
    <x v="382"/>
    <d v="2015-08-25T00:00:00"/>
    <x v="3"/>
    <s v="MC-18100"/>
    <s v="Mick Crebagga"/>
    <s v="Consumer"/>
    <x v="0"/>
    <x v="6"/>
    <x v="5"/>
    <x v="3"/>
    <s v="FUR-FU-10002240"/>
    <x v="0"/>
    <x v="3"/>
    <x v="368"/>
    <n v="7.88"/>
    <n v="5"/>
    <n v="-3.94"/>
    <x v="10"/>
  </r>
  <r>
    <x v="1196"/>
    <x v="683"/>
    <d v="2017-01-01T00:00:00"/>
    <x v="1"/>
    <s v="LW-16825"/>
    <s v="Laurel Workman"/>
    <s v="Corporate"/>
    <x v="0"/>
    <x v="43"/>
    <x v="22"/>
    <x v="1"/>
    <s v="FUR-TA-10002607"/>
    <x v="0"/>
    <x v="2"/>
    <x v="48"/>
    <n v="35.445"/>
    <n v="1"/>
    <n v="-24.102599999999999"/>
    <x v="5"/>
  </r>
  <r>
    <x v="1196"/>
    <x v="683"/>
    <d v="2017-01-01T00:00:00"/>
    <x v="1"/>
    <s v="LW-16825"/>
    <s v="Laurel Workman"/>
    <s v="Corporate"/>
    <x v="0"/>
    <x v="43"/>
    <x v="22"/>
    <x v="1"/>
    <s v="FUR-CH-10004754"/>
    <x v="0"/>
    <x v="1"/>
    <x v="219"/>
    <n v="47.968000000000004"/>
    <n v="2"/>
    <n v="4.1971999999999996"/>
    <x v="5"/>
  </r>
  <r>
    <x v="1197"/>
    <x v="731"/>
    <d v="2015-04-05T00:00:00"/>
    <x v="1"/>
    <s v="EB-13705"/>
    <s v="Ed Braxton"/>
    <s v="Corporate"/>
    <x v="0"/>
    <x v="6"/>
    <x v="5"/>
    <x v="3"/>
    <s v="FUR-FU-10001085"/>
    <x v="0"/>
    <x v="3"/>
    <x v="328"/>
    <n v="22.38"/>
    <n v="3"/>
    <n v="-7.8330000000000002"/>
    <x v="9"/>
  </r>
  <r>
    <x v="1198"/>
    <x v="732"/>
    <d v="2017-09-15T00:00:00"/>
    <x v="2"/>
    <s v="PS-18760"/>
    <s v="Pamela Stobb"/>
    <s v="Consumer"/>
    <x v="0"/>
    <x v="3"/>
    <x v="3"/>
    <x v="2"/>
    <s v="FUR-CH-10002372"/>
    <x v="0"/>
    <x v="1"/>
    <x v="83"/>
    <n v="113.372"/>
    <n v="2"/>
    <n v="-29.152799999999999"/>
    <x v="4"/>
  </r>
  <r>
    <x v="1198"/>
    <x v="732"/>
    <d v="2017-09-15T00:00:00"/>
    <x v="2"/>
    <s v="PS-18760"/>
    <s v="Pamela Stobb"/>
    <s v="Consumer"/>
    <x v="0"/>
    <x v="3"/>
    <x v="3"/>
    <x v="2"/>
    <s v="FUR-FU-10001057"/>
    <x v="0"/>
    <x v="3"/>
    <x v="369"/>
    <n v="127.93600000000001"/>
    <n v="8"/>
    <n v="4.7976000000000001"/>
    <x v="4"/>
  </r>
  <r>
    <x v="1199"/>
    <x v="733"/>
    <d v="2014-06-21T00:00:00"/>
    <x v="1"/>
    <s v="GH-14425"/>
    <s v="Gary Hwang"/>
    <s v="Consumer"/>
    <x v="0"/>
    <x v="15"/>
    <x v="13"/>
    <x v="1"/>
    <s v="FUR-FU-10003981"/>
    <x v="0"/>
    <x v="3"/>
    <x v="70"/>
    <n v="6.24"/>
    <n v="3"/>
    <n v="2.6208"/>
    <x v="2"/>
  </r>
  <r>
    <x v="1200"/>
    <x v="158"/>
    <d v="2018-01-01T00:00:00"/>
    <x v="1"/>
    <s v="LO-17170"/>
    <s v="Lori Olson"/>
    <s v="Corporate"/>
    <x v="0"/>
    <x v="117"/>
    <x v="8"/>
    <x v="3"/>
    <s v="FUR-FU-10004586"/>
    <x v="0"/>
    <x v="3"/>
    <x v="303"/>
    <n v="7.968"/>
    <n v="3"/>
    <n v="-2.3904000000000001"/>
    <x v="5"/>
  </r>
  <r>
    <x v="1200"/>
    <x v="158"/>
    <d v="2018-01-01T00:00:00"/>
    <x v="1"/>
    <s v="LO-17170"/>
    <s v="Lori Olson"/>
    <s v="Corporate"/>
    <x v="0"/>
    <x v="117"/>
    <x v="8"/>
    <x v="3"/>
    <s v="FUR-CH-10004698"/>
    <x v="0"/>
    <x v="1"/>
    <x v="34"/>
    <n v="113.372"/>
    <n v="2"/>
    <n v="-3.2391999999999999"/>
    <x v="5"/>
  </r>
  <r>
    <x v="1200"/>
    <x v="158"/>
    <d v="2018-01-01T00:00:00"/>
    <x v="1"/>
    <s v="LO-17170"/>
    <s v="Lori Olson"/>
    <s v="Corporate"/>
    <x v="0"/>
    <x v="117"/>
    <x v="8"/>
    <x v="3"/>
    <s v="FUR-FU-10001935"/>
    <x v="0"/>
    <x v="3"/>
    <x v="73"/>
    <n v="2.96"/>
    <n v="2"/>
    <n v="-1.4059999999999999"/>
    <x v="5"/>
  </r>
  <r>
    <x v="1201"/>
    <x v="396"/>
    <d v="2015-07-29T00:00:00"/>
    <x v="1"/>
    <s v="YS-21880"/>
    <s v="Yana Sorensen"/>
    <s v="Corporate"/>
    <x v="0"/>
    <x v="132"/>
    <x v="33"/>
    <x v="0"/>
    <s v="FUR-TA-10002041"/>
    <x v="0"/>
    <x v="2"/>
    <x v="74"/>
    <n v="358.58"/>
    <n v="2"/>
    <n v="39.443800000000003"/>
    <x v="3"/>
  </r>
  <r>
    <x v="1202"/>
    <x v="63"/>
    <d v="2016-09-08T00:00:00"/>
    <x v="3"/>
    <s v="PJ-19015"/>
    <s v="Pauline Johnson"/>
    <s v="Consumer"/>
    <x v="0"/>
    <x v="72"/>
    <x v="2"/>
    <x v="1"/>
    <s v="FUR-TA-10003008"/>
    <x v="0"/>
    <x v="2"/>
    <x v="190"/>
    <n v="146.04"/>
    <n v="1"/>
    <n v="-12.778499999999999"/>
    <x v="4"/>
  </r>
  <r>
    <x v="1203"/>
    <x v="487"/>
    <d v="2017-10-20T00:00:00"/>
    <x v="1"/>
    <s v="DL-13495"/>
    <s v="Dionis Lloyd"/>
    <s v="Corporate"/>
    <x v="0"/>
    <x v="310"/>
    <x v="2"/>
    <x v="1"/>
    <s v="FUR-FU-10000087"/>
    <x v="0"/>
    <x v="3"/>
    <x v="39"/>
    <n v="22.72"/>
    <n v="1"/>
    <n v="9.3152000000000008"/>
    <x v="1"/>
  </r>
  <r>
    <x v="1204"/>
    <x v="51"/>
    <d v="2016-09-17T00:00:00"/>
    <x v="1"/>
    <s v="AJ-10795"/>
    <s v="Anthony Johnson"/>
    <s v="Corporate"/>
    <x v="0"/>
    <x v="76"/>
    <x v="25"/>
    <x v="0"/>
    <s v="FUR-CH-10002073"/>
    <x v="0"/>
    <x v="1"/>
    <x v="370"/>
    <n v="1059.1199999999999"/>
    <n v="4"/>
    <n v="307.14479999999998"/>
    <x v="4"/>
  </r>
  <r>
    <x v="1205"/>
    <x v="734"/>
    <d v="2014-07-12T00:00:00"/>
    <x v="1"/>
    <s v="BC-11125"/>
    <s v="Becky Castell"/>
    <s v="Home Office"/>
    <x v="0"/>
    <x v="311"/>
    <x v="2"/>
    <x v="1"/>
    <s v="FUR-CH-10000155"/>
    <x v="0"/>
    <x v="1"/>
    <x v="229"/>
    <n v="478.48"/>
    <n v="2"/>
    <n v="47.847999999999999"/>
    <x v="3"/>
  </r>
  <r>
    <x v="1206"/>
    <x v="607"/>
    <d v="2014-04-25T00:00:00"/>
    <x v="1"/>
    <s v="BP-11230"/>
    <s v="Benjamin Patterson"/>
    <s v="Consumer"/>
    <x v="0"/>
    <x v="2"/>
    <x v="2"/>
    <x v="1"/>
    <s v="FUR-FU-10000409"/>
    <x v="0"/>
    <x v="3"/>
    <x v="283"/>
    <n v="59.92"/>
    <n v="4"/>
    <n v="27.563199999999998"/>
    <x v="6"/>
  </r>
  <r>
    <x v="1207"/>
    <x v="735"/>
    <d v="2016-01-12T00:00:00"/>
    <x v="1"/>
    <s v="JO-15145"/>
    <s v="Jack O'Briant"/>
    <s v="Corporate"/>
    <x v="0"/>
    <x v="20"/>
    <x v="16"/>
    <x v="3"/>
    <s v="FUR-BO-10002545"/>
    <x v="0"/>
    <x v="0"/>
    <x v="9"/>
    <n v="1565.88"/>
    <n v="6"/>
    <n v="407.12880000000001"/>
    <x v="8"/>
  </r>
  <r>
    <x v="1208"/>
    <x v="452"/>
    <d v="2017-04-22T00:00:00"/>
    <x v="1"/>
    <s v="PS-18760"/>
    <s v="Pamela Stobb"/>
    <s v="Consumer"/>
    <x v="0"/>
    <x v="2"/>
    <x v="2"/>
    <x v="1"/>
    <s v="FUR-CH-10003774"/>
    <x v="0"/>
    <x v="1"/>
    <x v="234"/>
    <n v="218.352"/>
    <n v="3"/>
    <n v="-19.105799999999999"/>
    <x v="6"/>
  </r>
  <r>
    <x v="1209"/>
    <x v="650"/>
    <d v="2016-08-28T00:00:00"/>
    <x v="1"/>
    <s v="SC-20230"/>
    <s v="Scot Coram"/>
    <s v="Corporate"/>
    <x v="0"/>
    <x v="2"/>
    <x v="2"/>
    <x v="1"/>
    <s v="FUR-TA-10003569"/>
    <x v="0"/>
    <x v="2"/>
    <x v="273"/>
    <n v="2887.056"/>
    <n v="9"/>
    <n v="180.441"/>
    <x v="10"/>
  </r>
  <r>
    <x v="1210"/>
    <x v="26"/>
    <d v="2016-09-10T00:00:00"/>
    <x v="1"/>
    <s v="MM-17920"/>
    <s v="Michael Moore"/>
    <s v="Consumer"/>
    <x v="0"/>
    <x v="180"/>
    <x v="25"/>
    <x v="0"/>
    <s v="FUR-TA-10003238"/>
    <x v="0"/>
    <x v="2"/>
    <x v="243"/>
    <n v="1652.94"/>
    <n v="3"/>
    <n v="314.05860000000001"/>
    <x v="4"/>
  </r>
  <r>
    <x v="1211"/>
    <x v="233"/>
    <d v="2015-10-15T00:00:00"/>
    <x v="3"/>
    <s v="CG-12520"/>
    <s v="Claire Gute"/>
    <s v="Consumer"/>
    <x v="0"/>
    <x v="144"/>
    <x v="5"/>
    <x v="3"/>
    <s v="FUR-FU-10004952"/>
    <x v="0"/>
    <x v="3"/>
    <x v="169"/>
    <n v="131.376"/>
    <n v="6"/>
    <n v="-95.247600000000006"/>
    <x v="1"/>
  </r>
  <r>
    <x v="1212"/>
    <x v="239"/>
    <d v="2015-12-05T00:00:00"/>
    <x v="0"/>
    <s v="TW-21025"/>
    <s v="Tamara Willingham"/>
    <s v="Home Office"/>
    <x v="0"/>
    <x v="15"/>
    <x v="13"/>
    <x v="1"/>
    <s v="FUR-CH-10001215"/>
    <x v="0"/>
    <x v="1"/>
    <x v="94"/>
    <n v="2003.92"/>
    <n v="5"/>
    <n v="125.245"/>
    <x v="5"/>
  </r>
  <r>
    <x v="1212"/>
    <x v="239"/>
    <d v="2015-12-05T00:00:00"/>
    <x v="0"/>
    <s v="TW-21025"/>
    <s v="Tamara Willingham"/>
    <s v="Home Office"/>
    <x v="0"/>
    <x v="15"/>
    <x v="13"/>
    <x v="1"/>
    <s v="FUR-TA-10001705"/>
    <x v="0"/>
    <x v="2"/>
    <x v="43"/>
    <n v="1913.4"/>
    <n v="9"/>
    <n v="401.81400000000002"/>
    <x v="5"/>
  </r>
  <r>
    <x v="1213"/>
    <x v="151"/>
    <d v="2015-06-04T00:00:00"/>
    <x v="1"/>
    <s v="BD-11320"/>
    <s v="Bill Donatelli"/>
    <s v="Consumer"/>
    <x v="0"/>
    <x v="12"/>
    <x v="11"/>
    <x v="3"/>
    <s v="FUR-CH-10002320"/>
    <x v="0"/>
    <x v="1"/>
    <x v="297"/>
    <n v="2567.84"/>
    <n v="8"/>
    <n v="770.35199999999998"/>
    <x v="7"/>
  </r>
  <r>
    <x v="1214"/>
    <x v="510"/>
    <d v="2017-09-22T00:00:00"/>
    <x v="1"/>
    <s v="SS-20140"/>
    <s v="Saphhira Shifley"/>
    <s v="Corporate"/>
    <x v="0"/>
    <x v="29"/>
    <x v="24"/>
    <x v="0"/>
    <s v="FUR-FU-10002963"/>
    <x v="0"/>
    <x v="3"/>
    <x v="305"/>
    <n v="20.32"/>
    <n v="4"/>
    <n v="6.9088000000000003"/>
    <x v="4"/>
  </r>
  <r>
    <x v="1215"/>
    <x v="736"/>
    <d v="2015-05-26T00:00:00"/>
    <x v="0"/>
    <s v="VS-21820"/>
    <s v="Vivek Sundaresam"/>
    <s v="Consumer"/>
    <x v="0"/>
    <x v="312"/>
    <x v="8"/>
    <x v="3"/>
    <s v="FUR-CH-10002880"/>
    <x v="0"/>
    <x v="1"/>
    <x v="162"/>
    <n v="602.65099999999995"/>
    <n v="7"/>
    <n v="-163.57669999999999"/>
    <x v="7"/>
  </r>
  <r>
    <x v="1216"/>
    <x v="247"/>
    <d v="2017-12-15T00:00:00"/>
    <x v="1"/>
    <s v="JE-16165"/>
    <s v="Justin Ellison"/>
    <s v="Corporate"/>
    <x v="0"/>
    <x v="313"/>
    <x v="10"/>
    <x v="0"/>
    <s v="FUR-FU-10002364"/>
    <x v="0"/>
    <x v="3"/>
    <x v="242"/>
    <n v="14.76"/>
    <n v="2"/>
    <n v="4.2804000000000002"/>
    <x v="5"/>
  </r>
  <r>
    <x v="1217"/>
    <x v="605"/>
    <d v="2017-08-02T00:00:00"/>
    <x v="1"/>
    <s v="VG-21790"/>
    <s v="Vivek Gonzalez"/>
    <s v="Consumer"/>
    <x v="0"/>
    <x v="15"/>
    <x v="13"/>
    <x v="1"/>
    <s v="FUR-BO-10004709"/>
    <x v="0"/>
    <x v="0"/>
    <x v="53"/>
    <n v="115.96"/>
    <n v="2"/>
    <n v="25.511199999999999"/>
    <x v="3"/>
  </r>
  <r>
    <x v="1218"/>
    <x v="439"/>
    <d v="2014-12-21T00:00:00"/>
    <x v="1"/>
    <s v="SH-20635"/>
    <s v="Stefanie Holloman"/>
    <s v="Corporate"/>
    <x v="0"/>
    <x v="155"/>
    <x v="2"/>
    <x v="1"/>
    <s v="FUR-CH-10001854"/>
    <x v="0"/>
    <x v="1"/>
    <x v="216"/>
    <n v="1403.92"/>
    <n v="5"/>
    <n v="70.195999999999998"/>
    <x v="5"/>
  </r>
  <r>
    <x v="1219"/>
    <x v="737"/>
    <d v="2015-12-04T00:00:00"/>
    <x v="1"/>
    <s v="JL-15235"/>
    <s v="Janet Lee"/>
    <s v="Consumer"/>
    <x v="0"/>
    <x v="13"/>
    <x v="7"/>
    <x v="2"/>
    <s v="FUR-BO-10001608"/>
    <x v="0"/>
    <x v="0"/>
    <x v="315"/>
    <n v="681.40800000000002"/>
    <n v="12"/>
    <n v="42.588000000000001"/>
    <x v="0"/>
  </r>
  <r>
    <x v="1220"/>
    <x v="738"/>
    <d v="2014-07-18T00:00:00"/>
    <x v="1"/>
    <s v="ST-20530"/>
    <s v="Shui Tom"/>
    <s v="Consumer"/>
    <x v="0"/>
    <x v="3"/>
    <x v="3"/>
    <x v="2"/>
    <s v="FUR-FU-10001057"/>
    <x v="0"/>
    <x v="3"/>
    <x v="369"/>
    <n v="31.984000000000002"/>
    <n v="2"/>
    <n v="1.1994"/>
    <x v="3"/>
  </r>
  <r>
    <x v="1221"/>
    <x v="227"/>
    <d v="2016-09-04T00:00:00"/>
    <x v="2"/>
    <s v="TA-21385"/>
    <s v="Tom Ashbrook"/>
    <s v="Home Office"/>
    <x v="0"/>
    <x v="9"/>
    <x v="8"/>
    <x v="3"/>
    <s v="FUR-FU-10000277"/>
    <x v="0"/>
    <x v="3"/>
    <x v="371"/>
    <n v="84.272000000000006"/>
    <n v="2"/>
    <n v="-75.844800000000006"/>
    <x v="4"/>
  </r>
  <r>
    <x v="1222"/>
    <x v="739"/>
    <d v="2016-10-04T00:00:00"/>
    <x v="1"/>
    <s v="GM-14680"/>
    <s v="Greg Matthias"/>
    <s v="Consumer"/>
    <x v="0"/>
    <x v="13"/>
    <x v="7"/>
    <x v="2"/>
    <s v="FUR-BO-10003034"/>
    <x v="0"/>
    <x v="0"/>
    <x v="236"/>
    <n v="523.91999999999996"/>
    <n v="5"/>
    <n v="-26.196000000000002"/>
    <x v="4"/>
  </r>
  <r>
    <x v="1223"/>
    <x v="740"/>
    <d v="2015-04-29T00:00:00"/>
    <x v="1"/>
    <s v="ZC-21910"/>
    <s v="Zuschuss Carroll"/>
    <s v="Consumer"/>
    <x v="0"/>
    <x v="14"/>
    <x v="8"/>
    <x v="3"/>
    <s v="FUR-CH-10003535"/>
    <x v="0"/>
    <x v="1"/>
    <x v="312"/>
    <n v="128.05799999999999"/>
    <n v="3"/>
    <n v="-23.7822"/>
    <x v="6"/>
  </r>
  <r>
    <x v="1224"/>
    <x v="49"/>
    <d v="2017-11-19T00:00:00"/>
    <x v="3"/>
    <s v="AP-10720"/>
    <s v="Anne Pryor"/>
    <s v="Home Office"/>
    <x v="0"/>
    <x v="13"/>
    <x v="7"/>
    <x v="2"/>
    <s v="FUR-TA-10001676"/>
    <x v="0"/>
    <x v="2"/>
    <x v="193"/>
    <n v="79.974000000000004"/>
    <n v="3"/>
    <n v="-29.323799999999999"/>
    <x v="0"/>
  </r>
  <r>
    <x v="1225"/>
    <x v="197"/>
    <d v="2016-07-19T00:00:00"/>
    <x v="1"/>
    <s v="AR-10570"/>
    <s v="Anemone Ratner"/>
    <s v="Consumer"/>
    <x v="0"/>
    <x v="29"/>
    <x v="24"/>
    <x v="0"/>
    <s v="FUR-FU-10004848"/>
    <x v="0"/>
    <x v="3"/>
    <x v="7"/>
    <n v="51.75"/>
    <n v="1"/>
    <n v="15.525"/>
    <x v="3"/>
  </r>
  <r>
    <x v="1226"/>
    <x v="579"/>
    <d v="2016-01-13T00:00:00"/>
    <x v="0"/>
    <s v="JB-16000"/>
    <s v="Joy Bell-"/>
    <s v="Consumer"/>
    <x v="0"/>
    <x v="314"/>
    <x v="13"/>
    <x v="1"/>
    <s v="FUR-FU-10000010"/>
    <x v="0"/>
    <x v="3"/>
    <x v="109"/>
    <n v="24.85"/>
    <n v="5"/>
    <n v="7.7035"/>
    <x v="8"/>
  </r>
  <r>
    <x v="1227"/>
    <x v="741"/>
    <d v="2015-07-02T00:00:00"/>
    <x v="1"/>
    <s v="CY-12745"/>
    <s v="Craig Yedwab"/>
    <s v="Corporate"/>
    <x v="0"/>
    <x v="171"/>
    <x v="22"/>
    <x v="1"/>
    <s v="FUR-FU-10004306"/>
    <x v="0"/>
    <x v="3"/>
    <x v="130"/>
    <n v="621.76"/>
    <n v="4"/>
    <n v="46.631999999999998"/>
    <x v="2"/>
  </r>
  <r>
    <x v="1228"/>
    <x v="428"/>
    <d v="2015-11-13T00:00:00"/>
    <x v="0"/>
    <s v="RH-19600"/>
    <s v="Rob Haberlin"/>
    <s v="Consumer"/>
    <x v="0"/>
    <x v="247"/>
    <x v="25"/>
    <x v="0"/>
    <s v="FUR-FU-10000308"/>
    <x v="0"/>
    <x v="3"/>
    <x v="250"/>
    <n v="186.54"/>
    <n v="3"/>
    <n v="41.038800000000002"/>
    <x v="0"/>
  </r>
  <r>
    <x v="1229"/>
    <x v="742"/>
    <d v="2015-04-03T00:00:00"/>
    <x v="1"/>
    <s v="DR-12940"/>
    <s v="Daniel Raglin"/>
    <s v="Home Office"/>
    <x v="0"/>
    <x v="315"/>
    <x v="8"/>
    <x v="3"/>
    <s v="FUR-CH-10003298"/>
    <x v="0"/>
    <x v="1"/>
    <x v="322"/>
    <n v="366.74400000000003"/>
    <n v="4"/>
    <n v="-110.0232"/>
    <x v="9"/>
  </r>
  <r>
    <x v="1230"/>
    <x v="532"/>
    <d v="2014-08-21T00:00:00"/>
    <x v="0"/>
    <s v="DW-13195"/>
    <s v="David Wiener"/>
    <s v="Corporate"/>
    <x v="0"/>
    <x v="2"/>
    <x v="2"/>
    <x v="1"/>
    <s v="FUR-FU-10000723"/>
    <x v="0"/>
    <x v="3"/>
    <x v="100"/>
    <n v="289.24"/>
    <n v="7"/>
    <n v="26.031600000000001"/>
    <x v="10"/>
  </r>
  <r>
    <x v="1231"/>
    <x v="341"/>
    <d v="2015-11-05T00:00:00"/>
    <x v="1"/>
    <s v="JF-15490"/>
    <s v="Jeremy Farry"/>
    <s v="Consumer"/>
    <x v="0"/>
    <x v="13"/>
    <x v="7"/>
    <x v="2"/>
    <s v="FUR-CH-10001545"/>
    <x v="0"/>
    <x v="1"/>
    <x v="361"/>
    <n v="205.16399999999999"/>
    <n v="2"/>
    <n v="13.6776"/>
    <x v="0"/>
  </r>
  <r>
    <x v="1232"/>
    <x v="256"/>
    <d v="2014-12-21T00:00:00"/>
    <x v="1"/>
    <s v="SP-20860"/>
    <s v="Sung Pak"/>
    <s v="Corporate"/>
    <x v="0"/>
    <x v="9"/>
    <x v="8"/>
    <x v="3"/>
    <s v="FUR-FU-10001546"/>
    <x v="0"/>
    <x v="3"/>
    <x v="284"/>
    <n v="8.5440000000000005"/>
    <n v="2"/>
    <n v="-7.476"/>
    <x v="5"/>
  </r>
  <r>
    <x v="1233"/>
    <x v="130"/>
    <d v="2015-08-25T00:00:00"/>
    <x v="1"/>
    <s v="KN-16390"/>
    <s v="Katherine Nockton"/>
    <s v="Corporate"/>
    <x v="0"/>
    <x v="76"/>
    <x v="15"/>
    <x v="2"/>
    <s v="FUR-CH-10003379"/>
    <x v="0"/>
    <x v="1"/>
    <x v="96"/>
    <n v="598.45799999999997"/>
    <n v="3"/>
    <n v="-42.747"/>
    <x v="10"/>
  </r>
  <r>
    <x v="1233"/>
    <x v="130"/>
    <d v="2015-08-25T00:00:00"/>
    <x v="1"/>
    <s v="KN-16390"/>
    <s v="Katherine Nockton"/>
    <s v="Corporate"/>
    <x v="0"/>
    <x v="76"/>
    <x v="15"/>
    <x v="2"/>
    <s v="FUR-FU-10000193"/>
    <x v="0"/>
    <x v="3"/>
    <x v="306"/>
    <n v="25.984000000000002"/>
    <n v="1"/>
    <n v="-3.8976000000000002"/>
    <x v="10"/>
  </r>
  <r>
    <x v="1234"/>
    <x v="13"/>
    <d v="2017-12-11T00:00:00"/>
    <x v="0"/>
    <s v="DB-12910"/>
    <s v="Daniel Byrd"/>
    <s v="Home Office"/>
    <x v="0"/>
    <x v="316"/>
    <x v="2"/>
    <x v="1"/>
    <s v="FUR-BO-10001519"/>
    <x v="0"/>
    <x v="0"/>
    <x v="141"/>
    <n v="148.25700000000001"/>
    <n v="3"/>
    <n v="15.697800000000001"/>
    <x v="5"/>
  </r>
  <r>
    <x v="1235"/>
    <x v="743"/>
    <d v="2014-08-27T00:00:00"/>
    <x v="1"/>
    <s v="AP-10915"/>
    <s v="Arthur Prichep"/>
    <s v="Consumer"/>
    <x v="0"/>
    <x v="22"/>
    <x v="12"/>
    <x v="1"/>
    <s v="FUR-FU-10003274"/>
    <x v="0"/>
    <x v="3"/>
    <x v="51"/>
    <n v="4.2240000000000002"/>
    <n v="3"/>
    <n v="1.2672000000000001"/>
    <x v="10"/>
  </r>
  <r>
    <x v="1236"/>
    <x v="367"/>
    <d v="2016-11-16T00:00:00"/>
    <x v="1"/>
    <s v="EB-13750"/>
    <s v="Edward Becker"/>
    <s v="Corporate"/>
    <x v="0"/>
    <x v="13"/>
    <x v="7"/>
    <x v="2"/>
    <s v="FUR-CH-10003774"/>
    <x v="0"/>
    <x v="1"/>
    <x v="234"/>
    <n v="245.64599999999999"/>
    <n v="3"/>
    <n v="8.1882000000000001"/>
    <x v="0"/>
  </r>
  <r>
    <x v="1237"/>
    <x v="17"/>
    <d v="2017-11-13T00:00:00"/>
    <x v="1"/>
    <s v="JE-15610"/>
    <s v="Jim Epp"/>
    <s v="Corporate"/>
    <x v="0"/>
    <x v="53"/>
    <x v="2"/>
    <x v="1"/>
    <s v="FUR-CH-10004675"/>
    <x v="0"/>
    <x v="1"/>
    <x v="135"/>
    <n v="523.39200000000005"/>
    <n v="3"/>
    <n v="52.339199999999998"/>
    <x v="0"/>
  </r>
  <r>
    <x v="1238"/>
    <x v="430"/>
    <d v="2017-12-23T00:00:00"/>
    <x v="1"/>
    <s v="AT-10735"/>
    <s v="Annie Thurman"/>
    <s v="Consumer"/>
    <x v="0"/>
    <x v="13"/>
    <x v="7"/>
    <x v="2"/>
    <s v="FUR-FU-10000308"/>
    <x v="0"/>
    <x v="3"/>
    <x v="250"/>
    <n v="124.36"/>
    <n v="2"/>
    <n v="27.359200000000001"/>
    <x v="5"/>
  </r>
  <r>
    <x v="1239"/>
    <x v="511"/>
    <d v="2017-07-23T00:00:00"/>
    <x v="1"/>
    <s v="SV-20365"/>
    <s v="Seth Vernon"/>
    <s v="Consumer"/>
    <x v="0"/>
    <x v="3"/>
    <x v="3"/>
    <x v="2"/>
    <s v="FUR-CH-10002647"/>
    <x v="0"/>
    <x v="1"/>
    <x v="99"/>
    <n v="198.744"/>
    <n v="4"/>
    <n v="-14.196"/>
    <x v="3"/>
  </r>
  <r>
    <x v="1240"/>
    <x v="676"/>
    <d v="2014-04-12T00:00:00"/>
    <x v="1"/>
    <s v="NM-18445"/>
    <s v="Nathan Mautz"/>
    <s v="Home Office"/>
    <x v="0"/>
    <x v="41"/>
    <x v="2"/>
    <x v="1"/>
    <s v="FUR-TA-10003748"/>
    <x v="0"/>
    <x v="2"/>
    <x v="40"/>
    <n v="99.591999999999999"/>
    <n v="1"/>
    <n v="2.4897999999999998"/>
    <x v="6"/>
  </r>
  <r>
    <x v="1241"/>
    <x v="106"/>
    <d v="2016-12-11T00:00:00"/>
    <x v="3"/>
    <s v="WB-21850"/>
    <s v="William Brown"/>
    <s v="Consumer"/>
    <x v="0"/>
    <x v="261"/>
    <x v="2"/>
    <x v="1"/>
    <s v="FUR-CH-10003774"/>
    <x v="0"/>
    <x v="1"/>
    <x v="234"/>
    <n v="363.92"/>
    <n v="5"/>
    <n v="-31.843"/>
    <x v="5"/>
  </r>
  <r>
    <x v="1241"/>
    <x v="106"/>
    <d v="2016-12-11T00:00:00"/>
    <x v="3"/>
    <s v="WB-21850"/>
    <s v="William Brown"/>
    <s v="Consumer"/>
    <x v="0"/>
    <x v="261"/>
    <x v="2"/>
    <x v="1"/>
    <s v="FUR-TA-10004619"/>
    <x v="0"/>
    <x v="2"/>
    <x v="178"/>
    <n v="892.13599999999997"/>
    <n v="7"/>
    <n v="111.517"/>
    <x v="5"/>
  </r>
  <r>
    <x v="1242"/>
    <x v="227"/>
    <d v="2016-09-06T00:00:00"/>
    <x v="1"/>
    <s v="JE-15715"/>
    <s v="Joe Elijah"/>
    <s v="Consumer"/>
    <x v="0"/>
    <x v="127"/>
    <x v="30"/>
    <x v="0"/>
    <s v="FUR-TA-10001768"/>
    <x v="0"/>
    <x v="2"/>
    <x v="25"/>
    <n v="472.51799999999997"/>
    <n v="3"/>
    <n v="-149.63069999999999"/>
    <x v="4"/>
  </r>
  <r>
    <x v="1243"/>
    <x v="744"/>
    <d v="2017-06-21T00:00:00"/>
    <x v="0"/>
    <s v="KH-16330"/>
    <s v="Katharine Harms"/>
    <s v="Corporate"/>
    <x v="0"/>
    <x v="19"/>
    <x v="15"/>
    <x v="2"/>
    <s v="FUR-CH-10000785"/>
    <x v="0"/>
    <x v="1"/>
    <x v="69"/>
    <n v="760.11599999999999"/>
    <n v="6"/>
    <n v="-43.435200000000002"/>
    <x v="2"/>
  </r>
  <r>
    <x v="1243"/>
    <x v="744"/>
    <d v="2017-06-21T00:00:00"/>
    <x v="0"/>
    <s v="KH-16330"/>
    <s v="Katharine Harms"/>
    <s v="Corporate"/>
    <x v="0"/>
    <x v="19"/>
    <x v="15"/>
    <x v="2"/>
    <s v="FUR-FU-10004909"/>
    <x v="0"/>
    <x v="3"/>
    <x v="267"/>
    <n v="38.783999999999999"/>
    <n v="3"/>
    <n v="7.2720000000000002"/>
    <x v="2"/>
  </r>
  <r>
    <x v="1244"/>
    <x v="399"/>
    <d v="2016-05-06T00:00:00"/>
    <x v="2"/>
    <s v="LW-16990"/>
    <s v="Lindsay Williams"/>
    <s v="Corporate"/>
    <x v="0"/>
    <x v="0"/>
    <x v="34"/>
    <x v="1"/>
    <s v="FUR-TA-10003392"/>
    <x v="0"/>
    <x v="2"/>
    <x v="342"/>
    <n v="1685.88"/>
    <n v="6"/>
    <n v="320.31720000000001"/>
    <x v="7"/>
  </r>
  <r>
    <x v="1245"/>
    <x v="451"/>
    <d v="2017-12-08T00:00:00"/>
    <x v="1"/>
    <s v="SO-20335"/>
    <s v="Sean O'Donnell"/>
    <s v="Consumer"/>
    <x v="0"/>
    <x v="15"/>
    <x v="13"/>
    <x v="1"/>
    <s v="FUR-BO-10002598"/>
    <x v="0"/>
    <x v="0"/>
    <x v="310"/>
    <n v="141.96"/>
    <n v="2"/>
    <n v="41.168399999999998"/>
    <x v="5"/>
  </r>
  <r>
    <x v="1246"/>
    <x v="38"/>
    <d v="2015-08-16T00:00:00"/>
    <x v="1"/>
    <s v="MF-18250"/>
    <s v="Monica Federle"/>
    <s v="Corporate"/>
    <x v="0"/>
    <x v="13"/>
    <x v="7"/>
    <x v="2"/>
    <s v="FUR-FU-10000320"/>
    <x v="0"/>
    <x v="3"/>
    <x v="311"/>
    <n v="10.02"/>
    <n v="3"/>
    <n v="4.4088000000000003"/>
    <x v="10"/>
  </r>
  <r>
    <x v="1247"/>
    <x v="566"/>
    <d v="2016-11-20T00:00:00"/>
    <x v="1"/>
    <s v="JM-16195"/>
    <s v="Justin MacKendrick"/>
    <s v="Consumer"/>
    <x v="0"/>
    <x v="19"/>
    <x v="14"/>
    <x v="2"/>
    <s v="FUR-FU-10000550"/>
    <x v="0"/>
    <x v="3"/>
    <x v="295"/>
    <n v="19.920000000000002"/>
    <n v="4"/>
    <n v="6.5735999999999999"/>
    <x v="0"/>
  </r>
  <r>
    <x v="1248"/>
    <x v="83"/>
    <d v="2017-12-01T00:00:00"/>
    <x v="1"/>
    <s v="TT-21460"/>
    <s v="Tonja Turnell"/>
    <s v="Home Office"/>
    <x v="0"/>
    <x v="52"/>
    <x v="6"/>
    <x v="3"/>
    <s v="FUR-TA-10001039"/>
    <x v="0"/>
    <x v="2"/>
    <x v="165"/>
    <n v="257.94"/>
    <n v="3"/>
    <n v="67.064400000000006"/>
    <x v="0"/>
  </r>
  <r>
    <x v="1248"/>
    <x v="83"/>
    <d v="2017-12-01T00:00:00"/>
    <x v="1"/>
    <s v="TT-21460"/>
    <s v="Tonja Turnell"/>
    <s v="Home Office"/>
    <x v="0"/>
    <x v="52"/>
    <x v="6"/>
    <x v="3"/>
    <s v="FUR-FU-10001473"/>
    <x v="0"/>
    <x v="3"/>
    <x v="198"/>
    <n v="27.46"/>
    <n v="2"/>
    <n v="9.8856000000000002"/>
    <x v="0"/>
  </r>
  <r>
    <x v="1248"/>
    <x v="83"/>
    <d v="2017-12-01T00:00:00"/>
    <x v="1"/>
    <s v="TT-21460"/>
    <s v="Tonja Turnell"/>
    <s v="Home Office"/>
    <x v="0"/>
    <x v="52"/>
    <x v="6"/>
    <x v="3"/>
    <s v="FUR-CH-10004287"/>
    <x v="0"/>
    <x v="1"/>
    <x v="32"/>
    <n v="828.6"/>
    <n v="3"/>
    <n v="240.29400000000001"/>
    <x v="0"/>
  </r>
  <r>
    <x v="1249"/>
    <x v="141"/>
    <d v="2015-11-27T00:00:00"/>
    <x v="1"/>
    <s v="SS-20875"/>
    <s v="Sung Shariari"/>
    <s v="Consumer"/>
    <x v="0"/>
    <x v="89"/>
    <x v="1"/>
    <x v="0"/>
    <s v="FUR-BO-10001337"/>
    <x v="0"/>
    <x v="0"/>
    <x v="90"/>
    <n v="290.35199999999998"/>
    <n v="3"/>
    <n v="-36.293999999999997"/>
    <x v="0"/>
  </r>
  <r>
    <x v="1250"/>
    <x v="87"/>
    <d v="2017-09-07T00:00:00"/>
    <x v="3"/>
    <s v="TG-21640"/>
    <s v="Trudy Glocke"/>
    <s v="Consumer"/>
    <x v="0"/>
    <x v="317"/>
    <x v="23"/>
    <x v="3"/>
    <s v="FUR-FU-10003623"/>
    <x v="0"/>
    <x v="3"/>
    <x v="241"/>
    <n v="135.30000000000001"/>
    <n v="5"/>
    <n v="37.884"/>
    <x v="4"/>
  </r>
  <r>
    <x v="1251"/>
    <x v="168"/>
    <d v="2014-11-29T00:00:00"/>
    <x v="1"/>
    <s v="HP-14815"/>
    <s v="Harold Pawlan"/>
    <s v="Home Office"/>
    <x v="0"/>
    <x v="304"/>
    <x v="25"/>
    <x v="0"/>
    <s v="FUR-FU-10002045"/>
    <x v="0"/>
    <x v="3"/>
    <x v="271"/>
    <n v="111.15"/>
    <n v="5"/>
    <n v="48.905999999999999"/>
    <x v="0"/>
  </r>
  <r>
    <x v="1252"/>
    <x v="745"/>
    <d v="2017-03-16T00:00:00"/>
    <x v="1"/>
    <s v="MH-17290"/>
    <s v="Marc Harrigan"/>
    <s v="Home Office"/>
    <x v="0"/>
    <x v="3"/>
    <x v="3"/>
    <x v="2"/>
    <s v="FUR-TA-10004086"/>
    <x v="0"/>
    <x v="2"/>
    <x v="165"/>
    <n v="154.76400000000001"/>
    <n v="3"/>
    <n v="-46.429200000000002"/>
    <x v="9"/>
  </r>
  <r>
    <x v="1253"/>
    <x v="313"/>
    <d v="2017-12-26T00:00:00"/>
    <x v="1"/>
    <s v="SR-20425"/>
    <s v="Sharelle Roach"/>
    <s v="Home Office"/>
    <x v="0"/>
    <x v="318"/>
    <x v="33"/>
    <x v="0"/>
    <s v="FUR-CH-10002647"/>
    <x v="0"/>
    <x v="1"/>
    <x v="99"/>
    <n v="141.96"/>
    <n v="2"/>
    <n v="35.49"/>
    <x v="5"/>
  </r>
  <r>
    <x v="1254"/>
    <x v="313"/>
    <d v="2017-12-25T00:00:00"/>
    <x v="0"/>
    <s v="AG-10330"/>
    <s v="Alex Grayson"/>
    <s v="Consumer"/>
    <x v="0"/>
    <x v="81"/>
    <x v="22"/>
    <x v="1"/>
    <s v="FUR-TA-10003008"/>
    <x v="0"/>
    <x v="2"/>
    <x v="190"/>
    <n v="182.55"/>
    <n v="2"/>
    <n v="-135.08699999999999"/>
    <x v="5"/>
  </r>
  <r>
    <x v="1255"/>
    <x v="344"/>
    <d v="2015-12-27T00:00:00"/>
    <x v="0"/>
    <s v="LH-16900"/>
    <s v="Lena Hernandez"/>
    <s v="Consumer"/>
    <x v="0"/>
    <x v="29"/>
    <x v="24"/>
    <x v="0"/>
    <s v="FUR-FU-10000747"/>
    <x v="0"/>
    <x v="3"/>
    <x v="363"/>
    <n v="275.88"/>
    <n v="6"/>
    <n v="46.8996"/>
    <x v="5"/>
  </r>
  <r>
    <x v="1256"/>
    <x v="746"/>
    <d v="2014-07-24T00:00:00"/>
    <x v="0"/>
    <s v="NP-18325"/>
    <s v="Naresj Patel"/>
    <s v="Consumer"/>
    <x v="0"/>
    <x v="28"/>
    <x v="2"/>
    <x v="1"/>
    <s v="FUR-CH-10000155"/>
    <x v="0"/>
    <x v="1"/>
    <x v="229"/>
    <n v="717.72"/>
    <n v="3"/>
    <n v="71.772000000000006"/>
    <x v="3"/>
  </r>
  <r>
    <x v="1256"/>
    <x v="746"/>
    <d v="2014-07-24T00:00:00"/>
    <x v="0"/>
    <s v="NP-18325"/>
    <s v="Naresj Patel"/>
    <s v="Consumer"/>
    <x v="0"/>
    <x v="28"/>
    <x v="2"/>
    <x v="1"/>
    <s v="FUR-TA-10004767"/>
    <x v="0"/>
    <x v="2"/>
    <x v="227"/>
    <n v="170.352"/>
    <n v="3"/>
    <n v="19.1646"/>
    <x v="3"/>
  </r>
  <r>
    <x v="1257"/>
    <x v="747"/>
    <d v="2017-10-14T00:00:00"/>
    <x v="1"/>
    <s v="GM-14440"/>
    <s v="Gary McGarr"/>
    <s v="Consumer"/>
    <x v="0"/>
    <x v="13"/>
    <x v="7"/>
    <x v="2"/>
    <s v="FUR-CH-10002372"/>
    <x v="0"/>
    <x v="1"/>
    <x v="83"/>
    <n v="145.76400000000001"/>
    <n v="2"/>
    <n v="3.2391999999999999"/>
    <x v="1"/>
  </r>
  <r>
    <x v="1258"/>
    <x v="488"/>
    <d v="2017-04-23T00:00:00"/>
    <x v="2"/>
    <s v="JM-15250"/>
    <s v="Janet Martin"/>
    <s v="Consumer"/>
    <x v="0"/>
    <x v="237"/>
    <x v="32"/>
    <x v="2"/>
    <s v="FUR-CH-10004218"/>
    <x v="0"/>
    <x v="1"/>
    <x v="10"/>
    <n v="908.82"/>
    <n v="9"/>
    <n v="227.20500000000001"/>
    <x v="6"/>
  </r>
  <r>
    <x v="1259"/>
    <x v="301"/>
    <d v="2017-08-24T00:00:00"/>
    <x v="1"/>
    <s v="ED-13885"/>
    <s v="Emily Ducich"/>
    <s v="Home Office"/>
    <x v="0"/>
    <x v="6"/>
    <x v="5"/>
    <x v="3"/>
    <s v="FUR-CH-10002017"/>
    <x v="0"/>
    <x v="1"/>
    <x v="274"/>
    <n v="74.591999999999999"/>
    <n v="4"/>
    <n v="-2.1312000000000002"/>
    <x v="10"/>
  </r>
  <r>
    <x v="1259"/>
    <x v="301"/>
    <d v="2017-08-24T00:00:00"/>
    <x v="1"/>
    <s v="ED-13885"/>
    <s v="Emily Ducich"/>
    <s v="Home Office"/>
    <x v="0"/>
    <x v="6"/>
    <x v="5"/>
    <x v="3"/>
    <s v="FUR-FU-10003247"/>
    <x v="0"/>
    <x v="3"/>
    <x v="298"/>
    <n v="16.783999999999999"/>
    <n v="2"/>
    <n v="-22.238800000000001"/>
    <x v="10"/>
  </r>
  <r>
    <x v="1260"/>
    <x v="689"/>
    <d v="2016-11-15T00:00:00"/>
    <x v="2"/>
    <s v="DW-13480"/>
    <s v="Dianna Wilson"/>
    <s v="Home Office"/>
    <x v="0"/>
    <x v="53"/>
    <x v="2"/>
    <x v="1"/>
    <s v="FUR-TA-10003392"/>
    <x v="0"/>
    <x v="2"/>
    <x v="342"/>
    <n v="674.35199999999998"/>
    <n v="3"/>
    <n v="-8.4293999999999993"/>
    <x v="0"/>
  </r>
  <r>
    <x v="1261"/>
    <x v="282"/>
    <d v="2016-11-17T00:00:00"/>
    <x v="1"/>
    <s v="PO-19180"/>
    <s v="Philisse Overcash"/>
    <s v="Home Office"/>
    <x v="0"/>
    <x v="15"/>
    <x v="13"/>
    <x v="1"/>
    <s v="FUR-FU-10004848"/>
    <x v="0"/>
    <x v="3"/>
    <x v="257"/>
    <n v="19.54"/>
    <n v="2"/>
    <n v="7.2298"/>
    <x v="0"/>
  </r>
  <r>
    <x v="1262"/>
    <x v="673"/>
    <d v="2016-12-03T00:00:00"/>
    <x v="1"/>
    <s v="HF-14995"/>
    <s v="Herbert Flentye"/>
    <s v="Consumer"/>
    <x v="0"/>
    <x v="1"/>
    <x v="1"/>
    <x v="0"/>
    <s v="FUR-TA-10001039"/>
    <x v="0"/>
    <x v="2"/>
    <x v="165"/>
    <n v="331.02300000000002"/>
    <n v="7"/>
    <n v="-114.35339999999999"/>
    <x v="0"/>
  </r>
  <r>
    <x v="1263"/>
    <x v="48"/>
    <d v="2016-10-28T00:00:00"/>
    <x v="3"/>
    <s v="VB-21745"/>
    <s v="Victoria Brennan"/>
    <s v="Corporate"/>
    <x v="0"/>
    <x v="77"/>
    <x v="7"/>
    <x v="2"/>
    <s v="FUR-FU-10003806"/>
    <x v="0"/>
    <x v="3"/>
    <x v="372"/>
    <n v="756.8"/>
    <n v="5"/>
    <n v="75.680000000000007"/>
    <x v="1"/>
  </r>
  <r>
    <x v="1264"/>
    <x v="527"/>
    <d v="2015-01-02T00:00:00"/>
    <x v="1"/>
    <s v="MG-17890"/>
    <s v="Michael Granlund"/>
    <s v="Home Office"/>
    <x v="0"/>
    <x v="317"/>
    <x v="8"/>
    <x v="3"/>
    <s v="FUR-FU-10002111"/>
    <x v="0"/>
    <x v="3"/>
    <x v="344"/>
    <n v="8.7360000000000007"/>
    <n v="3"/>
    <n v="-4.8048000000000002"/>
    <x v="5"/>
  </r>
  <r>
    <x v="1265"/>
    <x v="125"/>
    <d v="2017-10-06T00:00:00"/>
    <x v="1"/>
    <s v="CM-12115"/>
    <s v="Chad McGuire"/>
    <s v="Consumer"/>
    <x v="0"/>
    <x v="28"/>
    <x v="2"/>
    <x v="1"/>
    <s v="FUR-FU-10001424"/>
    <x v="0"/>
    <x v="3"/>
    <x v="144"/>
    <n v="17.46"/>
    <n v="2"/>
    <n v="5.9363999999999999"/>
    <x v="1"/>
  </r>
  <r>
    <x v="1266"/>
    <x v="197"/>
    <d v="2016-07-18T00:00:00"/>
    <x v="1"/>
    <s v="RB-19360"/>
    <s v="Raymond Buch"/>
    <s v="Consumer"/>
    <x v="0"/>
    <x v="28"/>
    <x v="2"/>
    <x v="1"/>
    <s v="FUR-FU-10000073"/>
    <x v="0"/>
    <x v="3"/>
    <x v="93"/>
    <n v="30.8"/>
    <n v="4"/>
    <n v="10.164"/>
    <x v="3"/>
  </r>
  <r>
    <x v="1267"/>
    <x v="177"/>
    <d v="2016-03-12T00:00:00"/>
    <x v="1"/>
    <s v="GB-14575"/>
    <s v="Giulietta Baptist"/>
    <s v="Consumer"/>
    <x v="0"/>
    <x v="13"/>
    <x v="7"/>
    <x v="2"/>
    <s v="FUR-FU-10003347"/>
    <x v="0"/>
    <x v="3"/>
    <x v="80"/>
    <n v="113.6"/>
    <n v="8"/>
    <n v="44.304000000000002"/>
    <x v="9"/>
  </r>
  <r>
    <x v="1268"/>
    <x v="695"/>
    <d v="2016-12-30T00:00:00"/>
    <x v="1"/>
    <s v="SC-20305"/>
    <s v="Sean Christensen"/>
    <s v="Consumer"/>
    <x v="0"/>
    <x v="124"/>
    <x v="2"/>
    <x v="1"/>
    <s v="FUR-FU-10000771"/>
    <x v="0"/>
    <x v="3"/>
    <x v="285"/>
    <n v="43.96"/>
    <n v="7"/>
    <n v="18.463200000000001"/>
    <x v="5"/>
  </r>
  <r>
    <x v="1269"/>
    <x v="748"/>
    <d v="2017-04-25T00:00:00"/>
    <x v="0"/>
    <s v="JF-15355"/>
    <s v="Jay Fein"/>
    <s v="Consumer"/>
    <x v="0"/>
    <x v="102"/>
    <x v="2"/>
    <x v="1"/>
    <s v="FUR-FU-10002445"/>
    <x v="0"/>
    <x v="3"/>
    <x v="292"/>
    <n v="66.36"/>
    <n v="7"/>
    <n v="26.544"/>
    <x v="6"/>
  </r>
  <r>
    <x v="1269"/>
    <x v="748"/>
    <d v="2017-04-25T00:00:00"/>
    <x v="0"/>
    <s v="JF-15355"/>
    <s v="Jay Fein"/>
    <s v="Consumer"/>
    <x v="0"/>
    <x v="102"/>
    <x v="2"/>
    <x v="1"/>
    <s v="FUR-FU-10004864"/>
    <x v="0"/>
    <x v="3"/>
    <x v="356"/>
    <n v="24.14"/>
    <n v="2"/>
    <n v="7.9661999999999997"/>
    <x v="6"/>
  </r>
  <r>
    <x v="1270"/>
    <x v="301"/>
    <d v="2017-08-22T00:00:00"/>
    <x v="0"/>
    <s v="TP-21415"/>
    <s v="Tom Prescott"/>
    <s v="Consumer"/>
    <x v="0"/>
    <x v="3"/>
    <x v="3"/>
    <x v="2"/>
    <s v="FUR-CH-10002024"/>
    <x v="0"/>
    <x v="1"/>
    <x v="101"/>
    <n v="4416.174"/>
    <n v="9"/>
    <n v="-630.88199999999995"/>
    <x v="10"/>
  </r>
  <r>
    <x v="1271"/>
    <x v="749"/>
    <d v="2014-03-08T00:00:00"/>
    <x v="1"/>
    <s v="JS-15595"/>
    <s v="Jill Stevenson"/>
    <s v="Corporate"/>
    <x v="0"/>
    <x v="29"/>
    <x v="15"/>
    <x v="2"/>
    <s v="FUR-BO-10001972"/>
    <x v="0"/>
    <x v="0"/>
    <x v="75"/>
    <n v="302.45"/>
    <n v="5"/>
    <n v="-199.61699999999999"/>
    <x v="9"/>
  </r>
  <r>
    <x v="1272"/>
    <x v="82"/>
    <d v="2016-06-04T00:00:00"/>
    <x v="1"/>
    <s v="EM-14140"/>
    <s v="Eugene Moren"/>
    <s v="Home Office"/>
    <x v="0"/>
    <x v="319"/>
    <x v="16"/>
    <x v="3"/>
    <s v="FUR-FU-10001037"/>
    <x v="0"/>
    <x v="3"/>
    <x v="231"/>
    <n v="47.4"/>
    <n v="5"/>
    <n v="21.33"/>
    <x v="7"/>
  </r>
  <r>
    <x v="1273"/>
    <x v="255"/>
    <d v="2014-11-26T00:00:00"/>
    <x v="0"/>
    <s v="DK-12835"/>
    <s v="Damala Kotsonis"/>
    <s v="Corporate"/>
    <x v="0"/>
    <x v="6"/>
    <x v="5"/>
    <x v="3"/>
    <s v="FUR-CH-10001973"/>
    <x v="0"/>
    <x v="1"/>
    <x v="183"/>
    <n v="155.37200000000001"/>
    <n v="2"/>
    <n v="-35.513599999999997"/>
    <x v="0"/>
  </r>
  <r>
    <x v="1274"/>
    <x v="750"/>
    <d v="2016-01-20T00:00:00"/>
    <x v="1"/>
    <s v="AG-10675"/>
    <s v="Anna Gayman"/>
    <s v="Consumer"/>
    <x v="0"/>
    <x v="41"/>
    <x v="30"/>
    <x v="0"/>
    <s v="FUR-FU-10003374"/>
    <x v="0"/>
    <x v="3"/>
    <x v="373"/>
    <n v="315.77600000000001"/>
    <n v="8"/>
    <n v="31.5776"/>
    <x v="8"/>
  </r>
  <r>
    <x v="1275"/>
    <x v="751"/>
    <d v="2016-09-22T00:00:00"/>
    <x v="1"/>
    <s v="KD-16495"/>
    <s v="Keith Dawkins"/>
    <s v="Corporate"/>
    <x v="0"/>
    <x v="124"/>
    <x v="2"/>
    <x v="1"/>
    <s v="FUR-BO-10001918"/>
    <x v="0"/>
    <x v="0"/>
    <x v="224"/>
    <n v="273.666"/>
    <n v="2"/>
    <n v="-12.878399999999999"/>
    <x v="4"/>
  </r>
  <r>
    <x v="1276"/>
    <x v="18"/>
    <d v="2015-11-17T00:00:00"/>
    <x v="1"/>
    <s v="AW-10930"/>
    <s v="Arthur Wiediger"/>
    <s v="Home Office"/>
    <x v="0"/>
    <x v="320"/>
    <x v="46"/>
    <x v="1"/>
    <s v="FUR-FU-10000794"/>
    <x v="0"/>
    <x v="3"/>
    <x v="138"/>
    <n v="63.98"/>
    <n v="7"/>
    <n v="21.7532"/>
    <x v="0"/>
  </r>
  <r>
    <x v="1277"/>
    <x v="198"/>
    <d v="2017-09-13T00:00:00"/>
    <x v="1"/>
    <s v="LC-17140"/>
    <s v="Logan Currie"/>
    <s v="Consumer"/>
    <x v="0"/>
    <x v="59"/>
    <x v="15"/>
    <x v="2"/>
    <s v="FUR-FU-10000723"/>
    <x v="0"/>
    <x v="3"/>
    <x v="100"/>
    <n v="66.111999999999995"/>
    <n v="2"/>
    <n v="-9.0904000000000007"/>
    <x v="4"/>
  </r>
  <r>
    <x v="1278"/>
    <x v="210"/>
    <d v="2016-06-25T00:00:00"/>
    <x v="1"/>
    <s v="BS-11365"/>
    <s v="Bill Shonely"/>
    <s v="Corporate"/>
    <x v="0"/>
    <x v="258"/>
    <x v="37"/>
    <x v="3"/>
    <s v="FUR-FU-10004270"/>
    <x v="0"/>
    <x v="3"/>
    <x v="276"/>
    <n v="57.69"/>
    <n v="3"/>
    <n v="23.652899999999999"/>
    <x v="2"/>
  </r>
  <r>
    <x v="1279"/>
    <x v="752"/>
    <d v="2016-01-29T00:00:00"/>
    <x v="1"/>
    <s v="CB-12415"/>
    <s v="Christy Brittain"/>
    <s v="Consumer"/>
    <x v="0"/>
    <x v="2"/>
    <x v="2"/>
    <x v="1"/>
    <s v="FUR-FU-10000719"/>
    <x v="0"/>
    <x v="3"/>
    <x v="347"/>
    <n v="59.99"/>
    <n v="7"/>
    <n v="21.596399999999999"/>
    <x v="8"/>
  </r>
  <r>
    <x v="1280"/>
    <x v="753"/>
    <d v="2015-05-31T00:00:00"/>
    <x v="1"/>
    <s v="RD-19900"/>
    <s v="Ruben Dartt"/>
    <s v="Consumer"/>
    <x v="0"/>
    <x v="321"/>
    <x v="13"/>
    <x v="1"/>
    <s v="FUR-FU-10003849"/>
    <x v="0"/>
    <x v="3"/>
    <x v="108"/>
    <n v="20.239999999999998"/>
    <n v="1"/>
    <n v="7.8936000000000002"/>
    <x v="7"/>
  </r>
  <r>
    <x v="1281"/>
    <x v="356"/>
    <d v="2014-11-21T00:00:00"/>
    <x v="2"/>
    <s v="JK-15730"/>
    <s v="Joe Kamberova"/>
    <s v="Consumer"/>
    <x v="0"/>
    <x v="322"/>
    <x v="8"/>
    <x v="3"/>
    <s v="FUR-TA-10002533"/>
    <x v="0"/>
    <x v="2"/>
    <x v="58"/>
    <n v="292.10000000000002"/>
    <n v="4"/>
    <n v="-175.26"/>
    <x v="0"/>
  </r>
  <r>
    <x v="1281"/>
    <x v="356"/>
    <d v="2014-11-21T00:00:00"/>
    <x v="2"/>
    <s v="JK-15730"/>
    <s v="Joe Kamberova"/>
    <s v="Consumer"/>
    <x v="0"/>
    <x v="322"/>
    <x v="8"/>
    <x v="3"/>
    <s v="FUR-FU-10001546"/>
    <x v="0"/>
    <x v="3"/>
    <x v="284"/>
    <n v="8.5440000000000005"/>
    <n v="2"/>
    <n v="-7.476"/>
    <x v="0"/>
  </r>
  <r>
    <x v="1281"/>
    <x v="356"/>
    <d v="2014-11-21T00:00:00"/>
    <x v="2"/>
    <s v="JK-15730"/>
    <s v="Joe Kamberova"/>
    <s v="Consumer"/>
    <x v="0"/>
    <x v="322"/>
    <x v="8"/>
    <x v="3"/>
    <s v="FUR-BO-10003546"/>
    <x v="0"/>
    <x v="0"/>
    <x v="341"/>
    <n v="424.11599999999999"/>
    <n v="6"/>
    <n v="-30.294"/>
    <x v="0"/>
  </r>
  <r>
    <x v="1282"/>
    <x v="362"/>
    <d v="2017-09-08T00:00:00"/>
    <x v="1"/>
    <s v="DO-13645"/>
    <s v="Doug O'Connell"/>
    <s v="Consumer"/>
    <x v="0"/>
    <x v="98"/>
    <x v="1"/>
    <x v="0"/>
    <s v="FUR-CH-10003817"/>
    <x v="0"/>
    <x v="1"/>
    <x v="33"/>
    <n v="97.183999999999997"/>
    <n v="2"/>
    <n v="6.0739999999999998"/>
    <x v="4"/>
  </r>
  <r>
    <x v="1283"/>
    <x v="754"/>
    <d v="2014-04-02T00:00:00"/>
    <x v="1"/>
    <s v="MG-18145"/>
    <s v="Mike Gockenbach"/>
    <s v="Consumer"/>
    <x v="0"/>
    <x v="215"/>
    <x v="5"/>
    <x v="3"/>
    <s v="FUR-TA-10001889"/>
    <x v="0"/>
    <x v="2"/>
    <x v="87"/>
    <n v="890.84100000000001"/>
    <n v="3"/>
    <n v="-152.71559999999999"/>
    <x v="9"/>
  </r>
  <r>
    <x v="1284"/>
    <x v="541"/>
    <d v="2016-11-07T00:00:00"/>
    <x v="0"/>
    <s v="LH-17155"/>
    <s v="Logan Haushalter"/>
    <s v="Consumer"/>
    <x v="0"/>
    <x v="124"/>
    <x v="2"/>
    <x v="1"/>
    <s v="FUR-CH-10004875"/>
    <x v="0"/>
    <x v="1"/>
    <x v="290"/>
    <n v="113.88800000000001"/>
    <n v="2"/>
    <n v="9.9651999999999994"/>
    <x v="0"/>
  </r>
  <r>
    <x v="1285"/>
    <x v="755"/>
    <d v="2016-10-20T00:00:00"/>
    <x v="1"/>
    <s v="NB-18655"/>
    <s v="Nona Balk"/>
    <s v="Corporate"/>
    <x v="0"/>
    <x v="13"/>
    <x v="7"/>
    <x v="2"/>
    <s v="FUR-TA-10001539"/>
    <x v="0"/>
    <x v="2"/>
    <x v="4"/>
    <n v="142.18199999999999"/>
    <n v="1"/>
    <n v="-37.915199999999999"/>
    <x v="1"/>
  </r>
  <r>
    <x v="1286"/>
    <x v="83"/>
    <d v="2017-11-29T00:00:00"/>
    <x v="0"/>
    <s v="MN-17935"/>
    <s v="Michael Nguyen"/>
    <s v="Consumer"/>
    <x v="0"/>
    <x v="13"/>
    <x v="7"/>
    <x v="2"/>
    <s v="FUR-FU-10003623"/>
    <x v="0"/>
    <x v="3"/>
    <x v="241"/>
    <n v="135.30000000000001"/>
    <n v="5"/>
    <n v="37.884"/>
    <x v="0"/>
  </r>
  <r>
    <x v="1287"/>
    <x v="446"/>
    <d v="2017-12-08T00:00:00"/>
    <x v="2"/>
    <s v="CS-11950"/>
    <s v="Carlos Soltero"/>
    <s v="Consumer"/>
    <x v="0"/>
    <x v="13"/>
    <x v="7"/>
    <x v="2"/>
    <s v="FUR-FU-10001934"/>
    <x v="0"/>
    <x v="3"/>
    <x v="24"/>
    <n v="41.96"/>
    <n v="2"/>
    <n v="10.909599999999999"/>
    <x v="5"/>
  </r>
  <r>
    <x v="1288"/>
    <x v="385"/>
    <d v="2014-03-24T00:00:00"/>
    <x v="1"/>
    <s v="SC-20050"/>
    <s v="Sample Company A"/>
    <s v="Home Office"/>
    <x v="0"/>
    <x v="323"/>
    <x v="2"/>
    <x v="1"/>
    <s v="FUR-FU-10004597"/>
    <x v="0"/>
    <x v="3"/>
    <x v="249"/>
    <n v="111"/>
    <n v="2"/>
    <n v="14.43"/>
    <x v="9"/>
  </r>
  <r>
    <x v="1289"/>
    <x v="689"/>
    <d v="2016-11-13T00:00:00"/>
    <x v="2"/>
    <s v="SP-20650"/>
    <s v="Stephanie Phelps"/>
    <s v="Corporate"/>
    <x v="0"/>
    <x v="9"/>
    <x v="8"/>
    <x v="3"/>
    <s v="FUR-FU-10001037"/>
    <x v="0"/>
    <x v="3"/>
    <x v="231"/>
    <n v="22.751999999999999"/>
    <n v="6"/>
    <n v="-8.532"/>
    <x v="0"/>
  </r>
  <r>
    <x v="1290"/>
    <x v="756"/>
    <d v="2015-04-17T00:00:00"/>
    <x v="1"/>
    <s v="PR-18880"/>
    <s v="Patrick Ryan"/>
    <s v="Consumer"/>
    <x v="0"/>
    <x v="26"/>
    <x v="1"/>
    <x v="0"/>
    <s v="FUR-FU-10001290"/>
    <x v="0"/>
    <x v="3"/>
    <x v="95"/>
    <n v="67.36"/>
    <n v="2"/>
    <n v="10.103999999999999"/>
    <x v="6"/>
  </r>
  <r>
    <x v="1290"/>
    <x v="756"/>
    <d v="2015-04-17T00:00:00"/>
    <x v="1"/>
    <s v="PR-18880"/>
    <s v="Patrick Ryan"/>
    <s v="Consumer"/>
    <x v="0"/>
    <x v="26"/>
    <x v="1"/>
    <x v="0"/>
    <s v="FUR-FU-10000087"/>
    <x v="0"/>
    <x v="3"/>
    <x v="39"/>
    <n v="54.527999999999999"/>
    <n v="3"/>
    <n v="14.313599999999999"/>
    <x v="6"/>
  </r>
  <r>
    <x v="1291"/>
    <x v="344"/>
    <d v="2015-12-30T00:00:00"/>
    <x v="1"/>
    <s v="JK-15625"/>
    <s v="Jim Karlsson"/>
    <s v="Consumer"/>
    <x v="0"/>
    <x v="13"/>
    <x v="7"/>
    <x v="2"/>
    <s v="FUR-BO-10002613"/>
    <x v="0"/>
    <x v="0"/>
    <x v="35"/>
    <n v="449.56799999999998"/>
    <n v="2"/>
    <n v="56.195999999999998"/>
    <x v="5"/>
  </r>
  <r>
    <x v="1292"/>
    <x v="191"/>
    <d v="2014-12-23T00:00:00"/>
    <x v="0"/>
    <s v="SM-20950"/>
    <s v="Suzanne McNair"/>
    <s v="Corporate"/>
    <x v="0"/>
    <x v="13"/>
    <x v="7"/>
    <x v="2"/>
    <s v="FUR-CH-10004875"/>
    <x v="0"/>
    <x v="1"/>
    <x v="290"/>
    <n v="192.18600000000001"/>
    <n v="3"/>
    <n v="36.3018"/>
    <x v="5"/>
  </r>
  <r>
    <x v="1293"/>
    <x v="503"/>
    <d v="2014-08-01T00:00:00"/>
    <x v="1"/>
    <s v="SG-20470"/>
    <s v="Sheri Gordon"/>
    <s v="Consumer"/>
    <x v="0"/>
    <x v="182"/>
    <x v="24"/>
    <x v="0"/>
    <s v="FUR-CH-10000553"/>
    <x v="0"/>
    <x v="1"/>
    <x v="247"/>
    <n v="67.88"/>
    <n v="2"/>
    <n v="18.3276"/>
    <x v="3"/>
  </r>
  <r>
    <x v="1293"/>
    <x v="503"/>
    <d v="2014-08-01T00:00:00"/>
    <x v="1"/>
    <s v="SG-20470"/>
    <s v="Sheri Gordon"/>
    <s v="Consumer"/>
    <x v="0"/>
    <x v="182"/>
    <x v="24"/>
    <x v="0"/>
    <s v="FUR-FU-10000719"/>
    <x v="0"/>
    <x v="3"/>
    <x v="347"/>
    <n v="25.71"/>
    <n v="3"/>
    <n v="9.2555999999999994"/>
    <x v="3"/>
  </r>
  <r>
    <x v="1294"/>
    <x v="246"/>
    <d v="2017-12-17T00:00:00"/>
    <x v="1"/>
    <s v="DV-13045"/>
    <s v="Darrin Van Huff"/>
    <s v="Corporate"/>
    <x v="0"/>
    <x v="51"/>
    <x v="1"/>
    <x v="0"/>
    <s v="FUR-TA-10004289"/>
    <x v="0"/>
    <x v="2"/>
    <x v="36"/>
    <n v="721.875"/>
    <n v="6"/>
    <n v="-420"/>
    <x v="5"/>
  </r>
  <r>
    <x v="1294"/>
    <x v="246"/>
    <d v="2017-12-17T00:00:00"/>
    <x v="1"/>
    <s v="DV-13045"/>
    <s v="Darrin Van Huff"/>
    <s v="Corporate"/>
    <x v="0"/>
    <x v="51"/>
    <x v="1"/>
    <x v="0"/>
    <s v="FUR-CH-10000225"/>
    <x v="0"/>
    <x v="1"/>
    <x v="85"/>
    <n v="64.784000000000006"/>
    <n v="1"/>
    <n v="-12.147"/>
    <x v="5"/>
  </r>
  <r>
    <x v="1295"/>
    <x v="714"/>
    <d v="2016-10-14T00:00:00"/>
    <x v="1"/>
    <s v="MZ-17335"/>
    <s v="Maria Zettner"/>
    <s v="Home Office"/>
    <x v="0"/>
    <x v="43"/>
    <x v="22"/>
    <x v="1"/>
    <s v="FUR-FU-10001488"/>
    <x v="0"/>
    <x v="3"/>
    <x v="204"/>
    <n v="169.56800000000001"/>
    <n v="2"/>
    <n v="0"/>
    <x v="1"/>
  </r>
  <r>
    <x v="1296"/>
    <x v="757"/>
    <d v="2015-01-03T00:00:00"/>
    <x v="0"/>
    <s v="AR-10345"/>
    <s v="Alex Russell"/>
    <s v="Corporate"/>
    <x v="0"/>
    <x v="3"/>
    <x v="3"/>
    <x v="2"/>
    <s v="FUR-TA-10004575"/>
    <x v="0"/>
    <x v="2"/>
    <x v="67"/>
    <n v="523.76400000000001"/>
    <n v="3"/>
    <n v="-192.04679999999999"/>
    <x v="5"/>
  </r>
  <r>
    <x v="1297"/>
    <x v="188"/>
    <d v="2016-04-14T00:00:00"/>
    <x v="2"/>
    <s v="JF-15295"/>
    <s v="Jason Fortune-"/>
    <s v="Consumer"/>
    <x v="0"/>
    <x v="2"/>
    <x v="2"/>
    <x v="1"/>
    <s v="FUR-CH-10000225"/>
    <x v="0"/>
    <x v="1"/>
    <x v="85"/>
    <n v="194.352"/>
    <n v="3"/>
    <n v="-36.441000000000003"/>
    <x v="6"/>
  </r>
  <r>
    <x v="1298"/>
    <x v="597"/>
    <d v="2016-12-04T00:00:00"/>
    <x v="1"/>
    <s v="DS-13180"/>
    <s v="David Smith"/>
    <s v="Corporate"/>
    <x v="0"/>
    <x v="3"/>
    <x v="3"/>
    <x v="2"/>
    <s v="FUR-CH-10002647"/>
    <x v="0"/>
    <x v="1"/>
    <x v="99"/>
    <n v="347.80200000000002"/>
    <n v="7"/>
    <n v="-24.843"/>
    <x v="0"/>
  </r>
  <r>
    <x v="1299"/>
    <x v="758"/>
    <d v="2016-09-18T00:00:00"/>
    <x v="1"/>
    <s v="AG-10270"/>
    <s v="Alejandro Grove"/>
    <s v="Consumer"/>
    <x v="0"/>
    <x v="70"/>
    <x v="27"/>
    <x v="3"/>
    <s v="FUR-FU-10003664"/>
    <x v="0"/>
    <x v="3"/>
    <x v="8"/>
    <n v="1336.44"/>
    <n v="14"/>
    <n v="387.56760000000003"/>
    <x v="4"/>
  </r>
  <r>
    <x v="1300"/>
    <x v="759"/>
    <d v="2017-12-03T00:00:00"/>
    <x v="1"/>
    <s v="TT-21070"/>
    <s v="Ted Trevino"/>
    <s v="Consumer"/>
    <x v="0"/>
    <x v="196"/>
    <x v="9"/>
    <x v="0"/>
    <s v="FUR-CH-10000454"/>
    <x v="0"/>
    <x v="1"/>
    <x v="1"/>
    <n v="390.36799999999999"/>
    <n v="2"/>
    <n v="48.795999999999999"/>
    <x v="0"/>
  </r>
  <r>
    <x v="1300"/>
    <x v="759"/>
    <d v="2017-12-03T00:00:00"/>
    <x v="1"/>
    <s v="TT-21070"/>
    <s v="Ted Trevino"/>
    <s v="Consumer"/>
    <x v="0"/>
    <x v="196"/>
    <x v="9"/>
    <x v="0"/>
    <s v="FUR-FU-10004017"/>
    <x v="0"/>
    <x v="3"/>
    <x v="323"/>
    <n v="101.52"/>
    <n v="5"/>
    <n v="19.035"/>
    <x v="0"/>
  </r>
  <r>
    <x v="1301"/>
    <x v="683"/>
    <d v="2016-12-30T00:00:00"/>
    <x v="1"/>
    <s v="DB-12970"/>
    <s v="Darren Budd"/>
    <s v="Corporate"/>
    <x v="0"/>
    <x v="13"/>
    <x v="7"/>
    <x v="2"/>
    <s v="FUR-TA-10002958"/>
    <x v="0"/>
    <x v="2"/>
    <x v="192"/>
    <n v="313.17599999999999"/>
    <n v="2"/>
    <n v="-120.0508"/>
    <x v="5"/>
  </r>
  <r>
    <x v="1301"/>
    <x v="683"/>
    <d v="2016-12-30T00:00:00"/>
    <x v="1"/>
    <s v="DB-12970"/>
    <s v="Darren Budd"/>
    <s v="Corporate"/>
    <x v="0"/>
    <x v="13"/>
    <x v="7"/>
    <x v="2"/>
    <s v="FUR-CH-10003746"/>
    <x v="0"/>
    <x v="1"/>
    <x v="131"/>
    <n v="866.64599999999996"/>
    <n v="3"/>
    <n v="173.32919999999999"/>
    <x v="5"/>
  </r>
  <r>
    <x v="1302"/>
    <x v="63"/>
    <d v="2016-09-13T00:00:00"/>
    <x v="1"/>
    <s v="TR-21325"/>
    <s v="Toby Ritter"/>
    <s v="Consumer"/>
    <x v="0"/>
    <x v="15"/>
    <x v="13"/>
    <x v="1"/>
    <s v="FUR-FU-10003039"/>
    <x v="0"/>
    <x v="3"/>
    <x v="102"/>
    <n v="43.13"/>
    <n v="1"/>
    <n v="14.664199999999999"/>
    <x v="4"/>
  </r>
  <r>
    <x v="1303"/>
    <x v="760"/>
    <d v="2015-05-19T00:00:00"/>
    <x v="1"/>
    <s v="CB-12535"/>
    <s v="Claudia Bergmann"/>
    <s v="Corporate"/>
    <x v="0"/>
    <x v="324"/>
    <x v="2"/>
    <x v="1"/>
    <s v="FUR-BO-10004015"/>
    <x v="0"/>
    <x v="0"/>
    <x v="118"/>
    <n v="509.95749999999998"/>
    <n v="5"/>
    <n v="41.996499999999997"/>
    <x v="7"/>
  </r>
  <r>
    <x v="1303"/>
    <x v="760"/>
    <d v="2015-05-19T00:00:00"/>
    <x v="1"/>
    <s v="CB-12535"/>
    <s v="Claudia Bergmann"/>
    <s v="Corporate"/>
    <x v="0"/>
    <x v="324"/>
    <x v="2"/>
    <x v="1"/>
    <s v="FUR-FU-10001979"/>
    <x v="0"/>
    <x v="3"/>
    <x v="107"/>
    <n v="122.91"/>
    <n v="3"/>
    <n v="34.4148"/>
    <x v="7"/>
  </r>
  <r>
    <x v="1303"/>
    <x v="760"/>
    <d v="2015-05-19T00:00:00"/>
    <x v="1"/>
    <s v="CB-12535"/>
    <s v="Claudia Bergmann"/>
    <s v="Corporate"/>
    <x v="0"/>
    <x v="324"/>
    <x v="2"/>
    <x v="1"/>
    <s v="FUR-CH-10003833"/>
    <x v="0"/>
    <x v="1"/>
    <x v="237"/>
    <n v="97.567999999999998"/>
    <n v="2"/>
    <n v="-6.0979999999999999"/>
    <x v="7"/>
  </r>
  <r>
    <x v="1303"/>
    <x v="760"/>
    <d v="2015-05-19T00:00:00"/>
    <x v="1"/>
    <s v="CB-12535"/>
    <s v="Claudia Bergmann"/>
    <s v="Corporate"/>
    <x v="0"/>
    <x v="324"/>
    <x v="2"/>
    <x v="1"/>
    <s v="FUR-CH-10004495"/>
    <x v="0"/>
    <x v="1"/>
    <x v="304"/>
    <n v="722.35199999999998"/>
    <n v="3"/>
    <n v="81.264600000000002"/>
    <x v="7"/>
  </r>
  <r>
    <x v="1304"/>
    <x v="82"/>
    <d v="2016-06-06T00:00:00"/>
    <x v="1"/>
    <s v="JG-15310"/>
    <s v="Jason Gross"/>
    <s v="Corporate"/>
    <x v="0"/>
    <x v="2"/>
    <x v="2"/>
    <x v="1"/>
    <s v="FUR-FU-10003247"/>
    <x v="0"/>
    <x v="3"/>
    <x v="298"/>
    <n v="167.84"/>
    <n v="8"/>
    <n v="11.748799999999999"/>
    <x v="7"/>
  </r>
  <r>
    <x v="1305"/>
    <x v="676"/>
    <d v="2014-04-12T00:00:00"/>
    <x v="1"/>
    <s v="JS-15880"/>
    <s v="John Stevenson"/>
    <s v="Consumer"/>
    <x v="0"/>
    <x v="219"/>
    <x v="15"/>
    <x v="2"/>
    <s v="FUR-TA-10004442"/>
    <x v="0"/>
    <x v="2"/>
    <x v="343"/>
    <n v="172.11"/>
    <n v="1"/>
    <n v="-94.660499999999999"/>
    <x v="6"/>
  </r>
  <r>
    <x v="1306"/>
    <x v="703"/>
    <d v="2017-06-03T00:00:00"/>
    <x v="1"/>
    <s v="MG-17890"/>
    <s v="Michael Granlund"/>
    <s v="Home Office"/>
    <x v="0"/>
    <x v="325"/>
    <x v="36"/>
    <x v="1"/>
    <s v="FUR-FU-10000820"/>
    <x v="0"/>
    <x v="3"/>
    <x v="367"/>
    <n v="13.592000000000001"/>
    <n v="1"/>
    <n v="-0.33979999999999999"/>
    <x v="7"/>
  </r>
  <r>
    <x v="1307"/>
    <x v="345"/>
    <d v="2016-03-15T00:00:00"/>
    <x v="0"/>
    <s v="SC-20770"/>
    <s v="Stewart Carmichael"/>
    <s v="Corporate"/>
    <x v="0"/>
    <x v="3"/>
    <x v="3"/>
    <x v="2"/>
    <s v="FUR-CH-10004287"/>
    <x v="0"/>
    <x v="1"/>
    <x v="32"/>
    <n v="386.68"/>
    <n v="2"/>
    <n v="-5.524"/>
    <x v="9"/>
  </r>
  <r>
    <x v="1308"/>
    <x v="662"/>
    <d v="2017-04-14T00:00:00"/>
    <x v="1"/>
    <s v="BS-11755"/>
    <s v="Bruce Stewart"/>
    <s v="Consumer"/>
    <x v="0"/>
    <x v="3"/>
    <x v="3"/>
    <x v="2"/>
    <s v="FUR-FU-10003878"/>
    <x v="0"/>
    <x v="3"/>
    <x v="142"/>
    <n v="36.671999999999997"/>
    <n v="3"/>
    <n v="6.4176000000000002"/>
    <x v="6"/>
  </r>
  <r>
    <x v="1309"/>
    <x v="324"/>
    <d v="2016-06-27T00:00:00"/>
    <x v="0"/>
    <s v="LC-17140"/>
    <s v="Logan Currie"/>
    <s v="Consumer"/>
    <x v="0"/>
    <x v="6"/>
    <x v="5"/>
    <x v="3"/>
    <s v="FUR-CH-10001146"/>
    <x v="0"/>
    <x v="1"/>
    <x v="15"/>
    <n v="85.245999999999995"/>
    <n v="2"/>
    <n v="-6.0890000000000004"/>
    <x v="2"/>
  </r>
  <r>
    <x v="1309"/>
    <x v="324"/>
    <d v="2016-06-27T00:00:00"/>
    <x v="0"/>
    <s v="LC-17140"/>
    <s v="Logan Currie"/>
    <s v="Consumer"/>
    <x v="0"/>
    <x v="6"/>
    <x v="5"/>
    <x v="3"/>
    <s v="FUR-FU-10003919"/>
    <x v="0"/>
    <x v="3"/>
    <x v="313"/>
    <n v="32.712000000000003"/>
    <n v="2"/>
    <n v="-26.169599999999999"/>
    <x v="2"/>
  </r>
  <r>
    <x v="1310"/>
    <x v="257"/>
    <d v="2015-03-27T00:00:00"/>
    <x v="0"/>
    <s v="CP-12085"/>
    <s v="Cathy Prescott"/>
    <s v="Corporate"/>
    <x v="0"/>
    <x v="326"/>
    <x v="13"/>
    <x v="1"/>
    <s v="FUR-FU-10003832"/>
    <x v="0"/>
    <x v="3"/>
    <x v="282"/>
    <n v="46.9"/>
    <n v="5"/>
    <n v="13.132"/>
    <x v="9"/>
  </r>
  <r>
    <x v="1311"/>
    <x v="113"/>
    <d v="2017-09-06T00:00:00"/>
    <x v="1"/>
    <s v="JL-15235"/>
    <s v="Janet Lee"/>
    <s v="Consumer"/>
    <x v="0"/>
    <x v="2"/>
    <x v="2"/>
    <x v="1"/>
    <s v="FUR-TA-10004607"/>
    <x v="0"/>
    <x v="2"/>
    <x v="212"/>
    <n v="236.52799999999999"/>
    <n v="2"/>
    <n v="-2.9565999999999999"/>
    <x v="4"/>
  </r>
  <r>
    <x v="1312"/>
    <x v="761"/>
    <d v="2017-02-07T00:00:00"/>
    <x v="0"/>
    <s v="RD-19810"/>
    <s v="Ross DeVincentis"/>
    <s v="Home Office"/>
    <x v="0"/>
    <x v="9"/>
    <x v="8"/>
    <x v="3"/>
    <s v="FUR-FU-10004597"/>
    <x v="0"/>
    <x v="3"/>
    <x v="249"/>
    <n v="22.2"/>
    <n v="1"/>
    <n v="-26.085000000000001"/>
    <x v="11"/>
  </r>
  <r>
    <x v="1313"/>
    <x v="762"/>
    <d v="2017-11-14T00:00:00"/>
    <x v="2"/>
    <s v="MH-18025"/>
    <s v="Michelle Huthwaite"/>
    <s v="Consumer"/>
    <x v="0"/>
    <x v="270"/>
    <x v="9"/>
    <x v="0"/>
    <s v="FUR-FU-10004090"/>
    <x v="0"/>
    <x v="3"/>
    <x v="137"/>
    <n v="88.92"/>
    <n v="5"/>
    <n v="14.4495"/>
    <x v="0"/>
  </r>
  <r>
    <x v="1314"/>
    <x v="342"/>
    <d v="2017-09-22T00:00:00"/>
    <x v="0"/>
    <s v="SJ-20125"/>
    <s v="Sanjit Jacobs"/>
    <s v="Home Office"/>
    <x v="0"/>
    <x v="6"/>
    <x v="5"/>
    <x v="3"/>
    <s v="FUR-CH-10003774"/>
    <x v="0"/>
    <x v="1"/>
    <x v="234"/>
    <n v="318.43"/>
    <n v="5"/>
    <n v="-77.332999999999998"/>
    <x v="4"/>
  </r>
  <r>
    <x v="1315"/>
    <x v="763"/>
    <d v="2015-04-18T00:00:00"/>
    <x v="2"/>
    <s v="LL-16840"/>
    <s v="Lauren Leatherbury"/>
    <s v="Consumer"/>
    <x v="0"/>
    <x v="61"/>
    <x v="25"/>
    <x v="0"/>
    <s v="FUR-FU-10001468"/>
    <x v="0"/>
    <x v="3"/>
    <x v="253"/>
    <n v="1196.8599999999999"/>
    <n v="7"/>
    <n v="119.68600000000001"/>
    <x v="6"/>
  </r>
  <r>
    <x v="1315"/>
    <x v="763"/>
    <d v="2015-04-18T00:00:00"/>
    <x v="2"/>
    <s v="LL-16840"/>
    <s v="Lauren Leatherbury"/>
    <s v="Consumer"/>
    <x v="0"/>
    <x v="61"/>
    <x v="25"/>
    <x v="0"/>
    <s v="FUR-BO-10001519"/>
    <x v="0"/>
    <x v="0"/>
    <x v="141"/>
    <n v="523.26"/>
    <n v="9"/>
    <n v="125.58240000000001"/>
    <x v="6"/>
  </r>
  <r>
    <x v="1316"/>
    <x v="762"/>
    <d v="2017-11-15T00:00:00"/>
    <x v="0"/>
    <s v="TB-21190"/>
    <s v="Thomas Brumley"/>
    <s v="Home Office"/>
    <x v="0"/>
    <x v="2"/>
    <x v="2"/>
    <x v="1"/>
    <s v="FUR-FU-10001424"/>
    <x v="0"/>
    <x v="3"/>
    <x v="144"/>
    <n v="34.92"/>
    <n v="4"/>
    <n v="11.8728"/>
    <x v="0"/>
  </r>
  <r>
    <x v="1317"/>
    <x v="712"/>
    <d v="2014-09-20T00:00:00"/>
    <x v="1"/>
    <s v="AA-10315"/>
    <s v="Alex Avila"/>
    <s v="Consumer"/>
    <x v="0"/>
    <x v="13"/>
    <x v="7"/>
    <x v="2"/>
    <s v="FUR-FU-10002456"/>
    <x v="0"/>
    <x v="3"/>
    <x v="202"/>
    <n v="14.56"/>
    <n v="2"/>
    <n v="6.2607999999999997"/>
    <x v="4"/>
  </r>
  <r>
    <x v="1318"/>
    <x v="764"/>
    <d v="2014-01-10T00:00:00"/>
    <x v="1"/>
    <s v="ME-17320"/>
    <s v="Maria Etezadi"/>
    <s v="Home Office"/>
    <x v="0"/>
    <x v="0"/>
    <x v="0"/>
    <x v="0"/>
    <s v="FUR-CH-10004063"/>
    <x v="0"/>
    <x v="1"/>
    <x v="27"/>
    <n v="2573.8200000000002"/>
    <n v="9"/>
    <n v="746.40779999999995"/>
    <x v="8"/>
  </r>
  <r>
    <x v="1319"/>
    <x v="256"/>
    <d v="2014-12-17T00:00:00"/>
    <x v="0"/>
    <s v="EB-13705"/>
    <s v="Ed Braxton"/>
    <s v="Corporate"/>
    <x v="0"/>
    <x v="3"/>
    <x v="3"/>
    <x v="2"/>
    <s v="FUR-CH-10003774"/>
    <x v="0"/>
    <x v="1"/>
    <x v="234"/>
    <n v="445.80200000000002"/>
    <n v="7"/>
    <n v="-108.2662"/>
    <x v="5"/>
  </r>
  <r>
    <x v="1320"/>
    <x v="765"/>
    <d v="2015-12-24T00:00:00"/>
    <x v="0"/>
    <s v="PM-19135"/>
    <s v="Peter McVee"/>
    <s v="Home Office"/>
    <x v="0"/>
    <x v="63"/>
    <x v="28"/>
    <x v="2"/>
    <s v="FUR-TA-10003473"/>
    <x v="0"/>
    <x v="2"/>
    <x v="44"/>
    <n v="1053.164"/>
    <n v="4"/>
    <n v="-105.3164"/>
    <x v="5"/>
  </r>
  <r>
    <x v="1321"/>
    <x v="468"/>
    <d v="2015-09-16T00:00:00"/>
    <x v="1"/>
    <s v="FA-14230"/>
    <s v="Frank Atkinson"/>
    <s v="Corporate"/>
    <x v="0"/>
    <x v="2"/>
    <x v="2"/>
    <x v="1"/>
    <s v="FUR-FU-10003799"/>
    <x v="0"/>
    <x v="3"/>
    <x v="21"/>
    <n v="106.68"/>
    <n v="6"/>
    <n v="33.070799999999998"/>
    <x v="4"/>
  </r>
  <r>
    <x v="1322"/>
    <x v="91"/>
    <d v="2017-09-16T00:00:00"/>
    <x v="1"/>
    <s v="CC-12475"/>
    <s v="Cindy Chapman"/>
    <s v="Consumer"/>
    <x v="0"/>
    <x v="6"/>
    <x v="5"/>
    <x v="3"/>
    <s v="FUR-TA-10002855"/>
    <x v="0"/>
    <x v="2"/>
    <x v="235"/>
    <n v="512.19000000000005"/>
    <n v="5"/>
    <n v="-65.852999999999994"/>
    <x v="4"/>
  </r>
  <r>
    <x v="1323"/>
    <x v="766"/>
    <d v="2017-07-18T00:00:00"/>
    <x v="1"/>
    <s v="TC-21295"/>
    <s v="Toby Carlisle"/>
    <s v="Consumer"/>
    <x v="0"/>
    <x v="327"/>
    <x v="2"/>
    <x v="1"/>
    <s v="FUR-FU-10003601"/>
    <x v="0"/>
    <x v="3"/>
    <x v="148"/>
    <n v="276.69"/>
    <n v="3"/>
    <n v="49.804200000000002"/>
    <x v="3"/>
  </r>
  <r>
    <x v="1323"/>
    <x v="766"/>
    <d v="2017-07-18T00:00:00"/>
    <x v="1"/>
    <s v="TC-21295"/>
    <s v="Toby Carlisle"/>
    <s v="Consumer"/>
    <x v="0"/>
    <x v="327"/>
    <x v="2"/>
    <x v="1"/>
    <s v="FUR-FU-10002960"/>
    <x v="0"/>
    <x v="3"/>
    <x v="37"/>
    <n v="18.84"/>
    <n v="3"/>
    <n v="7.9127999999999998"/>
    <x v="3"/>
  </r>
  <r>
    <x v="1324"/>
    <x v="766"/>
    <d v="2017-07-18T00:00:00"/>
    <x v="1"/>
    <s v="JL-15835"/>
    <s v="John Lee"/>
    <s v="Consumer"/>
    <x v="0"/>
    <x v="29"/>
    <x v="15"/>
    <x v="2"/>
    <s v="FUR-FU-10002937"/>
    <x v="0"/>
    <x v="3"/>
    <x v="205"/>
    <n v="396.92"/>
    <n v="5"/>
    <n v="148.845"/>
    <x v="3"/>
  </r>
  <r>
    <x v="1325"/>
    <x v="26"/>
    <d v="2016-09-11T00:00:00"/>
    <x v="1"/>
    <s v="MD-17350"/>
    <s v="Maribeth Dona"/>
    <s v="Consumer"/>
    <x v="0"/>
    <x v="68"/>
    <x v="15"/>
    <x v="2"/>
    <s v="FUR-CH-10004477"/>
    <x v="0"/>
    <x v="1"/>
    <x v="42"/>
    <n v="85.245999999999995"/>
    <n v="2"/>
    <n v="-1.2178"/>
    <x v="4"/>
  </r>
  <r>
    <x v="1326"/>
    <x v="767"/>
    <d v="2014-09-16T00:00:00"/>
    <x v="1"/>
    <s v="CL-12565"/>
    <s v="Clay Ludtke"/>
    <s v="Consumer"/>
    <x v="0"/>
    <x v="195"/>
    <x v="36"/>
    <x v="1"/>
    <s v="FUR-CH-10003973"/>
    <x v="0"/>
    <x v="1"/>
    <x v="171"/>
    <n v="1487.04"/>
    <n v="5"/>
    <n v="148.70400000000001"/>
    <x v="4"/>
  </r>
  <r>
    <x v="1327"/>
    <x v="572"/>
    <d v="2017-09-26T00:00:00"/>
    <x v="3"/>
    <s v="RA-19885"/>
    <s v="Ruben Ausman"/>
    <s v="Corporate"/>
    <x v="0"/>
    <x v="28"/>
    <x v="2"/>
    <x v="1"/>
    <s v="FUR-FU-10003829"/>
    <x v="0"/>
    <x v="3"/>
    <x v="275"/>
    <n v="9.24"/>
    <n v="3"/>
    <n v="2.9567999999999999"/>
    <x v="4"/>
  </r>
  <r>
    <x v="1328"/>
    <x v="9"/>
    <d v="2016-06-19T00:00:00"/>
    <x v="2"/>
    <s v="LC-16885"/>
    <s v="Lena Creighton"/>
    <s v="Consumer"/>
    <x v="0"/>
    <x v="328"/>
    <x v="12"/>
    <x v="1"/>
    <s v="FUR-FU-10002298"/>
    <x v="0"/>
    <x v="3"/>
    <x v="256"/>
    <n v="266.35199999999998"/>
    <n v="3"/>
    <n v="-13.317600000000001"/>
    <x v="2"/>
  </r>
  <r>
    <x v="1328"/>
    <x v="9"/>
    <d v="2016-06-19T00:00:00"/>
    <x v="2"/>
    <s v="LC-16885"/>
    <s v="Lena Creighton"/>
    <s v="Consumer"/>
    <x v="0"/>
    <x v="328"/>
    <x v="12"/>
    <x v="1"/>
    <s v="FUR-CH-10004853"/>
    <x v="0"/>
    <x v="1"/>
    <x v="110"/>
    <n v="483.13600000000002"/>
    <n v="4"/>
    <n v="54.352800000000002"/>
    <x v="2"/>
  </r>
  <r>
    <x v="1329"/>
    <x v="768"/>
    <d v="2017-03-01T00:00:00"/>
    <x v="1"/>
    <s v="SW-20245"/>
    <s v="Scot Wooten"/>
    <s v="Consumer"/>
    <x v="0"/>
    <x v="329"/>
    <x v="30"/>
    <x v="0"/>
    <s v="FUR-CH-10002880"/>
    <x v="0"/>
    <x v="1"/>
    <x v="162"/>
    <n v="196.78399999999999"/>
    <n v="2"/>
    <n v="-22.138200000000001"/>
    <x v="11"/>
  </r>
  <r>
    <x v="1329"/>
    <x v="768"/>
    <d v="2017-03-01T00:00:00"/>
    <x v="1"/>
    <s v="SW-20245"/>
    <s v="Scot Wooten"/>
    <s v="Consumer"/>
    <x v="0"/>
    <x v="329"/>
    <x v="30"/>
    <x v="0"/>
    <s v="FUR-BO-10004709"/>
    <x v="0"/>
    <x v="0"/>
    <x v="53"/>
    <n v="231.92"/>
    <n v="5"/>
    <n v="5.798"/>
    <x v="11"/>
  </r>
  <r>
    <x v="1330"/>
    <x v="587"/>
    <d v="2017-12-08T00:00:00"/>
    <x v="1"/>
    <s v="MV-17485"/>
    <s v="Mark Van Huff"/>
    <s v="Consumer"/>
    <x v="0"/>
    <x v="6"/>
    <x v="5"/>
    <x v="3"/>
    <s v="FUR-FU-10000820"/>
    <x v="0"/>
    <x v="3"/>
    <x v="367"/>
    <n v="13.592000000000001"/>
    <n v="2"/>
    <n v="-14.271599999999999"/>
    <x v="5"/>
  </r>
  <r>
    <x v="1331"/>
    <x v="308"/>
    <d v="2017-12-06T00:00:00"/>
    <x v="1"/>
    <s v="BS-11380"/>
    <s v="Bill Stewart"/>
    <s v="Corporate"/>
    <x v="0"/>
    <x v="22"/>
    <x v="12"/>
    <x v="1"/>
    <s v="FUR-BO-10003546"/>
    <x v="0"/>
    <x v="0"/>
    <x v="341"/>
    <n v="242.352"/>
    <n v="8"/>
    <n v="-363.52800000000002"/>
    <x v="5"/>
  </r>
  <r>
    <x v="1331"/>
    <x v="308"/>
    <d v="2017-12-06T00:00:00"/>
    <x v="1"/>
    <s v="BS-11380"/>
    <s v="Bill Stewart"/>
    <s v="Corporate"/>
    <x v="0"/>
    <x v="22"/>
    <x v="12"/>
    <x v="1"/>
    <s v="FUR-FU-10001488"/>
    <x v="0"/>
    <x v="3"/>
    <x v="204"/>
    <n v="508.70400000000001"/>
    <n v="6"/>
    <n v="0"/>
    <x v="5"/>
  </r>
  <r>
    <x v="1331"/>
    <x v="308"/>
    <d v="2017-12-06T00:00:00"/>
    <x v="1"/>
    <s v="BS-11380"/>
    <s v="Bill Stewart"/>
    <s v="Corporate"/>
    <x v="0"/>
    <x v="22"/>
    <x v="12"/>
    <x v="1"/>
    <s v="FUR-CH-10002335"/>
    <x v="0"/>
    <x v="1"/>
    <x v="133"/>
    <n v="906.68"/>
    <n v="5"/>
    <n v="68.001000000000005"/>
    <x v="5"/>
  </r>
  <r>
    <x v="1332"/>
    <x v="26"/>
    <d v="2016-09-07T00:00:00"/>
    <x v="2"/>
    <s v="EM-13825"/>
    <s v="Elizabeth Moffitt"/>
    <s v="Corporate"/>
    <x v="0"/>
    <x v="6"/>
    <x v="5"/>
    <x v="3"/>
    <s v="FUR-FU-10004671"/>
    <x v="0"/>
    <x v="3"/>
    <x v="272"/>
    <n v="21.204000000000001"/>
    <n v="3"/>
    <n v="-11.6622"/>
    <x v="4"/>
  </r>
  <r>
    <x v="1333"/>
    <x v="769"/>
    <d v="2014-05-14T00:00:00"/>
    <x v="0"/>
    <s v="AF-10885"/>
    <s v="Art Foster"/>
    <s v="Consumer"/>
    <x v="0"/>
    <x v="3"/>
    <x v="3"/>
    <x v="2"/>
    <s v="FUR-BO-10004467"/>
    <x v="0"/>
    <x v="0"/>
    <x v="179"/>
    <n v="349.96499999999997"/>
    <n v="7"/>
    <n v="-216.97829999999999"/>
    <x v="7"/>
  </r>
  <r>
    <x v="1334"/>
    <x v="770"/>
    <d v="2014-11-05T00:00:00"/>
    <x v="1"/>
    <s v="DL-12925"/>
    <s v="Daniel Lacy"/>
    <s v="Consumer"/>
    <x v="0"/>
    <x v="62"/>
    <x v="7"/>
    <x v="2"/>
    <s v="FUR-FU-10003142"/>
    <x v="0"/>
    <x v="3"/>
    <x v="238"/>
    <n v="31.68"/>
    <n v="6"/>
    <n v="9.8208000000000002"/>
    <x v="0"/>
  </r>
  <r>
    <x v="1335"/>
    <x v="771"/>
    <d v="2017-01-01T00:00:00"/>
    <x v="2"/>
    <s v="BD-11605"/>
    <s v="Brian Dahlen"/>
    <s v="Consumer"/>
    <x v="0"/>
    <x v="68"/>
    <x v="3"/>
    <x v="2"/>
    <s v="FUR-CH-10000454"/>
    <x v="0"/>
    <x v="1"/>
    <x v="1"/>
    <n v="170.786"/>
    <n v="1"/>
    <n v="0"/>
    <x v="5"/>
  </r>
  <r>
    <x v="1336"/>
    <x v="222"/>
    <d v="2016-09-07T00:00:00"/>
    <x v="1"/>
    <s v="RB-19570"/>
    <s v="Rob Beeghly"/>
    <s v="Consumer"/>
    <x v="0"/>
    <x v="9"/>
    <x v="8"/>
    <x v="3"/>
    <s v="FUR-BO-10003894"/>
    <x v="0"/>
    <x v="0"/>
    <x v="336"/>
    <n v="198.744"/>
    <n v="4"/>
    <n v="0"/>
    <x v="4"/>
  </r>
  <r>
    <x v="1337"/>
    <x v="772"/>
    <d v="2016-02-01T00:00:00"/>
    <x v="0"/>
    <s v="TB-21250"/>
    <s v="Tim Brockman"/>
    <s v="Consumer"/>
    <x v="0"/>
    <x v="15"/>
    <x v="13"/>
    <x v="1"/>
    <s v="FUR-CH-10001190"/>
    <x v="0"/>
    <x v="1"/>
    <x v="264"/>
    <n v="435.16800000000001"/>
    <n v="4"/>
    <n v="-59.835599999999999"/>
    <x v="8"/>
  </r>
  <r>
    <x v="1337"/>
    <x v="772"/>
    <d v="2016-02-01T00:00:00"/>
    <x v="0"/>
    <s v="TB-21250"/>
    <s v="Tim Brockman"/>
    <s v="Consumer"/>
    <x v="0"/>
    <x v="15"/>
    <x v="13"/>
    <x v="1"/>
    <s v="FUR-BO-10000468"/>
    <x v="0"/>
    <x v="0"/>
    <x v="233"/>
    <n v="48.58"/>
    <n v="1"/>
    <n v="7.7728000000000002"/>
    <x v="8"/>
  </r>
  <r>
    <x v="1338"/>
    <x v="299"/>
    <d v="2014-10-26T00:00:00"/>
    <x v="1"/>
    <s v="FH-14275"/>
    <s v="Frank Hawley"/>
    <s v="Corporate"/>
    <x v="0"/>
    <x v="330"/>
    <x v="25"/>
    <x v="0"/>
    <s v="FUR-TA-10004607"/>
    <x v="0"/>
    <x v="2"/>
    <x v="212"/>
    <n v="591.32000000000005"/>
    <n v="4"/>
    <n v="112.35080000000001"/>
    <x v="1"/>
  </r>
  <r>
    <x v="1339"/>
    <x v="105"/>
    <d v="2016-12-21T00:00:00"/>
    <x v="2"/>
    <s v="PN-18775"/>
    <s v="Parhena Norris"/>
    <s v="Home Office"/>
    <x v="0"/>
    <x v="70"/>
    <x v="27"/>
    <x v="3"/>
    <s v="FUR-CH-10004997"/>
    <x v="0"/>
    <x v="1"/>
    <x v="105"/>
    <n v="563.94000000000005"/>
    <n v="3"/>
    <n v="112.788"/>
    <x v="5"/>
  </r>
  <r>
    <x v="1340"/>
    <x v="763"/>
    <d v="2015-04-21T00:00:00"/>
    <x v="1"/>
    <s v="DM-13345"/>
    <s v="Denise Monton"/>
    <s v="Corporate"/>
    <x v="0"/>
    <x v="13"/>
    <x v="7"/>
    <x v="2"/>
    <s v="FUR-CH-10003968"/>
    <x v="0"/>
    <x v="1"/>
    <x v="13"/>
    <n v="127.764"/>
    <n v="2"/>
    <n v="2.8391999999999999"/>
    <x v="6"/>
  </r>
  <r>
    <x v="1341"/>
    <x v="716"/>
    <d v="2017-11-22T00:00:00"/>
    <x v="1"/>
    <s v="MB-18085"/>
    <s v="Mick Brown"/>
    <s v="Consumer"/>
    <x v="0"/>
    <x v="18"/>
    <x v="2"/>
    <x v="1"/>
    <s v="FUR-FU-10001196"/>
    <x v="0"/>
    <x v="3"/>
    <x v="217"/>
    <n v="17.309999999999999"/>
    <n v="3"/>
    <n v="5.1929999999999996"/>
    <x v="0"/>
  </r>
  <r>
    <x v="1342"/>
    <x v="26"/>
    <d v="2016-09-09T00:00:00"/>
    <x v="1"/>
    <s v="DB-13210"/>
    <s v="Dean Braden"/>
    <s v="Consumer"/>
    <x v="0"/>
    <x v="3"/>
    <x v="3"/>
    <x v="2"/>
    <s v="FUR-FU-10000260"/>
    <x v="0"/>
    <x v="3"/>
    <x v="18"/>
    <n v="58.247999999999998"/>
    <n v="9"/>
    <n v="11.6496"/>
    <x v="4"/>
  </r>
  <r>
    <x v="1342"/>
    <x v="26"/>
    <d v="2016-09-09T00:00:00"/>
    <x v="1"/>
    <s v="DB-13210"/>
    <s v="Dean Braden"/>
    <s v="Consumer"/>
    <x v="0"/>
    <x v="3"/>
    <x v="3"/>
    <x v="2"/>
    <s v="FUR-CH-10001146"/>
    <x v="0"/>
    <x v="1"/>
    <x v="29"/>
    <n v="71.245999999999995"/>
    <n v="2"/>
    <n v="-19.338200000000001"/>
    <x v="4"/>
  </r>
  <r>
    <x v="1342"/>
    <x v="26"/>
    <d v="2016-09-09T00:00:00"/>
    <x v="1"/>
    <s v="DB-13210"/>
    <s v="Dean Braden"/>
    <s v="Consumer"/>
    <x v="0"/>
    <x v="3"/>
    <x v="3"/>
    <x v="2"/>
    <s v="FUR-CH-10000309"/>
    <x v="0"/>
    <x v="1"/>
    <x v="155"/>
    <n v="887.27099999999996"/>
    <n v="3"/>
    <n v="-63.3765"/>
    <x v="4"/>
  </r>
  <r>
    <x v="1343"/>
    <x v="614"/>
    <d v="2016-05-31T00:00:00"/>
    <x v="1"/>
    <s v="BS-11665"/>
    <s v="Brian Stugart"/>
    <s v="Consumer"/>
    <x v="0"/>
    <x v="9"/>
    <x v="8"/>
    <x v="3"/>
    <s v="FUR-FU-10003247"/>
    <x v="0"/>
    <x v="3"/>
    <x v="298"/>
    <n v="25.175999999999998"/>
    <n v="3"/>
    <n v="-33.358199999999997"/>
    <x v="7"/>
  </r>
  <r>
    <x v="1343"/>
    <x v="614"/>
    <d v="2016-05-31T00:00:00"/>
    <x v="1"/>
    <s v="BS-11665"/>
    <s v="Brian Stugart"/>
    <s v="Consumer"/>
    <x v="0"/>
    <x v="9"/>
    <x v="8"/>
    <x v="3"/>
    <s v="FUR-FU-10002191"/>
    <x v="0"/>
    <x v="3"/>
    <x v="154"/>
    <n v="5.5839999999999996"/>
    <n v="2"/>
    <n v="-1.6752"/>
    <x v="7"/>
  </r>
  <r>
    <x v="1344"/>
    <x v="108"/>
    <d v="2015-08-28T00:00:00"/>
    <x v="0"/>
    <s v="SC-20380"/>
    <s v="Shahid Collister"/>
    <s v="Consumer"/>
    <x v="0"/>
    <x v="13"/>
    <x v="7"/>
    <x v="2"/>
    <s v="FUR-FU-10000010"/>
    <x v="0"/>
    <x v="3"/>
    <x v="109"/>
    <n v="14.91"/>
    <n v="3"/>
    <n v="4.6220999999999997"/>
    <x v="10"/>
  </r>
  <r>
    <x v="1345"/>
    <x v="526"/>
    <d v="2017-10-29T00:00:00"/>
    <x v="2"/>
    <s v="JM-15655"/>
    <s v="Jim Mitchum"/>
    <s v="Corporate"/>
    <x v="0"/>
    <x v="2"/>
    <x v="2"/>
    <x v="1"/>
    <s v="FUR-TA-10001539"/>
    <x v="0"/>
    <x v="2"/>
    <x v="4"/>
    <n v="189.57599999999999"/>
    <n v="1"/>
    <n v="9.4787999999999997"/>
    <x v="1"/>
  </r>
  <r>
    <x v="1346"/>
    <x v="306"/>
    <d v="2014-11-29T00:00:00"/>
    <x v="1"/>
    <s v="RB-19435"/>
    <s v="Richard Bierner"/>
    <s v="Consumer"/>
    <x v="0"/>
    <x v="2"/>
    <x v="2"/>
    <x v="1"/>
    <s v="FUR-CH-10002335"/>
    <x v="0"/>
    <x v="1"/>
    <x v="133"/>
    <n v="725.34400000000005"/>
    <n v="4"/>
    <n v="54.400799999999997"/>
    <x v="0"/>
  </r>
  <r>
    <x v="1347"/>
    <x v="773"/>
    <d v="2015-05-27T00:00:00"/>
    <x v="0"/>
    <s v="NM-18445"/>
    <s v="Nathan Mautz"/>
    <s v="Home Office"/>
    <x v="0"/>
    <x v="25"/>
    <x v="17"/>
    <x v="3"/>
    <s v="FUR-FU-10003724"/>
    <x v="0"/>
    <x v="3"/>
    <x v="181"/>
    <n v="75.33"/>
    <n v="9"/>
    <n v="19.585799999999999"/>
    <x v="7"/>
  </r>
  <r>
    <x v="1348"/>
    <x v="693"/>
    <d v="2014-04-01T00:00:00"/>
    <x v="2"/>
    <s v="MP-17470"/>
    <s v="Mark Packer"/>
    <s v="Home Office"/>
    <x v="0"/>
    <x v="193"/>
    <x v="5"/>
    <x v="3"/>
    <s v="FUR-CH-10002304"/>
    <x v="0"/>
    <x v="1"/>
    <x v="158"/>
    <n v="127.30200000000001"/>
    <n v="7"/>
    <n v="-9.093"/>
    <x v="9"/>
  </r>
  <r>
    <x v="1349"/>
    <x v="297"/>
    <d v="2018-01-01T00:00:00"/>
    <x v="0"/>
    <s v="KH-16360"/>
    <s v="Katherine Hughes"/>
    <s v="Consumer"/>
    <x v="0"/>
    <x v="74"/>
    <x v="0"/>
    <x v="0"/>
    <s v="FUR-CH-10002602"/>
    <x v="0"/>
    <x v="1"/>
    <x v="64"/>
    <n v="1207.8399999999999"/>
    <n v="8"/>
    <n v="314.03840000000002"/>
    <x v="5"/>
  </r>
  <r>
    <x v="1349"/>
    <x v="297"/>
    <d v="2018-01-01T00:00:00"/>
    <x v="0"/>
    <s v="KH-16360"/>
    <s v="Katherine Hughes"/>
    <s v="Consumer"/>
    <x v="0"/>
    <x v="74"/>
    <x v="0"/>
    <x v="0"/>
    <s v="FUR-CH-10004495"/>
    <x v="0"/>
    <x v="1"/>
    <x v="304"/>
    <n v="300.98"/>
    <n v="1"/>
    <n v="87.284199999999998"/>
    <x v="5"/>
  </r>
  <r>
    <x v="1349"/>
    <x v="297"/>
    <d v="2018-01-01T00:00:00"/>
    <x v="0"/>
    <s v="KH-16360"/>
    <s v="Katherine Hughes"/>
    <s v="Consumer"/>
    <x v="0"/>
    <x v="74"/>
    <x v="0"/>
    <x v="0"/>
    <s v="FUR-CH-10001270"/>
    <x v="0"/>
    <x v="1"/>
    <x v="170"/>
    <n v="258.75"/>
    <n v="3"/>
    <n v="77.625"/>
    <x v="5"/>
  </r>
  <r>
    <x v="1350"/>
    <x v="774"/>
    <d v="2017-03-08T00:00:00"/>
    <x v="1"/>
    <s v="DB-13555"/>
    <s v="Dorothy Badders"/>
    <s v="Corporate"/>
    <x v="0"/>
    <x v="19"/>
    <x v="14"/>
    <x v="2"/>
    <s v="FUR-BO-10003660"/>
    <x v="0"/>
    <x v="0"/>
    <x v="301"/>
    <n v="441.96"/>
    <n v="2"/>
    <n v="101.6508"/>
    <x v="9"/>
  </r>
  <r>
    <x v="1351"/>
    <x v="509"/>
    <d v="2015-04-11T00:00:00"/>
    <x v="1"/>
    <s v="CA-11965"/>
    <s v="Carol Adams"/>
    <s v="Corporate"/>
    <x v="0"/>
    <x v="2"/>
    <x v="2"/>
    <x v="1"/>
    <s v="FUR-CH-10003973"/>
    <x v="0"/>
    <x v="1"/>
    <x v="171"/>
    <n v="892.22400000000005"/>
    <n v="3"/>
    <n v="89.222399999999993"/>
    <x v="6"/>
  </r>
  <r>
    <x v="1352"/>
    <x v="775"/>
    <d v="2016-03-16T00:00:00"/>
    <x v="2"/>
    <s v="FC-14335"/>
    <s v="Fred Chung"/>
    <s v="Corporate"/>
    <x v="0"/>
    <x v="28"/>
    <x v="2"/>
    <x v="1"/>
    <s v="FUR-CH-10000309"/>
    <x v="0"/>
    <x v="1"/>
    <x v="155"/>
    <n v="1352.0319999999999"/>
    <n v="4"/>
    <n v="84.501999999999995"/>
    <x v="9"/>
  </r>
  <r>
    <x v="1353"/>
    <x v="7"/>
    <d v="2015-12-31T00:00:00"/>
    <x v="1"/>
    <s v="DB-13120"/>
    <s v="David Bremer"/>
    <s v="Corporate"/>
    <x v="0"/>
    <x v="149"/>
    <x v="15"/>
    <x v="2"/>
    <s v="FUR-TA-10004154"/>
    <x v="0"/>
    <x v="2"/>
    <x v="149"/>
    <n v="1548.99"/>
    <n v="9"/>
    <n v="-464.697"/>
    <x v="5"/>
  </r>
  <r>
    <x v="1354"/>
    <x v="737"/>
    <d v="2015-12-02T00:00:00"/>
    <x v="0"/>
    <s v="JM-15865"/>
    <s v="John Murray"/>
    <s v="Consumer"/>
    <x v="0"/>
    <x v="205"/>
    <x v="34"/>
    <x v="1"/>
    <s v="FUR-FU-10002813"/>
    <x v="0"/>
    <x v="3"/>
    <x v="350"/>
    <n v="80.959999999999994"/>
    <n v="4"/>
    <n v="29.145600000000002"/>
    <x v="0"/>
  </r>
  <r>
    <x v="1355"/>
    <x v="776"/>
    <d v="2014-04-15T00:00:00"/>
    <x v="3"/>
    <s v="PS-18970"/>
    <s v="Paul Stevenson"/>
    <s v="Home Office"/>
    <x v="0"/>
    <x v="2"/>
    <x v="2"/>
    <x v="1"/>
    <s v="FUR-FU-10004091"/>
    <x v="0"/>
    <x v="3"/>
    <x v="54"/>
    <n v="187.76"/>
    <n v="4"/>
    <n v="76.9816"/>
    <x v="6"/>
  </r>
  <r>
    <x v="1356"/>
    <x v="777"/>
    <d v="2014-01-12T00:00:00"/>
    <x v="1"/>
    <s v="VS-21820"/>
    <s v="Vivek Sundaresam"/>
    <s v="Consumer"/>
    <x v="0"/>
    <x v="156"/>
    <x v="5"/>
    <x v="3"/>
    <s v="FUR-FU-10004864"/>
    <x v="0"/>
    <x v="3"/>
    <x v="92"/>
    <n v="76.727999999999994"/>
    <n v="3"/>
    <n v="-53.709600000000002"/>
    <x v="8"/>
  </r>
  <r>
    <x v="1357"/>
    <x v="27"/>
    <d v="2014-10-26T00:00:00"/>
    <x v="1"/>
    <s v="NB-18580"/>
    <s v="Nicole Brennan"/>
    <s v="Corporate"/>
    <x v="0"/>
    <x v="331"/>
    <x v="35"/>
    <x v="0"/>
    <s v="FUR-FU-10000193"/>
    <x v="0"/>
    <x v="3"/>
    <x v="306"/>
    <n v="129.91999999999999"/>
    <n v="4"/>
    <n v="10.393599999999999"/>
    <x v="1"/>
  </r>
  <r>
    <x v="1358"/>
    <x v="61"/>
    <d v="2015-11-29T00:00:00"/>
    <x v="0"/>
    <s v="MA-17560"/>
    <s v="Matt Abelman"/>
    <s v="Home Office"/>
    <x v="0"/>
    <x v="114"/>
    <x v="20"/>
    <x v="2"/>
    <s v="FUR-BO-10002916"/>
    <x v="0"/>
    <x v="0"/>
    <x v="307"/>
    <n v="170.98"/>
    <n v="1"/>
    <n v="32.486199999999997"/>
    <x v="0"/>
  </r>
  <r>
    <x v="1358"/>
    <x v="61"/>
    <d v="2015-11-29T00:00:00"/>
    <x v="0"/>
    <s v="MA-17560"/>
    <s v="Matt Abelman"/>
    <s v="Home Office"/>
    <x v="0"/>
    <x v="114"/>
    <x v="20"/>
    <x v="2"/>
    <s v="FUR-FU-10002506"/>
    <x v="0"/>
    <x v="3"/>
    <x v="374"/>
    <n v="38.97"/>
    <n v="3"/>
    <n v="4.6764000000000001"/>
    <x v="0"/>
  </r>
  <r>
    <x v="1358"/>
    <x v="61"/>
    <d v="2015-11-29T00:00:00"/>
    <x v="0"/>
    <s v="MA-17560"/>
    <s v="Matt Abelman"/>
    <s v="Home Office"/>
    <x v="0"/>
    <x v="114"/>
    <x v="20"/>
    <x v="2"/>
    <s v="FUR-TA-10004619"/>
    <x v="0"/>
    <x v="2"/>
    <x v="178"/>
    <n v="446.06799999999998"/>
    <n v="4"/>
    <n v="0"/>
    <x v="0"/>
  </r>
  <r>
    <x v="1359"/>
    <x v="252"/>
    <d v="2015-01-07T00:00:00"/>
    <x v="1"/>
    <s v="KM-16375"/>
    <s v="Katherine Murray"/>
    <s v="Home Office"/>
    <x v="0"/>
    <x v="134"/>
    <x v="38"/>
    <x v="2"/>
    <s v="FUR-BO-10000362"/>
    <x v="0"/>
    <x v="0"/>
    <x v="203"/>
    <n v="341.96"/>
    <n v="2"/>
    <n v="78.650800000000004"/>
    <x v="5"/>
  </r>
  <r>
    <x v="1359"/>
    <x v="252"/>
    <d v="2015-01-07T00:00:00"/>
    <x v="1"/>
    <s v="KM-16375"/>
    <s v="Katherine Murray"/>
    <s v="Home Office"/>
    <x v="0"/>
    <x v="134"/>
    <x v="38"/>
    <x v="2"/>
    <s v="FUR-CH-10004218"/>
    <x v="0"/>
    <x v="1"/>
    <x v="10"/>
    <n v="605.88"/>
    <n v="6"/>
    <n v="151.47"/>
    <x v="5"/>
  </r>
  <r>
    <x v="1360"/>
    <x v="778"/>
    <d v="2016-11-29T00:00:00"/>
    <x v="1"/>
    <s v="BB-11545"/>
    <s v="Brenda Bowman"/>
    <s v="Corporate"/>
    <x v="0"/>
    <x v="38"/>
    <x v="17"/>
    <x v="3"/>
    <s v="FUR-TA-10001095"/>
    <x v="0"/>
    <x v="2"/>
    <x v="129"/>
    <n v="1568.61"/>
    <n v="9"/>
    <n v="329.40809999999999"/>
    <x v="0"/>
  </r>
  <r>
    <x v="1361"/>
    <x v="316"/>
    <d v="2017-07-17T00:00:00"/>
    <x v="2"/>
    <s v="RS-19420"/>
    <s v="Ricardo Sperren"/>
    <s v="Corporate"/>
    <x v="0"/>
    <x v="122"/>
    <x v="25"/>
    <x v="0"/>
    <s v="FUR-TA-10004575"/>
    <x v="0"/>
    <x v="2"/>
    <x v="67"/>
    <n v="872.94"/>
    <n v="3"/>
    <n v="157.1292"/>
    <x v="3"/>
  </r>
  <r>
    <x v="1362"/>
    <x v="779"/>
    <d v="2016-03-22T00:00:00"/>
    <x v="3"/>
    <s v="MC-17275"/>
    <s v="Marc Crier"/>
    <s v="Consumer"/>
    <x v="0"/>
    <x v="15"/>
    <x v="13"/>
    <x v="1"/>
    <s v="FUR-CH-10004754"/>
    <x v="0"/>
    <x v="1"/>
    <x v="219"/>
    <n v="167.88800000000001"/>
    <n v="7"/>
    <n v="14.690200000000001"/>
    <x v="9"/>
  </r>
  <r>
    <x v="1363"/>
    <x v="417"/>
    <d v="2017-12-18T00:00:00"/>
    <x v="1"/>
    <s v="BF-11170"/>
    <s v="Ben Ferrer"/>
    <s v="Home Office"/>
    <x v="0"/>
    <x v="37"/>
    <x v="20"/>
    <x v="2"/>
    <s v="FUR-TA-10003473"/>
    <x v="0"/>
    <x v="2"/>
    <x v="44"/>
    <n v="526.58199999999999"/>
    <n v="2"/>
    <n v="-52.658200000000001"/>
    <x v="5"/>
  </r>
  <r>
    <x v="1364"/>
    <x v="238"/>
    <d v="2016-09-02T00:00:00"/>
    <x v="1"/>
    <s v="AA-10480"/>
    <s v="Andrew Allen"/>
    <s v="Consumer"/>
    <x v="0"/>
    <x v="25"/>
    <x v="17"/>
    <x v="3"/>
    <s v="FUR-TA-10004147"/>
    <x v="0"/>
    <x v="2"/>
    <x v="163"/>
    <n v="447.84"/>
    <n v="4"/>
    <n v="98.524799999999999"/>
    <x v="10"/>
  </r>
  <r>
    <x v="1365"/>
    <x v="780"/>
    <d v="2017-10-30T00:00:00"/>
    <x v="0"/>
    <s v="JM-15250"/>
    <s v="Janet Martin"/>
    <s v="Consumer"/>
    <x v="0"/>
    <x v="160"/>
    <x v="30"/>
    <x v="0"/>
    <s v="FUR-FU-10001876"/>
    <x v="0"/>
    <x v="3"/>
    <x v="279"/>
    <n v="77.951999999999998"/>
    <n v="3"/>
    <n v="15.590400000000001"/>
    <x v="1"/>
  </r>
  <r>
    <x v="1366"/>
    <x v="468"/>
    <d v="2015-09-14T00:00:00"/>
    <x v="1"/>
    <s v="AR-10345"/>
    <s v="Alex Russell"/>
    <s v="Corporate"/>
    <x v="0"/>
    <x v="198"/>
    <x v="5"/>
    <x v="3"/>
    <s v="FUR-CH-10003981"/>
    <x v="0"/>
    <x v="1"/>
    <x v="232"/>
    <n v="179.886"/>
    <n v="1"/>
    <n v="-2.5697999999999999"/>
    <x v="4"/>
  </r>
  <r>
    <x v="1367"/>
    <x v="234"/>
    <d v="2017-06-19T00:00:00"/>
    <x v="1"/>
    <s v="TW-21025"/>
    <s v="Tamara Willingham"/>
    <s v="Home Office"/>
    <x v="0"/>
    <x v="15"/>
    <x v="13"/>
    <x v="1"/>
    <s v="FUR-CH-10003774"/>
    <x v="0"/>
    <x v="1"/>
    <x v="234"/>
    <n v="291.13600000000002"/>
    <n v="4"/>
    <n v="-25.474399999999999"/>
    <x v="2"/>
  </r>
  <r>
    <x v="1368"/>
    <x v="311"/>
    <d v="2015-06-24T00:00:00"/>
    <x v="1"/>
    <s v="KH-16510"/>
    <s v="Keith Herrera"/>
    <s v="Consumer"/>
    <x v="0"/>
    <x v="58"/>
    <x v="25"/>
    <x v="0"/>
    <s v="FUR-FU-10003464"/>
    <x v="0"/>
    <x v="3"/>
    <x v="302"/>
    <n v="60.84"/>
    <n v="3"/>
    <n v="19.468800000000002"/>
    <x v="2"/>
  </r>
  <r>
    <x v="1369"/>
    <x v="737"/>
    <d v="2015-12-03T00:00:00"/>
    <x v="2"/>
    <s v="AB-10600"/>
    <s v="Ann Blume"/>
    <s v="Corporate"/>
    <x v="0"/>
    <x v="51"/>
    <x v="30"/>
    <x v="0"/>
    <s v="FUR-FU-10001546"/>
    <x v="0"/>
    <x v="3"/>
    <x v="284"/>
    <n v="17.088000000000001"/>
    <n v="2"/>
    <n v="1.0680000000000001"/>
    <x v="0"/>
  </r>
  <r>
    <x v="1370"/>
    <x v="596"/>
    <d v="2017-11-16T00:00:00"/>
    <x v="0"/>
    <s v="SP-20620"/>
    <s v="Stefania Perrino"/>
    <s v="Corporate"/>
    <x v="0"/>
    <x v="252"/>
    <x v="7"/>
    <x v="2"/>
    <s v="FUR-FU-10004845"/>
    <x v="0"/>
    <x v="3"/>
    <x v="351"/>
    <n v="154.94999999999999"/>
    <n v="3"/>
    <n v="30.99"/>
    <x v="0"/>
  </r>
  <r>
    <x v="1371"/>
    <x v="661"/>
    <d v="2017-08-12T00:00:00"/>
    <x v="3"/>
    <s v="BB-11545"/>
    <s v="Brenda Bowman"/>
    <s v="Corporate"/>
    <x v="0"/>
    <x v="11"/>
    <x v="32"/>
    <x v="2"/>
    <s v="FUR-CH-10002331"/>
    <x v="0"/>
    <x v="1"/>
    <x v="86"/>
    <n v="1779.9"/>
    <n v="5"/>
    <n v="373.779"/>
    <x v="10"/>
  </r>
  <r>
    <x v="1372"/>
    <x v="114"/>
    <d v="2016-11-06T00:00:00"/>
    <x v="0"/>
    <s v="ER-13855"/>
    <s v="Elpida Rittenbach"/>
    <s v="Corporate"/>
    <x v="0"/>
    <x v="127"/>
    <x v="30"/>
    <x v="0"/>
    <s v="FUR-TA-10002533"/>
    <x v="0"/>
    <x v="2"/>
    <x v="58"/>
    <n v="876.3"/>
    <n v="10"/>
    <n v="-292.10000000000002"/>
    <x v="0"/>
  </r>
  <r>
    <x v="1373"/>
    <x v="586"/>
    <d v="2016-05-20T00:00:00"/>
    <x v="2"/>
    <s v="LW-17215"/>
    <s v="Luke Weiss"/>
    <s v="Consumer"/>
    <x v="0"/>
    <x v="9"/>
    <x v="8"/>
    <x v="3"/>
    <s v="FUR-FU-10004973"/>
    <x v="0"/>
    <x v="3"/>
    <x v="223"/>
    <n v="22.608000000000001"/>
    <n v="3"/>
    <n v="-10.1736"/>
    <x v="7"/>
  </r>
  <r>
    <x v="1374"/>
    <x v="781"/>
    <d v="2017-03-27T00:00:00"/>
    <x v="2"/>
    <s v="HR-14830"/>
    <s v="Harold Ryan"/>
    <s v="Corporate"/>
    <x v="0"/>
    <x v="13"/>
    <x v="7"/>
    <x v="2"/>
    <s v="FUR-CH-10003396"/>
    <x v="0"/>
    <x v="1"/>
    <x v="81"/>
    <n v="207.846"/>
    <n v="3"/>
    <n v="2.3094000000000001"/>
    <x v="9"/>
  </r>
  <r>
    <x v="1375"/>
    <x v="782"/>
    <d v="2014-03-29T00:00:00"/>
    <x v="0"/>
    <s v="MS-17710"/>
    <s v="Maurice Satty"/>
    <s v="Consumer"/>
    <x v="0"/>
    <x v="99"/>
    <x v="2"/>
    <x v="1"/>
    <s v="FUR-FU-10002813"/>
    <x v="0"/>
    <x v="3"/>
    <x v="350"/>
    <n v="40.479999999999997"/>
    <n v="2"/>
    <n v="14.572800000000001"/>
    <x v="9"/>
  </r>
  <r>
    <x v="1376"/>
    <x v="783"/>
    <d v="2016-02-15T00:00:00"/>
    <x v="2"/>
    <s v="DK-13090"/>
    <s v="Dave Kipp"/>
    <s v="Consumer"/>
    <x v="0"/>
    <x v="218"/>
    <x v="32"/>
    <x v="2"/>
    <s v="FUR-TA-10002356"/>
    <x v="0"/>
    <x v="2"/>
    <x v="147"/>
    <n v="550.43100000000004"/>
    <n v="3"/>
    <n v="-47.1798"/>
    <x v="11"/>
  </r>
  <r>
    <x v="1376"/>
    <x v="783"/>
    <d v="2016-02-15T00:00:00"/>
    <x v="2"/>
    <s v="DK-13090"/>
    <s v="Dave Kipp"/>
    <s v="Consumer"/>
    <x v="0"/>
    <x v="218"/>
    <x v="32"/>
    <x v="2"/>
    <s v="FUR-FU-10003274"/>
    <x v="0"/>
    <x v="3"/>
    <x v="51"/>
    <n v="10.56"/>
    <n v="6"/>
    <n v="4.6463999999999999"/>
    <x v="11"/>
  </r>
  <r>
    <x v="1377"/>
    <x v="784"/>
    <d v="2017-06-10T00:00:00"/>
    <x v="2"/>
    <s v="MG-17680"/>
    <s v="Maureen Gastineau"/>
    <s v="Home Office"/>
    <x v="0"/>
    <x v="2"/>
    <x v="2"/>
    <x v="1"/>
    <s v="FUR-BO-10004834"/>
    <x v="0"/>
    <x v="0"/>
    <x v="6"/>
    <n v="1497.6659999999999"/>
    <n v="2"/>
    <n v="140.95679999999999"/>
    <x v="2"/>
  </r>
  <r>
    <x v="1378"/>
    <x v="785"/>
    <d v="2014-05-23T00:00:00"/>
    <x v="1"/>
    <s v="PW-19030"/>
    <s v="Pauline Webber"/>
    <s v="Corporate"/>
    <x v="0"/>
    <x v="2"/>
    <x v="2"/>
    <x v="1"/>
    <s v="FUR-CH-10002439"/>
    <x v="0"/>
    <x v="1"/>
    <x v="260"/>
    <n v="232.88"/>
    <n v="5"/>
    <n v="17.466000000000001"/>
    <x v="7"/>
  </r>
  <r>
    <x v="1379"/>
    <x v="136"/>
    <d v="2015-02-07T00:00:00"/>
    <x v="1"/>
    <s v="PW-19030"/>
    <s v="Pauline Webber"/>
    <s v="Corporate"/>
    <x v="0"/>
    <x v="248"/>
    <x v="7"/>
    <x v="2"/>
    <s v="FUR-CH-10004218"/>
    <x v="0"/>
    <x v="1"/>
    <x v="10"/>
    <n v="90.882000000000005"/>
    <n v="1"/>
    <n v="15.147"/>
    <x v="11"/>
  </r>
  <r>
    <x v="1380"/>
    <x v="12"/>
    <d v="2015-05-01T00:00:00"/>
    <x v="1"/>
    <s v="BW-11110"/>
    <s v="Bart Watters"/>
    <s v="Corporate"/>
    <x v="0"/>
    <x v="53"/>
    <x v="2"/>
    <x v="1"/>
    <s v="FUR-CH-10002017"/>
    <x v="0"/>
    <x v="1"/>
    <x v="274"/>
    <n v="63.936"/>
    <n v="3"/>
    <n v="6.3936000000000002"/>
    <x v="6"/>
  </r>
  <r>
    <x v="1381"/>
    <x v="315"/>
    <d v="2015-04-17T00:00:00"/>
    <x v="0"/>
    <s v="EB-14110"/>
    <s v="Eugene Barchas"/>
    <s v="Consumer"/>
    <x v="0"/>
    <x v="2"/>
    <x v="2"/>
    <x v="1"/>
    <s v="FUR-TA-10002530"/>
    <x v="0"/>
    <x v="2"/>
    <x v="197"/>
    <n v="241.56800000000001"/>
    <n v="2"/>
    <n v="-15.098000000000001"/>
    <x v="6"/>
  </r>
  <r>
    <x v="1382"/>
    <x v="4"/>
    <d v="2015-09-30T00:00:00"/>
    <x v="1"/>
    <s v="SH-19975"/>
    <s v="Sally Hughsby"/>
    <s v="Corporate"/>
    <x v="0"/>
    <x v="15"/>
    <x v="13"/>
    <x v="1"/>
    <s v="FUR-CH-10004289"/>
    <x v="0"/>
    <x v="1"/>
    <x v="196"/>
    <n v="307.13600000000002"/>
    <n v="4"/>
    <n v="-11.5176"/>
    <x v="4"/>
  </r>
  <r>
    <x v="1383"/>
    <x v="786"/>
    <d v="2014-04-02T00:00:00"/>
    <x v="1"/>
    <s v="CV-12295"/>
    <s v="Christina VanderZanden"/>
    <s v="Consumer"/>
    <x v="0"/>
    <x v="67"/>
    <x v="26"/>
    <x v="3"/>
    <s v="FUR-TA-10003954"/>
    <x v="0"/>
    <x v="2"/>
    <x v="239"/>
    <n v="1184.72"/>
    <n v="4"/>
    <n v="106.62479999999999"/>
    <x v="9"/>
  </r>
  <r>
    <x v="1384"/>
    <x v="720"/>
    <d v="2017-07-25T00:00:00"/>
    <x v="1"/>
    <s v="GM-14500"/>
    <s v="Gene McClure"/>
    <s v="Consumer"/>
    <x v="0"/>
    <x v="191"/>
    <x v="5"/>
    <x v="3"/>
    <s v="FUR-TA-10001676"/>
    <x v="0"/>
    <x v="2"/>
    <x v="193"/>
    <n v="124.404"/>
    <n v="4"/>
    <n v="-21.3264"/>
    <x v="3"/>
  </r>
  <r>
    <x v="1385"/>
    <x v="787"/>
    <d v="2016-03-02T00:00:00"/>
    <x v="1"/>
    <s v="DW-13540"/>
    <s v="Don Weiss"/>
    <s v="Consumer"/>
    <x v="0"/>
    <x v="6"/>
    <x v="5"/>
    <x v="3"/>
    <s v="FUR-FU-10004053"/>
    <x v="0"/>
    <x v="3"/>
    <x v="339"/>
    <n v="16.192"/>
    <n v="2"/>
    <n v="-6.8815999999999997"/>
    <x v="11"/>
  </r>
  <r>
    <x v="1386"/>
    <x v="788"/>
    <d v="2015-07-19T00:00:00"/>
    <x v="0"/>
    <s v="TG-21310"/>
    <s v="Toby Gnade"/>
    <s v="Consumer"/>
    <x v="0"/>
    <x v="81"/>
    <x v="22"/>
    <x v="1"/>
    <s v="FUR-CH-10004287"/>
    <x v="0"/>
    <x v="1"/>
    <x v="32"/>
    <n v="441.92"/>
    <n v="2"/>
    <n v="49.716000000000001"/>
    <x v="3"/>
  </r>
  <r>
    <x v="1386"/>
    <x v="788"/>
    <d v="2015-07-19T00:00:00"/>
    <x v="0"/>
    <s v="TG-21310"/>
    <s v="Toby Gnade"/>
    <s v="Consumer"/>
    <x v="0"/>
    <x v="81"/>
    <x v="22"/>
    <x v="1"/>
    <s v="FUR-BO-10001608"/>
    <x v="0"/>
    <x v="0"/>
    <x v="315"/>
    <n v="127.764"/>
    <n v="6"/>
    <n v="-191.64599999999999"/>
    <x v="3"/>
  </r>
  <r>
    <x v="1387"/>
    <x v="162"/>
    <d v="2016-10-07T00:00:00"/>
    <x v="1"/>
    <s v="DB-12910"/>
    <s v="Daniel Byrd"/>
    <s v="Home Office"/>
    <x v="0"/>
    <x v="284"/>
    <x v="2"/>
    <x v="1"/>
    <s v="FUR-CH-10004063"/>
    <x v="0"/>
    <x v="1"/>
    <x v="27"/>
    <n v="915.13599999999997"/>
    <n v="4"/>
    <n v="102.9528"/>
    <x v="1"/>
  </r>
  <r>
    <x v="1388"/>
    <x v="789"/>
    <d v="2016-12-04T00:00:00"/>
    <x v="0"/>
    <s v="DR-12940"/>
    <s v="Daniel Raglin"/>
    <s v="Home Office"/>
    <x v="0"/>
    <x v="14"/>
    <x v="8"/>
    <x v="3"/>
    <s v="FUR-FU-10003806"/>
    <x v="0"/>
    <x v="3"/>
    <x v="372"/>
    <n v="242.17599999999999"/>
    <n v="4"/>
    <n v="-302.72000000000003"/>
    <x v="0"/>
  </r>
  <r>
    <x v="1389"/>
    <x v="184"/>
    <d v="2016-06-21T00:00:00"/>
    <x v="1"/>
    <s v="JS-15685"/>
    <s v="Jim Sink"/>
    <s v="Corporate"/>
    <x v="0"/>
    <x v="3"/>
    <x v="3"/>
    <x v="2"/>
    <s v="FUR-TA-10003392"/>
    <x v="0"/>
    <x v="2"/>
    <x v="342"/>
    <n v="337.17599999999999"/>
    <n v="2"/>
    <n v="-118.0116"/>
    <x v="2"/>
  </r>
  <r>
    <x v="1390"/>
    <x v="587"/>
    <d v="2017-12-06T00:00:00"/>
    <x v="0"/>
    <s v="LC-16870"/>
    <s v="Lena Cacioppo"/>
    <s v="Consumer"/>
    <x v="0"/>
    <x v="332"/>
    <x v="12"/>
    <x v="1"/>
    <s v="FUR-FU-10004351"/>
    <x v="0"/>
    <x v="3"/>
    <x v="47"/>
    <n v="23.376000000000001"/>
    <n v="3"/>
    <n v="7.0128000000000004"/>
    <x v="5"/>
  </r>
  <r>
    <x v="1390"/>
    <x v="587"/>
    <d v="2017-12-06T00:00:00"/>
    <x v="0"/>
    <s v="LC-16870"/>
    <s v="Lena Cacioppo"/>
    <s v="Consumer"/>
    <x v="0"/>
    <x v="332"/>
    <x v="12"/>
    <x v="1"/>
    <s v="FUR-FU-10004270"/>
    <x v="0"/>
    <x v="3"/>
    <x v="200"/>
    <n v="16.72"/>
    <n v="5"/>
    <n v="3.3439999999999999"/>
    <x v="5"/>
  </r>
  <r>
    <x v="1390"/>
    <x v="587"/>
    <d v="2017-12-06T00:00:00"/>
    <x v="0"/>
    <s v="LC-16870"/>
    <s v="Lena Cacioppo"/>
    <s v="Consumer"/>
    <x v="0"/>
    <x v="332"/>
    <x v="12"/>
    <x v="1"/>
    <s v="FUR-FU-10004053"/>
    <x v="0"/>
    <x v="3"/>
    <x v="339"/>
    <n v="16.192"/>
    <n v="1"/>
    <n v="4.6551999999999998"/>
    <x v="5"/>
  </r>
  <r>
    <x v="1391"/>
    <x v="683"/>
    <d v="2016-12-29T00:00:00"/>
    <x v="1"/>
    <s v="TS-21655"/>
    <s v="Trudy Schmidt"/>
    <s v="Consumer"/>
    <x v="0"/>
    <x v="160"/>
    <x v="31"/>
    <x v="0"/>
    <s v="FUR-FU-10003553"/>
    <x v="0"/>
    <x v="3"/>
    <x v="117"/>
    <n v="343.85"/>
    <n v="5"/>
    <n v="137.54"/>
    <x v="5"/>
  </r>
  <r>
    <x v="1392"/>
    <x v="790"/>
    <d v="2017-08-18T00:00:00"/>
    <x v="1"/>
    <s v="DC-12850"/>
    <s v="Dan Campbell"/>
    <s v="Consumer"/>
    <x v="0"/>
    <x v="10"/>
    <x v="9"/>
    <x v="0"/>
    <s v="FUR-FU-10003268"/>
    <x v="0"/>
    <x v="3"/>
    <x v="176"/>
    <n v="31.984000000000002"/>
    <n v="1"/>
    <n v="0"/>
    <x v="10"/>
  </r>
  <r>
    <x v="1392"/>
    <x v="790"/>
    <d v="2017-08-18T00:00:00"/>
    <x v="1"/>
    <s v="DC-12850"/>
    <s v="Dan Campbell"/>
    <s v="Consumer"/>
    <x v="0"/>
    <x v="10"/>
    <x v="9"/>
    <x v="0"/>
    <s v="FUR-CH-10002073"/>
    <x v="0"/>
    <x v="1"/>
    <x v="370"/>
    <n v="423.64800000000002"/>
    <n v="2"/>
    <n v="47.660400000000003"/>
    <x v="10"/>
  </r>
  <r>
    <x v="1393"/>
    <x v="122"/>
    <d v="2016-12-07T00:00:00"/>
    <x v="1"/>
    <s v="RD-19720"/>
    <s v="Roger Demir"/>
    <s v="Consumer"/>
    <x v="0"/>
    <x v="333"/>
    <x v="2"/>
    <x v="1"/>
    <s v="FUR-TA-10004147"/>
    <x v="0"/>
    <x v="2"/>
    <x v="163"/>
    <n v="268.70400000000001"/>
    <n v="3"/>
    <n v="6.7176"/>
    <x v="5"/>
  </r>
  <r>
    <x v="1393"/>
    <x v="122"/>
    <d v="2016-12-07T00:00:00"/>
    <x v="1"/>
    <s v="RD-19720"/>
    <s v="Roger Demir"/>
    <s v="Consumer"/>
    <x v="0"/>
    <x v="333"/>
    <x v="2"/>
    <x v="1"/>
    <s v="FUR-BO-10001337"/>
    <x v="0"/>
    <x v="0"/>
    <x v="90"/>
    <n v="205.666"/>
    <n v="2"/>
    <n v="-12.098000000000001"/>
    <x v="5"/>
  </r>
  <r>
    <x v="1394"/>
    <x v="376"/>
    <d v="2016-04-30T00:00:00"/>
    <x v="0"/>
    <s v="RB-19570"/>
    <s v="Rob Beeghly"/>
    <s v="Consumer"/>
    <x v="0"/>
    <x v="317"/>
    <x v="8"/>
    <x v="3"/>
    <s v="FUR-FU-10001602"/>
    <x v="0"/>
    <x v="3"/>
    <x v="153"/>
    <n v="30.344000000000001"/>
    <n v="2"/>
    <n v="-31.8612"/>
    <x v="6"/>
  </r>
  <r>
    <x v="1395"/>
    <x v="141"/>
    <d v="2015-11-24T00:00:00"/>
    <x v="1"/>
    <s v="PO-19195"/>
    <s v="Phillina Ober"/>
    <s v="Home Office"/>
    <x v="0"/>
    <x v="3"/>
    <x v="3"/>
    <x v="2"/>
    <s v="FUR-CH-10002880"/>
    <x v="0"/>
    <x v="1"/>
    <x v="162"/>
    <n v="344.37200000000001"/>
    <n v="4"/>
    <n v="-93.472399999999993"/>
    <x v="0"/>
  </r>
  <r>
    <x v="1396"/>
    <x v="93"/>
    <d v="2017-11-24T00:00:00"/>
    <x v="0"/>
    <s v="KH-16330"/>
    <s v="Katharine Harms"/>
    <s v="Corporate"/>
    <x v="0"/>
    <x v="13"/>
    <x v="7"/>
    <x v="2"/>
    <s v="FUR-FU-10000820"/>
    <x v="0"/>
    <x v="3"/>
    <x v="367"/>
    <n v="50.97"/>
    <n v="3"/>
    <n v="9.1745999999999999"/>
    <x v="0"/>
  </r>
  <r>
    <x v="1397"/>
    <x v="730"/>
    <d v="2017-07-27T00:00:00"/>
    <x v="2"/>
    <s v="EM-14200"/>
    <s v="Evan Minnotte"/>
    <s v="Home Office"/>
    <x v="0"/>
    <x v="144"/>
    <x v="5"/>
    <x v="3"/>
    <s v="FUR-TA-10004767"/>
    <x v="0"/>
    <x v="2"/>
    <x v="227"/>
    <n v="298.11599999999999"/>
    <n v="6"/>
    <n v="-4.2587999999999999"/>
    <x v="3"/>
  </r>
  <r>
    <x v="1398"/>
    <x v="791"/>
    <d v="2016-07-20T00:00:00"/>
    <x v="1"/>
    <s v="MC-17425"/>
    <s v="Mark Cousins"/>
    <s v="Corporate"/>
    <x v="0"/>
    <x v="295"/>
    <x v="36"/>
    <x v="1"/>
    <s v="FUR-CH-10004886"/>
    <x v="0"/>
    <x v="1"/>
    <x v="77"/>
    <n v="230.28"/>
    <n v="3"/>
    <n v="23.027999999999999"/>
    <x v="3"/>
  </r>
  <r>
    <x v="1399"/>
    <x v="469"/>
    <d v="2016-12-17T00:00:00"/>
    <x v="2"/>
    <s v="DS-13180"/>
    <s v="David Smith"/>
    <s v="Corporate"/>
    <x v="0"/>
    <x v="53"/>
    <x v="2"/>
    <x v="1"/>
    <s v="FUR-CH-10001146"/>
    <x v="0"/>
    <x v="1"/>
    <x v="29"/>
    <n v="81.424000000000007"/>
    <n v="2"/>
    <n v="-9.1601999999999997"/>
    <x v="5"/>
  </r>
  <r>
    <x v="1400"/>
    <x v="29"/>
    <d v="2014-03-05T00:00:00"/>
    <x v="1"/>
    <s v="SC-20380"/>
    <s v="Shahid Collister"/>
    <s v="Consumer"/>
    <x v="0"/>
    <x v="116"/>
    <x v="5"/>
    <x v="3"/>
    <s v="FUR-CH-10001270"/>
    <x v="0"/>
    <x v="1"/>
    <x v="170"/>
    <n v="362.25"/>
    <n v="6"/>
    <n v="0"/>
    <x v="9"/>
  </r>
  <r>
    <x v="1400"/>
    <x v="29"/>
    <d v="2014-03-05T00:00:00"/>
    <x v="1"/>
    <s v="SC-20380"/>
    <s v="Shahid Collister"/>
    <s v="Consumer"/>
    <x v="0"/>
    <x v="116"/>
    <x v="5"/>
    <x v="3"/>
    <s v="FUR-FU-10001095"/>
    <x v="0"/>
    <x v="3"/>
    <x v="151"/>
    <n v="63.552"/>
    <n v="6"/>
    <n v="-34.953600000000002"/>
    <x v="9"/>
  </r>
  <r>
    <x v="1401"/>
    <x v="702"/>
    <d v="2017-10-10T00:00:00"/>
    <x v="1"/>
    <s v="GG-14650"/>
    <s v="Greg Guthrie"/>
    <s v="Corporate"/>
    <x v="0"/>
    <x v="297"/>
    <x v="2"/>
    <x v="1"/>
    <s v="FUR-CH-10001190"/>
    <x v="0"/>
    <x v="1"/>
    <x v="264"/>
    <n v="435.16800000000001"/>
    <n v="4"/>
    <n v="-59.835599999999999"/>
    <x v="1"/>
  </r>
  <r>
    <x v="1401"/>
    <x v="702"/>
    <d v="2017-10-10T00:00:00"/>
    <x v="1"/>
    <s v="GG-14650"/>
    <s v="Greg Guthrie"/>
    <s v="Corporate"/>
    <x v="0"/>
    <x v="297"/>
    <x v="2"/>
    <x v="1"/>
    <s v="FUR-FU-10004666"/>
    <x v="0"/>
    <x v="3"/>
    <x v="296"/>
    <n v="72.900000000000006"/>
    <n v="5"/>
    <n v="26.972999999999999"/>
    <x v="1"/>
  </r>
  <r>
    <x v="1401"/>
    <x v="702"/>
    <d v="2017-10-10T00:00:00"/>
    <x v="1"/>
    <s v="GG-14650"/>
    <s v="Greg Guthrie"/>
    <s v="Corporate"/>
    <x v="0"/>
    <x v="297"/>
    <x v="2"/>
    <x v="1"/>
    <s v="FUR-TA-10004086"/>
    <x v="0"/>
    <x v="2"/>
    <x v="165"/>
    <n v="206.352"/>
    <n v="3"/>
    <n v="5.1588000000000003"/>
    <x v="1"/>
  </r>
  <r>
    <x v="1402"/>
    <x v="792"/>
    <d v="2016-10-12T00:00:00"/>
    <x v="2"/>
    <s v="CC-12610"/>
    <s v="Corey Catlett"/>
    <s v="Corporate"/>
    <x v="0"/>
    <x v="22"/>
    <x v="12"/>
    <x v="1"/>
    <s v="FUR-BO-10001567"/>
    <x v="0"/>
    <x v="0"/>
    <x v="375"/>
    <n v="90.882000000000005"/>
    <n v="3"/>
    <n v="-190.85220000000001"/>
    <x v="1"/>
  </r>
  <r>
    <x v="1402"/>
    <x v="792"/>
    <d v="2016-10-12T00:00:00"/>
    <x v="2"/>
    <s v="CC-12610"/>
    <s v="Corey Catlett"/>
    <s v="Corporate"/>
    <x v="0"/>
    <x v="22"/>
    <x v="12"/>
    <x v="1"/>
    <s v="FUR-CH-10004853"/>
    <x v="0"/>
    <x v="1"/>
    <x v="110"/>
    <n v="120.78400000000001"/>
    <n v="1"/>
    <n v="13.588200000000001"/>
    <x v="1"/>
  </r>
  <r>
    <x v="1403"/>
    <x v="793"/>
    <d v="2015-08-20T00:00:00"/>
    <x v="1"/>
    <s v="SP-20860"/>
    <s v="Sung Pak"/>
    <s v="Corporate"/>
    <x v="0"/>
    <x v="3"/>
    <x v="3"/>
    <x v="2"/>
    <s v="FUR-FU-10001488"/>
    <x v="0"/>
    <x v="3"/>
    <x v="204"/>
    <n v="254.352"/>
    <n v="3"/>
    <n v="0"/>
    <x v="10"/>
  </r>
  <r>
    <x v="1404"/>
    <x v="767"/>
    <d v="2014-09-13T00:00:00"/>
    <x v="2"/>
    <s v="SF-20065"/>
    <s v="Sandra Flanagan"/>
    <s v="Consumer"/>
    <x v="0"/>
    <x v="334"/>
    <x v="18"/>
    <x v="2"/>
    <s v="FUR-FU-10001986"/>
    <x v="0"/>
    <x v="3"/>
    <x v="222"/>
    <n v="254.9"/>
    <n v="5"/>
    <n v="76.47"/>
    <x v="4"/>
  </r>
  <r>
    <x v="1405"/>
    <x v="141"/>
    <d v="2015-11-23T00:00:00"/>
    <x v="0"/>
    <s v="MM-18055"/>
    <s v="Michelle Moray"/>
    <s v="Consumer"/>
    <x v="0"/>
    <x v="14"/>
    <x v="12"/>
    <x v="1"/>
    <s v="FUR-BO-10002268"/>
    <x v="0"/>
    <x v="0"/>
    <x v="68"/>
    <n v="145.76400000000001"/>
    <n v="6"/>
    <n v="-247.7988"/>
    <x v="0"/>
  </r>
  <r>
    <x v="1406"/>
    <x v="54"/>
    <d v="2017-11-05T00:00:00"/>
    <x v="2"/>
    <s v="CR-12580"/>
    <s v="Clay Rozendal"/>
    <s v="Home Office"/>
    <x v="0"/>
    <x v="53"/>
    <x v="2"/>
    <x v="1"/>
    <s v="FUR-TA-10001095"/>
    <x v="0"/>
    <x v="2"/>
    <x v="129"/>
    <n v="1673.184"/>
    <n v="12"/>
    <n v="20.9148"/>
    <x v="0"/>
  </r>
  <r>
    <x v="1407"/>
    <x v="236"/>
    <d v="2014-05-07T00:00:00"/>
    <x v="2"/>
    <s v="BS-11365"/>
    <s v="Bill Shonely"/>
    <s v="Corporate"/>
    <x v="0"/>
    <x v="15"/>
    <x v="13"/>
    <x v="1"/>
    <s v="FUR-FU-10001852"/>
    <x v="0"/>
    <x v="3"/>
    <x v="166"/>
    <n v="12.18"/>
    <n v="7"/>
    <n v="3.8976000000000002"/>
    <x v="7"/>
  </r>
  <r>
    <x v="1408"/>
    <x v="280"/>
    <d v="2014-12-03T00:00:00"/>
    <x v="2"/>
    <s v="AA-10645"/>
    <s v="Anna Andreadi"/>
    <s v="Consumer"/>
    <x v="0"/>
    <x v="172"/>
    <x v="20"/>
    <x v="2"/>
    <s v="FUR-FU-10003878"/>
    <x v="0"/>
    <x v="3"/>
    <x v="142"/>
    <n v="45.84"/>
    <n v="3"/>
    <n v="15.585599999999999"/>
    <x v="5"/>
  </r>
  <r>
    <x v="1408"/>
    <x v="280"/>
    <d v="2014-12-03T00:00:00"/>
    <x v="2"/>
    <s v="AA-10645"/>
    <s v="Anna Andreadi"/>
    <s v="Consumer"/>
    <x v="0"/>
    <x v="172"/>
    <x v="20"/>
    <x v="2"/>
    <s v="FUR-FU-10002268"/>
    <x v="0"/>
    <x v="3"/>
    <x v="172"/>
    <n v="9.82"/>
    <n v="2"/>
    <n v="3.2406000000000001"/>
    <x v="5"/>
  </r>
  <r>
    <x v="1409"/>
    <x v="669"/>
    <d v="2015-11-24T00:00:00"/>
    <x v="1"/>
    <s v="AA-10645"/>
    <s v="Anna Andreadi"/>
    <s v="Consumer"/>
    <x v="0"/>
    <x v="258"/>
    <x v="37"/>
    <x v="3"/>
    <s v="FUR-CH-10002073"/>
    <x v="0"/>
    <x v="1"/>
    <x v="370"/>
    <n v="1323.9"/>
    <n v="5"/>
    <n v="383.93099999999998"/>
    <x v="0"/>
  </r>
  <r>
    <x v="1410"/>
    <x v="794"/>
    <d v="2017-05-25T00:00:00"/>
    <x v="3"/>
    <s v="TB-21625"/>
    <s v="Trudy Brown"/>
    <s v="Consumer"/>
    <x v="0"/>
    <x v="13"/>
    <x v="7"/>
    <x v="2"/>
    <s v="FUR-FU-10000732"/>
    <x v="0"/>
    <x v="3"/>
    <x v="113"/>
    <n v="18.84"/>
    <n v="3"/>
    <n v="6.0288000000000004"/>
    <x v="7"/>
  </r>
  <r>
    <x v="1411"/>
    <x v="383"/>
    <d v="2014-09-11T00:00:00"/>
    <x v="2"/>
    <s v="NF-18595"/>
    <s v="Nicole Fjeld"/>
    <s v="Home Office"/>
    <x v="0"/>
    <x v="68"/>
    <x v="15"/>
    <x v="2"/>
    <s v="FUR-FU-10002501"/>
    <x v="0"/>
    <x v="3"/>
    <x v="254"/>
    <n v="60.671999999999997"/>
    <n v="6"/>
    <n v="12.892799999999999"/>
    <x v="4"/>
  </r>
  <r>
    <x v="1412"/>
    <x v="294"/>
    <d v="2014-07-25T00:00:00"/>
    <x v="1"/>
    <s v="HM-14860"/>
    <s v="Harry Marie"/>
    <s v="Corporate"/>
    <x v="0"/>
    <x v="144"/>
    <x v="5"/>
    <x v="3"/>
    <s v="FUR-CH-10004997"/>
    <x v="0"/>
    <x v="1"/>
    <x v="105"/>
    <n v="657.93"/>
    <n v="5"/>
    <n v="-93.99"/>
    <x v="3"/>
  </r>
  <r>
    <x v="1413"/>
    <x v="795"/>
    <d v="2015-09-15T00:00:00"/>
    <x v="0"/>
    <s v="DM-13525"/>
    <s v="Don Miller"/>
    <s v="Corporate"/>
    <x v="0"/>
    <x v="13"/>
    <x v="7"/>
    <x v="2"/>
    <s v="FUR-FU-10000277"/>
    <x v="0"/>
    <x v="3"/>
    <x v="371"/>
    <n v="210.68"/>
    <n v="2"/>
    <n v="50.563200000000002"/>
    <x v="4"/>
  </r>
  <r>
    <x v="1414"/>
    <x v="796"/>
    <d v="2016-01-11T00:00:00"/>
    <x v="1"/>
    <s v="NM-18520"/>
    <s v="Neoma Murray"/>
    <s v="Consumer"/>
    <x v="0"/>
    <x v="45"/>
    <x v="5"/>
    <x v="3"/>
    <s v="FUR-FU-10004270"/>
    <x v="0"/>
    <x v="3"/>
    <x v="276"/>
    <n v="23.076000000000001"/>
    <n v="3"/>
    <n v="-10.9611"/>
    <x v="8"/>
  </r>
  <r>
    <x v="1415"/>
    <x v="528"/>
    <d v="2015-06-28T00:00:00"/>
    <x v="2"/>
    <s v="MV-17485"/>
    <s v="Mark Van Huff"/>
    <s v="Consumer"/>
    <x v="0"/>
    <x v="6"/>
    <x v="5"/>
    <x v="3"/>
    <s v="FUR-FU-10004587"/>
    <x v="0"/>
    <x v="3"/>
    <x v="269"/>
    <n v="75.384"/>
    <n v="9"/>
    <n v="-20.730599999999999"/>
    <x v="2"/>
  </r>
  <r>
    <x v="1416"/>
    <x v="254"/>
    <d v="2017-07-02T00:00:00"/>
    <x v="0"/>
    <s v="JC-15775"/>
    <s v="John Castell"/>
    <s v="Consumer"/>
    <x v="0"/>
    <x v="2"/>
    <x v="2"/>
    <x v="1"/>
    <s v="FUR-BO-10003966"/>
    <x v="0"/>
    <x v="0"/>
    <x v="210"/>
    <n v="435.99900000000002"/>
    <n v="3"/>
    <n v="5.1294000000000004"/>
    <x v="2"/>
  </r>
  <r>
    <x v="1417"/>
    <x v="67"/>
    <d v="2017-08-25T00:00:00"/>
    <x v="0"/>
    <s v="CM-11815"/>
    <s v="Candace McMahon"/>
    <s v="Corporate"/>
    <x v="0"/>
    <x v="15"/>
    <x v="13"/>
    <x v="1"/>
    <s v="FUR-CH-10004698"/>
    <x v="0"/>
    <x v="1"/>
    <x v="34"/>
    <n v="388.70400000000001"/>
    <n v="6"/>
    <n v="38.870399999999997"/>
    <x v="10"/>
  </r>
  <r>
    <x v="1418"/>
    <x v="745"/>
    <d v="2017-03-15T00:00:00"/>
    <x v="1"/>
    <s v="PV-18985"/>
    <s v="Paul Van Hugh"/>
    <s v="Home Office"/>
    <x v="0"/>
    <x v="335"/>
    <x v="20"/>
    <x v="2"/>
    <s v="FUR-FU-10001379"/>
    <x v="0"/>
    <x v="3"/>
    <x v="376"/>
    <n v="26.72"/>
    <n v="1"/>
    <n v="11.7568"/>
    <x v="9"/>
  </r>
  <r>
    <x v="1419"/>
    <x v="218"/>
    <d v="2014-09-30T00:00:00"/>
    <x v="1"/>
    <s v="CM-12715"/>
    <s v="Craig Molinari"/>
    <s v="Corporate"/>
    <x v="0"/>
    <x v="3"/>
    <x v="3"/>
    <x v="2"/>
    <s v="FUR-FU-10001095"/>
    <x v="0"/>
    <x v="3"/>
    <x v="151"/>
    <n v="21.184000000000001"/>
    <n v="1"/>
    <n v="4.7664"/>
    <x v="4"/>
  </r>
  <r>
    <x v="1420"/>
    <x v="797"/>
    <d v="2015-09-04T00:00:00"/>
    <x v="1"/>
    <s v="CB-12025"/>
    <s v="Cassandra Brandow"/>
    <s v="Consumer"/>
    <x v="0"/>
    <x v="2"/>
    <x v="2"/>
    <x v="1"/>
    <s v="FUR-BO-10004695"/>
    <x v="0"/>
    <x v="0"/>
    <x v="38"/>
    <n v="307.666"/>
    <n v="2"/>
    <n v="28.956800000000001"/>
    <x v="10"/>
  </r>
  <r>
    <x v="1420"/>
    <x v="797"/>
    <d v="2015-09-04T00:00:00"/>
    <x v="1"/>
    <s v="CB-12025"/>
    <s v="Cassandra Brandow"/>
    <s v="Consumer"/>
    <x v="0"/>
    <x v="2"/>
    <x v="2"/>
    <x v="1"/>
    <s v="FUR-FU-10003981"/>
    <x v="0"/>
    <x v="3"/>
    <x v="70"/>
    <n v="4.16"/>
    <n v="2"/>
    <n v="1.7472000000000001"/>
    <x v="10"/>
  </r>
  <r>
    <x v="1421"/>
    <x v="798"/>
    <d v="2015-10-24T00:00:00"/>
    <x v="1"/>
    <s v="NS-18640"/>
    <s v="Noel Staavos"/>
    <s v="Corporate"/>
    <x v="0"/>
    <x v="28"/>
    <x v="2"/>
    <x v="1"/>
    <s v="FUR-FU-10001731"/>
    <x v="0"/>
    <x v="3"/>
    <x v="317"/>
    <n v="16.02"/>
    <n v="6"/>
    <n v="6.0876000000000001"/>
    <x v="1"/>
  </r>
  <r>
    <x v="1422"/>
    <x v="143"/>
    <d v="2017-01-05T00:00:00"/>
    <x v="1"/>
    <s v="JM-15250"/>
    <s v="Janet Martin"/>
    <s v="Consumer"/>
    <x v="0"/>
    <x v="156"/>
    <x v="5"/>
    <x v="3"/>
    <s v="FUR-FU-10002116"/>
    <x v="0"/>
    <x v="3"/>
    <x v="286"/>
    <n v="141.41999999999999"/>
    <n v="5"/>
    <n v="-187.38149999999999"/>
    <x v="8"/>
  </r>
  <r>
    <x v="1422"/>
    <x v="143"/>
    <d v="2017-01-05T00:00:00"/>
    <x v="1"/>
    <s v="JM-15250"/>
    <s v="Janet Martin"/>
    <s v="Consumer"/>
    <x v="0"/>
    <x v="156"/>
    <x v="5"/>
    <x v="3"/>
    <s v="FUR-CH-10003199"/>
    <x v="0"/>
    <x v="1"/>
    <x v="136"/>
    <n v="310.74400000000003"/>
    <n v="4"/>
    <n v="-26.635200000000001"/>
    <x v="8"/>
  </r>
  <r>
    <x v="1423"/>
    <x v="799"/>
    <d v="2015-06-29T00:00:00"/>
    <x v="1"/>
    <s v="RF-19345"/>
    <s v="Randy Ferguson"/>
    <s v="Corporate"/>
    <x v="0"/>
    <x v="336"/>
    <x v="24"/>
    <x v="0"/>
    <s v="FUR-FU-10000794"/>
    <x v="0"/>
    <x v="3"/>
    <x v="138"/>
    <n v="27.42"/>
    <n v="3"/>
    <n v="9.3228000000000009"/>
    <x v="2"/>
  </r>
  <r>
    <x v="1424"/>
    <x v="697"/>
    <d v="2016-10-26T00:00:00"/>
    <x v="1"/>
    <s v="LC-16960"/>
    <s v="Lindsay Castell"/>
    <s v="Home Office"/>
    <x v="0"/>
    <x v="58"/>
    <x v="25"/>
    <x v="0"/>
    <s v="FUR-FU-10000246"/>
    <x v="0"/>
    <x v="3"/>
    <x v="82"/>
    <n v="61.1"/>
    <n v="5"/>
    <n v="18.329999999999998"/>
    <x v="1"/>
  </r>
  <r>
    <x v="1425"/>
    <x v="534"/>
    <d v="2017-08-01T00:00:00"/>
    <x v="0"/>
    <s v="DK-13375"/>
    <s v="Dennis Kane"/>
    <s v="Consumer"/>
    <x v="0"/>
    <x v="15"/>
    <x v="13"/>
    <x v="1"/>
    <s v="FUR-FU-10001940"/>
    <x v="0"/>
    <x v="3"/>
    <x v="47"/>
    <n v="23.88"/>
    <n v="3"/>
    <n v="10.507199999999999"/>
    <x v="3"/>
  </r>
  <r>
    <x v="1426"/>
    <x v="506"/>
    <d v="2017-02-19T00:00:00"/>
    <x v="2"/>
    <s v="CR-12820"/>
    <s v="Cyra Reiten"/>
    <s v="Home Office"/>
    <x v="0"/>
    <x v="6"/>
    <x v="5"/>
    <x v="3"/>
    <s v="FUR-BO-10001601"/>
    <x v="0"/>
    <x v="0"/>
    <x v="89"/>
    <n v="89.066400000000002"/>
    <n v="1"/>
    <n v="-17.0274"/>
    <x v="11"/>
  </r>
  <r>
    <x v="1427"/>
    <x v="64"/>
    <d v="2017-12-15T00:00:00"/>
    <x v="1"/>
    <s v="EG-13900"/>
    <s v="Emily Grady"/>
    <s v="Consumer"/>
    <x v="0"/>
    <x v="3"/>
    <x v="3"/>
    <x v="2"/>
    <s v="FUR-CH-10003396"/>
    <x v="0"/>
    <x v="1"/>
    <x v="81"/>
    <n v="215.54400000000001"/>
    <n v="4"/>
    <n v="-58.504800000000003"/>
    <x v="5"/>
  </r>
  <r>
    <x v="1428"/>
    <x v="414"/>
    <d v="2017-11-23T00:00:00"/>
    <x v="1"/>
    <s v="RD-19930"/>
    <s v="Russell D'Ascenzo"/>
    <s v="Consumer"/>
    <x v="0"/>
    <x v="9"/>
    <x v="8"/>
    <x v="3"/>
    <s v="FUR-CH-10000422"/>
    <x v="0"/>
    <x v="1"/>
    <x v="287"/>
    <n v="127.386"/>
    <n v="2"/>
    <n v="-25.4772"/>
    <x v="0"/>
  </r>
  <r>
    <x v="1429"/>
    <x v="193"/>
    <d v="2016-12-03T00:00:00"/>
    <x v="0"/>
    <s v="JM-15865"/>
    <s v="John Murray"/>
    <s v="Consumer"/>
    <x v="0"/>
    <x v="147"/>
    <x v="5"/>
    <x v="3"/>
    <s v="FUR-CH-10002647"/>
    <x v="0"/>
    <x v="1"/>
    <x v="99"/>
    <n v="248.43"/>
    <n v="5"/>
    <n v="-17.745000000000001"/>
    <x v="5"/>
  </r>
  <r>
    <x v="1429"/>
    <x v="193"/>
    <d v="2016-12-03T00:00:00"/>
    <x v="0"/>
    <s v="JM-15865"/>
    <s v="John Murray"/>
    <s v="Consumer"/>
    <x v="0"/>
    <x v="147"/>
    <x v="5"/>
    <x v="3"/>
    <s v="FUR-CH-10004477"/>
    <x v="0"/>
    <x v="1"/>
    <x v="42"/>
    <n v="85.245999999999995"/>
    <n v="2"/>
    <n v="-1.2178"/>
    <x v="5"/>
  </r>
  <r>
    <x v="1430"/>
    <x v="800"/>
    <d v="2017-09-04T00:00:00"/>
    <x v="1"/>
    <s v="RW-19540"/>
    <s v="Rick Wilson"/>
    <s v="Corporate"/>
    <x v="0"/>
    <x v="2"/>
    <x v="2"/>
    <x v="1"/>
    <s v="FUR-FU-10003374"/>
    <x v="0"/>
    <x v="3"/>
    <x v="373"/>
    <n v="148.02000000000001"/>
    <n v="3"/>
    <n v="41.445599999999999"/>
    <x v="10"/>
  </r>
  <r>
    <x v="1431"/>
    <x v="801"/>
    <d v="2017-07-27T00:00:00"/>
    <x v="1"/>
    <s v="EB-13930"/>
    <s v="Eric Barreto"/>
    <s v="Consumer"/>
    <x v="0"/>
    <x v="9"/>
    <x v="8"/>
    <x v="3"/>
    <s v="FUR-CH-10004997"/>
    <x v="0"/>
    <x v="1"/>
    <x v="105"/>
    <n v="526.34400000000005"/>
    <n v="4"/>
    <n v="-75.191999999999993"/>
    <x v="3"/>
  </r>
  <r>
    <x v="1432"/>
    <x v="367"/>
    <d v="2016-11-16T00:00:00"/>
    <x v="1"/>
    <s v="LP-17080"/>
    <s v="Liz Pelletier"/>
    <s v="Consumer"/>
    <x v="0"/>
    <x v="28"/>
    <x v="2"/>
    <x v="1"/>
    <s v="FUR-FU-10001934"/>
    <x v="0"/>
    <x v="3"/>
    <x v="24"/>
    <n v="41.96"/>
    <n v="2"/>
    <n v="10.909599999999999"/>
    <x v="0"/>
  </r>
  <r>
    <x v="1432"/>
    <x v="367"/>
    <d v="2016-11-16T00:00:00"/>
    <x v="1"/>
    <s v="LP-17080"/>
    <s v="Liz Pelletier"/>
    <s v="Consumer"/>
    <x v="0"/>
    <x v="28"/>
    <x v="2"/>
    <x v="1"/>
    <s v="FUR-CH-10004997"/>
    <x v="0"/>
    <x v="1"/>
    <x v="105"/>
    <n v="451.15199999999999"/>
    <n v="3"/>
    <n v="0"/>
    <x v="0"/>
  </r>
  <r>
    <x v="1433"/>
    <x v="87"/>
    <d v="2017-09-12T00:00:00"/>
    <x v="1"/>
    <s v="JA-15970"/>
    <s v="Joseph Airdo"/>
    <s v="Consumer"/>
    <x v="0"/>
    <x v="337"/>
    <x v="2"/>
    <x v="1"/>
    <s v="FUR-CH-10004860"/>
    <x v="0"/>
    <x v="1"/>
    <x v="41"/>
    <n v="161.56800000000001"/>
    <n v="2"/>
    <n v="-28.2744"/>
    <x v="4"/>
  </r>
  <r>
    <x v="1434"/>
    <x v="802"/>
    <d v="2017-09-01T00:00:00"/>
    <x v="1"/>
    <s v="DP-13000"/>
    <s v="Darren Powers"/>
    <s v="Consumer"/>
    <x v="0"/>
    <x v="9"/>
    <x v="8"/>
    <x v="3"/>
    <s v="FUR-FU-10000222"/>
    <x v="0"/>
    <x v="3"/>
    <x v="125"/>
    <n v="64.959999999999994"/>
    <n v="5"/>
    <n v="-43.847999999999999"/>
    <x v="10"/>
  </r>
  <r>
    <x v="1435"/>
    <x v="643"/>
    <d v="2015-10-13T00:00:00"/>
    <x v="1"/>
    <s v="GH-14485"/>
    <s v="Gene Hale"/>
    <s v="Corporate"/>
    <x v="0"/>
    <x v="144"/>
    <x v="5"/>
    <x v="3"/>
    <s v="FUR-FU-10003708"/>
    <x v="0"/>
    <x v="3"/>
    <x v="17"/>
    <n v="72.78"/>
    <n v="3"/>
    <n v="-70.960499999999996"/>
    <x v="1"/>
  </r>
  <r>
    <x v="1436"/>
    <x v="577"/>
    <d v="2016-08-16T00:00:00"/>
    <x v="1"/>
    <s v="CS-12490"/>
    <s v="Cindy Schnelling"/>
    <s v="Corporate"/>
    <x v="0"/>
    <x v="49"/>
    <x v="1"/>
    <x v="0"/>
    <s v="FUR-TA-10002533"/>
    <x v="0"/>
    <x v="2"/>
    <x v="58"/>
    <n v="562.29250000000002"/>
    <n v="7"/>
    <n v="-255.58750000000001"/>
    <x v="10"/>
  </r>
  <r>
    <x v="1437"/>
    <x v="77"/>
    <d v="2014-11-13T00:00:00"/>
    <x v="1"/>
    <s v="BF-11215"/>
    <s v="Benjamin Farhat"/>
    <s v="Home Office"/>
    <x v="0"/>
    <x v="13"/>
    <x v="7"/>
    <x v="2"/>
    <s v="FUR-FU-10004091"/>
    <x v="0"/>
    <x v="3"/>
    <x v="191"/>
    <n v="56.52"/>
    <n v="9"/>
    <n v="21.477599999999999"/>
    <x v="0"/>
  </r>
  <r>
    <x v="1438"/>
    <x v="223"/>
    <d v="2016-02-10T00:00:00"/>
    <x v="1"/>
    <s v="AZ-10750"/>
    <s v="Annie Zypern"/>
    <s v="Consumer"/>
    <x v="0"/>
    <x v="53"/>
    <x v="2"/>
    <x v="1"/>
    <s v="FUR-TA-10001095"/>
    <x v="0"/>
    <x v="2"/>
    <x v="129"/>
    <n v="557.72799999999995"/>
    <n v="4"/>
    <n v="6.9715999999999996"/>
    <x v="11"/>
  </r>
  <r>
    <x v="1439"/>
    <x v="375"/>
    <d v="2014-01-29T00:00:00"/>
    <x v="2"/>
    <s v="CA-11965"/>
    <s v="Carol Adams"/>
    <s v="Corporate"/>
    <x v="0"/>
    <x v="338"/>
    <x v="40"/>
    <x v="3"/>
    <s v="FUR-BO-10004409"/>
    <x v="0"/>
    <x v="0"/>
    <x v="134"/>
    <n v="141.96"/>
    <n v="2"/>
    <n v="39.748800000000003"/>
    <x v="8"/>
  </r>
  <r>
    <x v="1440"/>
    <x v="803"/>
    <d v="2016-10-09T00:00:00"/>
    <x v="1"/>
    <s v="MS-17830"/>
    <s v="Melanie Seite"/>
    <s v="Consumer"/>
    <x v="0"/>
    <x v="237"/>
    <x v="32"/>
    <x v="2"/>
    <s v="FUR-TA-10002622"/>
    <x v="0"/>
    <x v="2"/>
    <x v="194"/>
    <n v="239.37200000000001"/>
    <n v="2"/>
    <n v="-23.937200000000001"/>
    <x v="1"/>
  </r>
  <r>
    <x v="1441"/>
    <x v="285"/>
    <d v="2016-02-20T00:00:00"/>
    <x v="1"/>
    <s v="JD-15790"/>
    <s v="John Dryer"/>
    <s v="Consumer"/>
    <x v="0"/>
    <x v="31"/>
    <x v="18"/>
    <x v="2"/>
    <s v="FUR-CH-10001545"/>
    <x v="0"/>
    <x v="1"/>
    <x v="361"/>
    <n v="227.96"/>
    <n v="2"/>
    <n v="36.473599999999998"/>
    <x v="11"/>
  </r>
  <r>
    <x v="1442"/>
    <x v="46"/>
    <d v="2015-11-06T00:00:00"/>
    <x v="1"/>
    <s v="LT-17110"/>
    <s v="Liz Thompson"/>
    <s v="Consumer"/>
    <x v="0"/>
    <x v="53"/>
    <x v="2"/>
    <x v="1"/>
    <s v="FUR-FU-10004909"/>
    <x v="0"/>
    <x v="3"/>
    <x v="267"/>
    <n v="96.96"/>
    <n v="6"/>
    <n v="33.936"/>
    <x v="0"/>
  </r>
  <r>
    <x v="1442"/>
    <x v="46"/>
    <d v="2015-11-06T00:00:00"/>
    <x v="1"/>
    <s v="LT-17110"/>
    <s v="Liz Thompson"/>
    <s v="Consumer"/>
    <x v="0"/>
    <x v="53"/>
    <x v="2"/>
    <x v="1"/>
    <s v="FUR-BO-10004357"/>
    <x v="0"/>
    <x v="0"/>
    <x v="268"/>
    <n v="512.49900000000002"/>
    <n v="3"/>
    <n v="-30.146999999999998"/>
    <x v="0"/>
  </r>
  <r>
    <x v="1443"/>
    <x v="581"/>
    <d v="2016-08-05T00:00:00"/>
    <x v="1"/>
    <s v="AH-10690"/>
    <s v="Anna HŠberlin"/>
    <s v="Corporate"/>
    <x v="0"/>
    <x v="28"/>
    <x v="2"/>
    <x v="1"/>
    <s v="FUR-TA-10002774"/>
    <x v="0"/>
    <x v="2"/>
    <x v="121"/>
    <n v="863.12800000000004"/>
    <n v="7"/>
    <n v="-32.3673"/>
    <x v="3"/>
  </r>
  <r>
    <x v="1444"/>
    <x v="200"/>
    <d v="2017-11-13T00:00:00"/>
    <x v="1"/>
    <s v="AB-10060"/>
    <s v="Adam Bellavance"/>
    <s v="Home Office"/>
    <x v="0"/>
    <x v="15"/>
    <x v="13"/>
    <x v="1"/>
    <s v="FUR-TA-10004575"/>
    <x v="0"/>
    <x v="2"/>
    <x v="67"/>
    <n v="2036.86"/>
    <n v="7"/>
    <n v="366.63479999999998"/>
    <x v="0"/>
  </r>
  <r>
    <x v="1444"/>
    <x v="200"/>
    <d v="2017-11-13T00:00:00"/>
    <x v="1"/>
    <s v="AB-10060"/>
    <s v="Adam Bellavance"/>
    <s v="Home Office"/>
    <x v="0"/>
    <x v="15"/>
    <x v="13"/>
    <x v="1"/>
    <s v="FUR-CH-10003312"/>
    <x v="0"/>
    <x v="1"/>
    <x v="66"/>
    <n v="449.56799999999998"/>
    <n v="2"/>
    <n v="-73.0548"/>
    <x v="0"/>
  </r>
  <r>
    <x v="1445"/>
    <x v="601"/>
    <d v="2015-08-06T00:00:00"/>
    <x v="1"/>
    <s v="DK-12985"/>
    <s v="Darren Koutras"/>
    <s v="Consumer"/>
    <x v="0"/>
    <x v="76"/>
    <x v="36"/>
    <x v="1"/>
    <s v="FUR-TA-10003469"/>
    <x v="0"/>
    <x v="2"/>
    <x v="320"/>
    <n v="277.5"/>
    <n v="4"/>
    <n v="-188.7"/>
    <x v="10"/>
  </r>
  <r>
    <x v="1446"/>
    <x v="32"/>
    <d v="2015-11-25T00:00:00"/>
    <x v="1"/>
    <s v="SS-20410"/>
    <s v="Shahid Shariari"/>
    <s v="Consumer"/>
    <x v="0"/>
    <x v="3"/>
    <x v="3"/>
    <x v="2"/>
    <s v="FUR-TA-10002958"/>
    <x v="0"/>
    <x v="2"/>
    <x v="192"/>
    <n v="1252.704"/>
    <n v="8"/>
    <n v="-480.20319999999998"/>
    <x v="0"/>
  </r>
  <r>
    <x v="1447"/>
    <x v="514"/>
    <d v="2017-05-22T00:00:00"/>
    <x v="1"/>
    <s v="BM-11575"/>
    <s v="Brendan Murry"/>
    <s v="Corporate"/>
    <x v="0"/>
    <x v="9"/>
    <x v="8"/>
    <x v="3"/>
    <s v="FUR-FU-10004973"/>
    <x v="0"/>
    <x v="3"/>
    <x v="223"/>
    <n v="22.608000000000001"/>
    <n v="3"/>
    <n v="-10.1736"/>
    <x v="7"/>
  </r>
  <r>
    <x v="1447"/>
    <x v="514"/>
    <d v="2017-05-22T00:00:00"/>
    <x v="1"/>
    <s v="BM-11575"/>
    <s v="Brendan Murry"/>
    <s v="Corporate"/>
    <x v="0"/>
    <x v="9"/>
    <x v="8"/>
    <x v="3"/>
    <s v="FUR-FU-10001918"/>
    <x v="0"/>
    <x v="3"/>
    <x v="60"/>
    <n v="1.8919999999999999"/>
    <n v="1"/>
    <n v="-0.99329999999999996"/>
    <x v="7"/>
  </r>
  <r>
    <x v="1448"/>
    <x v="615"/>
    <d v="2015-09-17T00:00:00"/>
    <x v="0"/>
    <s v="AG-10900"/>
    <s v="Arthur Gainer"/>
    <s v="Consumer"/>
    <x v="0"/>
    <x v="9"/>
    <x v="8"/>
    <x v="3"/>
    <s v="FUR-CH-10003817"/>
    <x v="0"/>
    <x v="1"/>
    <x v="33"/>
    <n v="170.072"/>
    <n v="4"/>
    <n v="-12.148"/>
    <x v="4"/>
  </r>
  <r>
    <x v="1449"/>
    <x v="429"/>
    <d v="2017-11-21T00:00:00"/>
    <x v="1"/>
    <s v="CC-12370"/>
    <s v="Christopher Conant"/>
    <s v="Consumer"/>
    <x v="0"/>
    <x v="13"/>
    <x v="7"/>
    <x v="2"/>
    <s v="FUR-FU-10004091"/>
    <x v="0"/>
    <x v="3"/>
    <x v="54"/>
    <n v="187.76"/>
    <n v="4"/>
    <n v="76.9816"/>
    <x v="0"/>
  </r>
  <r>
    <x v="1450"/>
    <x v="737"/>
    <d v="2015-12-03T00:00:00"/>
    <x v="2"/>
    <s v="LR-16915"/>
    <s v="Lena Radford"/>
    <s v="Consumer"/>
    <x v="0"/>
    <x v="339"/>
    <x v="30"/>
    <x v="0"/>
    <s v="FUR-FU-10000576"/>
    <x v="0"/>
    <x v="3"/>
    <x v="46"/>
    <n v="335.74400000000003"/>
    <n v="2"/>
    <n v="25.180800000000001"/>
    <x v="0"/>
  </r>
  <r>
    <x v="1451"/>
    <x v="428"/>
    <d v="2015-11-08T00:00:00"/>
    <x v="3"/>
    <s v="KD-16495"/>
    <s v="Keith Dawkins"/>
    <s v="Corporate"/>
    <x v="0"/>
    <x v="13"/>
    <x v="7"/>
    <x v="2"/>
    <s v="FUR-FU-10002240"/>
    <x v="0"/>
    <x v="3"/>
    <x v="368"/>
    <n v="11.82"/>
    <n v="3"/>
    <n v="4.7279999999999998"/>
    <x v="0"/>
  </r>
  <r>
    <x v="1451"/>
    <x v="428"/>
    <d v="2015-11-08T00:00:00"/>
    <x v="3"/>
    <s v="KD-16495"/>
    <s v="Keith Dawkins"/>
    <s v="Corporate"/>
    <x v="0"/>
    <x v="13"/>
    <x v="7"/>
    <x v="2"/>
    <s v="FUR-CH-10003746"/>
    <x v="0"/>
    <x v="1"/>
    <x v="131"/>
    <n v="577.76400000000001"/>
    <n v="2"/>
    <n v="115.5528"/>
    <x v="0"/>
  </r>
  <r>
    <x v="1452"/>
    <x v="12"/>
    <d v="2015-04-30T00:00:00"/>
    <x v="1"/>
    <s v="SA-20830"/>
    <s v="Sue Ann Reed"/>
    <s v="Consumer"/>
    <x v="0"/>
    <x v="340"/>
    <x v="1"/>
    <x v="0"/>
    <s v="FUR-TA-10000577"/>
    <x v="0"/>
    <x v="2"/>
    <x v="2"/>
    <n v="191.5155"/>
    <n v="1"/>
    <n v="-76.606200000000001"/>
    <x v="6"/>
  </r>
  <r>
    <x v="1453"/>
    <x v="267"/>
    <d v="2016-11-12T00:00:00"/>
    <x v="1"/>
    <s v="MC-17845"/>
    <s v="Michael Chen"/>
    <s v="Consumer"/>
    <x v="0"/>
    <x v="144"/>
    <x v="5"/>
    <x v="3"/>
    <s v="FUR-FU-10002030"/>
    <x v="0"/>
    <x v="3"/>
    <x v="377"/>
    <n v="44.46"/>
    <n v="5"/>
    <n v="-17.783999999999999"/>
    <x v="0"/>
  </r>
  <r>
    <x v="1454"/>
    <x v="215"/>
    <d v="2014-10-07T00:00:00"/>
    <x v="1"/>
    <s v="RD-19930"/>
    <s v="Russell D'Ascenzo"/>
    <s v="Consumer"/>
    <x v="0"/>
    <x v="144"/>
    <x v="5"/>
    <x v="3"/>
    <s v="FUR-FU-10000758"/>
    <x v="0"/>
    <x v="3"/>
    <x v="207"/>
    <n v="31.776"/>
    <n v="3"/>
    <n v="-19.0656"/>
    <x v="1"/>
  </r>
  <r>
    <x v="1455"/>
    <x v="804"/>
    <d v="2016-04-08T00:00:00"/>
    <x v="0"/>
    <s v="BC-11125"/>
    <s v="Becky Castell"/>
    <s v="Home Office"/>
    <x v="0"/>
    <x v="8"/>
    <x v="7"/>
    <x v="2"/>
    <s v="FUR-FU-10000723"/>
    <x v="0"/>
    <x v="3"/>
    <x v="100"/>
    <n v="82.64"/>
    <n v="2"/>
    <n v="7.4375999999999998"/>
    <x v="6"/>
  </r>
  <r>
    <x v="1456"/>
    <x v="805"/>
    <d v="2016-07-02T00:00:00"/>
    <x v="0"/>
    <s v="PF-19165"/>
    <s v="Philip Fox"/>
    <s v="Consumer"/>
    <x v="0"/>
    <x v="244"/>
    <x v="24"/>
    <x v="0"/>
    <s v="FUR-BO-10004695"/>
    <x v="0"/>
    <x v="0"/>
    <x v="38"/>
    <n v="1266.8599999999999"/>
    <n v="7"/>
    <n v="291.37779999999998"/>
    <x v="2"/>
  </r>
  <r>
    <x v="1457"/>
    <x v="806"/>
    <d v="2017-05-06T00:00:00"/>
    <x v="1"/>
    <s v="CJ-12010"/>
    <s v="Caroline Jumper"/>
    <s v="Consumer"/>
    <x v="0"/>
    <x v="51"/>
    <x v="1"/>
    <x v="0"/>
    <s v="FUR-TA-10001889"/>
    <x v="0"/>
    <x v="2"/>
    <x v="87"/>
    <n v="933.26199999999994"/>
    <n v="4"/>
    <n v="-458.14679999999998"/>
    <x v="7"/>
  </r>
  <r>
    <x v="1457"/>
    <x v="806"/>
    <d v="2017-05-06T00:00:00"/>
    <x v="1"/>
    <s v="CJ-12010"/>
    <s v="Caroline Jumper"/>
    <s v="Consumer"/>
    <x v="0"/>
    <x v="51"/>
    <x v="1"/>
    <x v="0"/>
    <s v="FUR-CH-10002024"/>
    <x v="0"/>
    <x v="1"/>
    <x v="101"/>
    <n v="2803.92"/>
    <n v="5"/>
    <n v="0"/>
    <x v="7"/>
  </r>
  <r>
    <x v="1458"/>
    <x v="71"/>
    <d v="2017-10-20T00:00:00"/>
    <x v="3"/>
    <s v="PT-19090"/>
    <s v="Pete Takahito"/>
    <s v="Consumer"/>
    <x v="0"/>
    <x v="51"/>
    <x v="1"/>
    <x v="0"/>
    <s v="FUR-FU-10000175"/>
    <x v="0"/>
    <x v="3"/>
    <x v="338"/>
    <n v="43.936"/>
    <n v="4"/>
    <n v="6.0411999999999999"/>
    <x v="1"/>
  </r>
  <r>
    <x v="1459"/>
    <x v="807"/>
    <d v="2014-08-16T00:00:00"/>
    <x v="1"/>
    <s v="BW-11200"/>
    <s v="Ben Wallace"/>
    <s v="Consumer"/>
    <x v="0"/>
    <x v="28"/>
    <x v="2"/>
    <x v="1"/>
    <s v="FUR-FU-10002878"/>
    <x v="0"/>
    <x v="3"/>
    <x v="220"/>
    <n v="85.44"/>
    <n v="3"/>
    <n v="31.6128"/>
    <x v="10"/>
  </r>
  <r>
    <x v="1460"/>
    <x v="298"/>
    <d v="2015-03-09T00:00:00"/>
    <x v="0"/>
    <s v="MS-17365"/>
    <s v="Maribeth Schnelling"/>
    <s v="Consumer"/>
    <x v="0"/>
    <x v="9"/>
    <x v="8"/>
    <x v="3"/>
    <s v="FUR-FU-10000023"/>
    <x v="0"/>
    <x v="3"/>
    <x v="70"/>
    <n v="4.7119999999999997"/>
    <n v="2"/>
    <n v="-1.8848"/>
    <x v="9"/>
  </r>
  <r>
    <x v="1461"/>
    <x v="129"/>
    <d v="2017-02-06T00:00:00"/>
    <x v="1"/>
    <s v="LP-17095"/>
    <s v="Liz Preis"/>
    <s v="Consumer"/>
    <x v="0"/>
    <x v="14"/>
    <x v="8"/>
    <x v="3"/>
    <s v="FUR-TA-10003469"/>
    <x v="0"/>
    <x v="2"/>
    <x v="320"/>
    <n v="69.375"/>
    <n v="1"/>
    <n v="-47.174999999999997"/>
    <x v="8"/>
  </r>
  <r>
    <x v="1462"/>
    <x v="683"/>
    <d v="2016-12-31T00:00:00"/>
    <x v="1"/>
    <s v="JE-15715"/>
    <s v="Joe Elijah"/>
    <s v="Consumer"/>
    <x v="0"/>
    <x v="13"/>
    <x v="7"/>
    <x v="2"/>
    <s v="FUR-CH-10002331"/>
    <x v="0"/>
    <x v="1"/>
    <x v="86"/>
    <n v="2563.056"/>
    <n v="8"/>
    <n v="313.26240000000001"/>
    <x v="5"/>
  </r>
  <r>
    <x v="1463"/>
    <x v="697"/>
    <d v="2016-10-25T00:00:00"/>
    <x v="1"/>
    <s v="MY-18295"/>
    <s v="Muhammed Yedwab"/>
    <s v="Corporate"/>
    <x v="0"/>
    <x v="311"/>
    <x v="2"/>
    <x v="1"/>
    <s v="FUR-CH-10001802"/>
    <x v="0"/>
    <x v="1"/>
    <x v="352"/>
    <n v="387.13600000000002"/>
    <n v="4"/>
    <n v="4.8391999999999999"/>
    <x v="1"/>
  </r>
  <r>
    <x v="1464"/>
    <x v="808"/>
    <d v="2017-05-10T00:00:00"/>
    <x v="2"/>
    <s v="MC-17605"/>
    <s v="Matt Connell"/>
    <s v="Corporate"/>
    <x v="0"/>
    <x v="51"/>
    <x v="30"/>
    <x v="0"/>
    <s v="FUR-CH-10001270"/>
    <x v="0"/>
    <x v="1"/>
    <x v="170"/>
    <n v="207"/>
    <n v="3"/>
    <n v="25.875"/>
    <x v="7"/>
  </r>
  <r>
    <x v="1465"/>
    <x v="170"/>
    <d v="2015-12-26T00:00:00"/>
    <x v="0"/>
    <s v="SZ-20035"/>
    <s v="Sam Zeldin"/>
    <s v="Home Office"/>
    <x v="0"/>
    <x v="317"/>
    <x v="8"/>
    <x v="3"/>
    <s v="FUR-FU-10003039"/>
    <x v="0"/>
    <x v="3"/>
    <x v="102"/>
    <n v="51.756"/>
    <n v="3"/>
    <n v="-33.641399999999997"/>
    <x v="5"/>
  </r>
  <r>
    <x v="1466"/>
    <x v="379"/>
    <d v="2015-07-11T00:00:00"/>
    <x v="1"/>
    <s v="RS-19765"/>
    <s v="Roland Schwarz"/>
    <s v="Corporate"/>
    <x v="0"/>
    <x v="127"/>
    <x v="30"/>
    <x v="0"/>
    <s v="FUR-FU-10003829"/>
    <x v="0"/>
    <x v="3"/>
    <x v="275"/>
    <n v="4.9279999999999999"/>
    <n v="2"/>
    <n v="0.73919999999999997"/>
    <x v="3"/>
  </r>
  <r>
    <x v="1467"/>
    <x v="809"/>
    <d v="2017-08-01T00:00:00"/>
    <x v="1"/>
    <s v="GZ-14545"/>
    <s v="George Zrebassa"/>
    <s v="Corporate"/>
    <x v="0"/>
    <x v="2"/>
    <x v="2"/>
    <x v="1"/>
    <s v="FUR-CH-10000665"/>
    <x v="0"/>
    <x v="1"/>
    <x v="140"/>
    <n v="362.35199999999998"/>
    <n v="3"/>
    <n v="45.293999999999997"/>
    <x v="3"/>
  </r>
  <r>
    <x v="1468"/>
    <x v="54"/>
    <d v="2017-11-09T00:00:00"/>
    <x v="1"/>
    <s v="BG-11740"/>
    <s v="Bruce Geld"/>
    <s v="Consumer"/>
    <x v="0"/>
    <x v="175"/>
    <x v="2"/>
    <x v="1"/>
    <s v="FUR-TA-10001086"/>
    <x v="0"/>
    <x v="2"/>
    <x v="360"/>
    <n v="486.36799999999999"/>
    <n v="4"/>
    <n v="36.477600000000002"/>
    <x v="0"/>
  </r>
  <r>
    <x v="1469"/>
    <x v="29"/>
    <d v="2014-03-07T00:00:00"/>
    <x v="1"/>
    <s v="GW-14605"/>
    <s v="Giulietta Weimer"/>
    <s v="Consumer"/>
    <x v="0"/>
    <x v="6"/>
    <x v="5"/>
    <x v="3"/>
    <s v="FUR-TA-10001866"/>
    <x v="0"/>
    <x v="2"/>
    <x v="251"/>
    <n v="376.50900000000001"/>
    <n v="3"/>
    <n v="-43.029600000000002"/>
    <x v="9"/>
  </r>
  <r>
    <x v="1470"/>
    <x v="810"/>
    <d v="2017-01-31T00:00:00"/>
    <x v="1"/>
    <s v="BD-11500"/>
    <s v="Bradley Drucker"/>
    <s v="Consumer"/>
    <x v="0"/>
    <x v="29"/>
    <x v="24"/>
    <x v="0"/>
    <s v="FUR-FU-10002157"/>
    <x v="0"/>
    <x v="3"/>
    <x v="26"/>
    <n v="62.72"/>
    <n v="4"/>
    <n v="24.460799999999999"/>
    <x v="8"/>
  </r>
  <r>
    <x v="1471"/>
    <x v="56"/>
    <d v="2014-07-16T00:00:00"/>
    <x v="1"/>
    <s v="PV-18985"/>
    <s v="Paul Van Hugh"/>
    <s v="Home Office"/>
    <x v="0"/>
    <x v="256"/>
    <x v="5"/>
    <x v="3"/>
    <s v="FUR-CH-10002126"/>
    <x v="0"/>
    <x v="1"/>
    <x v="168"/>
    <n v="512.35799999999995"/>
    <n v="3"/>
    <n v="-14.6388"/>
    <x v="3"/>
  </r>
  <r>
    <x v="1472"/>
    <x v="811"/>
    <d v="2016-03-12T00:00:00"/>
    <x v="2"/>
    <s v="PS-18760"/>
    <s v="Pamela Stobb"/>
    <s v="Consumer"/>
    <x v="0"/>
    <x v="341"/>
    <x v="20"/>
    <x v="2"/>
    <s v="FUR-CH-10002647"/>
    <x v="0"/>
    <x v="1"/>
    <x v="99"/>
    <n v="354.9"/>
    <n v="5"/>
    <n v="88.724999999999994"/>
    <x v="9"/>
  </r>
  <r>
    <x v="1473"/>
    <x v="812"/>
    <d v="2017-04-17T00:00:00"/>
    <x v="1"/>
    <s v="YS-21880"/>
    <s v="Yana Sorensen"/>
    <s v="Corporate"/>
    <x v="0"/>
    <x v="170"/>
    <x v="2"/>
    <x v="1"/>
    <s v="FUR-CH-10003774"/>
    <x v="0"/>
    <x v="1"/>
    <x v="234"/>
    <n v="436.70400000000001"/>
    <n v="6"/>
    <n v="-38.211599999999997"/>
    <x v="6"/>
  </r>
  <r>
    <x v="1474"/>
    <x v="813"/>
    <d v="2014-03-25T00:00:00"/>
    <x v="1"/>
    <s v="GM-14440"/>
    <s v="Gary McGarr"/>
    <s v="Consumer"/>
    <x v="0"/>
    <x v="270"/>
    <x v="9"/>
    <x v="0"/>
    <s v="FUR-FU-10001473"/>
    <x v="0"/>
    <x v="3"/>
    <x v="198"/>
    <n v="32.951999999999998"/>
    <n v="3"/>
    <n v="6.5903999999999998"/>
    <x v="9"/>
  </r>
  <r>
    <x v="1474"/>
    <x v="813"/>
    <d v="2014-03-25T00:00:00"/>
    <x v="1"/>
    <s v="GM-14440"/>
    <s v="Gary McGarr"/>
    <s v="Consumer"/>
    <x v="0"/>
    <x v="270"/>
    <x v="9"/>
    <x v="0"/>
    <s v="FUR-CH-10000422"/>
    <x v="0"/>
    <x v="1"/>
    <x v="287"/>
    <n v="218.376"/>
    <n v="3"/>
    <n v="-10.918799999999999"/>
    <x v="9"/>
  </r>
  <r>
    <x v="1475"/>
    <x v="11"/>
    <d v="2015-05-04T00:00:00"/>
    <x v="1"/>
    <s v="JW-15220"/>
    <s v="Jane Waco"/>
    <s v="Corporate"/>
    <x v="0"/>
    <x v="37"/>
    <x v="20"/>
    <x v="2"/>
    <s v="FUR-FU-10002960"/>
    <x v="0"/>
    <x v="3"/>
    <x v="37"/>
    <n v="31.4"/>
    <n v="5"/>
    <n v="13.188000000000001"/>
    <x v="6"/>
  </r>
  <r>
    <x v="1475"/>
    <x v="11"/>
    <d v="2015-05-04T00:00:00"/>
    <x v="1"/>
    <s v="JW-15220"/>
    <s v="Jane Waco"/>
    <s v="Corporate"/>
    <x v="0"/>
    <x v="37"/>
    <x v="20"/>
    <x v="2"/>
    <s v="FUR-FU-10002445"/>
    <x v="0"/>
    <x v="3"/>
    <x v="292"/>
    <n v="9.48"/>
    <n v="1"/>
    <n v="3.7919999999999998"/>
    <x v="6"/>
  </r>
  <r>
    <x v="1475"/>
    <x v="11"/>
    <d v="2015-05-04T00:00:00"/>
    <x v="1"/>
    <s v="JW-15220"/>
    <s v="Jane Waco"/>
    <s v="Corporate"/>
    <x v="0"/>
    <x v="37"/>
    <x v="20"/>
    <x v="2"/>
    <s v="FUR-FU-10001025"/>
    <x v="0"/>
    <x v="3"/>
    <x v="354"/>
    <n v="24.3"/>
    <n v="5"/>
    <n v="10.449"/>
    <x v="6"/>
  </r>
  <r>
    <x v="1476"/>
    <x v="814"/>
    <d v="2017-05-08T00:00:00"/>
    <x v="1"/>
    <s v="BO-11350"/>
    <s v="Bill Overfelt"/>
    <s v="Corporate"/>
    <x v="0"/>
    <x v="3"/>
    <x v="3"/>
    <x v="2"/>
    <s v="FUR-FU-10004245"/>
    <x v="0"/>
    <x v="3"/>
    <x v="362"/>
    <n v="32.448"/>
    <n v="2"/>
    <n v="7.3007999999999997"/>
    <x v="7"/>
  </r>
  <r>
    <x v="1476"/>
    <x v="814"/>
    <d v="2017-05-08T00:00:00"/>
    <x v="1"/>
    <s v="BO-11350"/>
    <s v="Bill Overfelt"/>
    <s v="Corporate"/>
    <x v="0"/>
    <x v="3"/>
    <x v="3"/>
    <x v="2"/>
    <s v="FUR-TA-10003748"/>
    <x v="0"/>
    <x v="2"/>
    <x v="40"/>
    <n v="373.47"/>
    <n v="5"/>
    <n v="-112.041"/>
    <x v="7"/>
  </r>
  <r>
    <x v="1477"/>
    <x v="238"/>
    <d v="2016-08-30T00:00:00"/>
    <x v="1"/>
    <s v="XP-21865"/>
    <s v="Xylona Preis"/>
    <s v="Consumer"/>
    <x v="0"/>
    <x v="342"/>
    <x v="24"/>
    <x v="0"/>
    <s v="FUR-FU-10000308"/>
    <x v="0"/>
    <x v="3"/>
    <x v="250"/>
    <n v="186.54"/>
    <n v="3"/>
    <n v="41.038800000000002"/>
    <x v="10"/>
  </r>
  <r>
    <x v="1478"/>
    <x v="815"/>
    <d v="2017-01-04T00:00:00"/>
    <x v="0"/>
    <s v="TS-21655"/>
    <s v="Trudy Schmidt"/>
    <s v="Consumer"/>
    <x v="0"/>
    <x v="116"/>
    <x v="5"/>
    <x v="3"/>
    <s v="FUR-TA-10002958"/>
    <x v="0"/>
    <x v="2"/>
    <x v="192"/>
    <n v="913.43"/>
    <n v="5"/>
    <n v="-169.637"/>
    <x v="8"/>
  </r>
  <r>
    <x v="1479"/>
    <x v="354"/>
    <d v="2016-06-16T00:00:00"/>
    <x v="1"/>
    <s v="SV-20365"/>
    <s v="Seth Vernon"/>
    <s v="Consumer"/>
    <x v="0"/>
    <x v="2"/>
    <x v="2"/>
    <x v="1"/>
    <s v="FUR-TA-10003473"/>
    <x v="0"/>
    <x v="2"/>
    <x v="44"/>
    <n v="902.71199999999999"/>
    <n v="3"/>
    <n v="33.851700000000001"/>
    <x v="2"/>
  </r>
  <r>
    <x v="1480"/>
    <x v="816"/>
    <d v="2016-10-21T00:00:00"/>
    <x v="1"/>
    <s v="MG-17890"/>
    <s v="Michael Granlund"/>
    <s v="Home Office"/>
    <x v="0"/>
    <x v="99"/>
    <x v="2"/>
    <x v="1"/>
    <s v="FUR-BO-10003894"/>
    <x v="0"/>
    <x v="0"/>
    <x v="336"/>
    <n v="120.666"/>
    <n v="2"/>
    <n v="21.294"/>
    <x v="1"/>
  </r>
  <r>
    <x v="1481"/>
    <x v="243"/>
    <d v="2016-12-01T00:00:00"/>
    <x v="1"/>
    <s v="SC-20680"/>
    <s v="Steve Carroll"/>
    <s v="Home Office"/>
    <x v="0"/>
    <x v="15"/>
    <x v="13"/>
    <x v="1"/>
    <s v="FUR-FU-10003535"/>
    <x v="0"/>
    <x v="3"/>
    <x v="182"/>
    <n v="82.26"/>
    <n v="3"/>
    <n v="33.726599999999998"/>
    <x v="0"/>
  </r>
  <r>
    <x v="1482"/>
    <x v="817"/>
    <d v="2016-02-15T00:00:00"/>
    <x v="1"/>
    <s v="MH-17440"/>
    <s v="Mark Haberlin"/>
    <s v="Corporate"/>
    <x v="0"/>
    <x v="6"/>
    <x v="5"/>
    <x v="3"/>
    <s v="FUR-CH-10001270"/>
    <x v="0"/>
    <x v="1"/>
    <x v="170"/>
    <n v="241.5"/>
    <n v="4"/>
    <n v="0"/>
    <x v="11"/>
  </r>
  <r>
    <x v="1483"/>
    <x v="340"/>
    <d v="2017-12-30T00:00:00"/>
    <x v="1"/>
    <s v="JB-16045"/>
    <s v="Julia Barnett"/>
    <s v="Home Office"/>
    <x v="0"/>
    <x v="343"/>
    <x v="19"/>
    <x v="2"/>
    <s v="FUR-FU-10001473"/>
    <x v="0"/>
    <x v="3"/>
    <x v="198"/>
    <n v="27.46"/>
    <n v="2"/>
    <n v="9.8856000000000002"/>
    <x v="5"/>
  </r>
  <r>
    <x v="1484"/>
    <x v="193"/>
    <d v="2016-12-06T00:00:00"/>
    <x v="0"/>
    <s v="EJ-14155"/>
    <s v="Eva Jacobs"/>
    <s v="Consumer"/>
    <x v="0"/>
    <x v="20"/>
    <x v="20"/>
    <x v="2"/>
    <s v="FUR-FU-10002045"/>
    <x v="0"/>
    <x v="3"/>
    <x v="271"/>
    <n v="111.15"/>
    <n v="5"/>
    <n v="48.905999999999999"/>
    <x v="5"/>
  </r>
  <r>
    <x v="1484"/>
    <x v="193"/>
    <d v="2016-12-06T00:00:00"/>
    <x v="0"/>
    <s v="EJ-14155"/>
    <s v="Eva Jacobs"/>
    <s v="Consumer"/>
    <x v="0"/>
    <x v="20"/>
    <x v="20"/>
    <x v="2"/>
    <s v="FUR-TA-10001095"/>
    <x v="0"/>
    <x v="2"/>
    <x v="129"/>
    <n v="366.00900000000001"/>
    <n v="3"/>
    <n v="-47.058300000000003"/>
    <x v="5"/>
  </r>
  <r>
    <x v="1485"/>
    <x v="575"/>
    <d v="2017-11-07T00:00:00"/>
    <x v="0"/>
    <s v="SR-20425"/>
    <s v="Sharelle Roach"/>
    <s v="Home Office"/>
    <x v="0"/>
    <x v="76"/>
    <x v="15"/>
    <x v="2"/>
    <s v="FUR-CH-10001973"/>
    <x v="0"/>
    <x v="1"/>
    <x v="183"/>
    <n v="155.37200000000001"/>
    <n v="2"/>
    <n v="-35.513599999999997"/>
    <x v="0"/>
  </r>
  <r>
    <x v="1486"/>
    <x v="482"/>
    <d v="2015-12-09T00:00:00"/>
    <x v="0"/>
    <s v="BD-11635"/>
    <s v="Brian Derr"/>
    <s v="Consumer"/>
    <x v="0"/>
    <x v="13"/>
    <x v="7"/>
    <x v="2"/>
    <s v="FUR-CH-10003535"/>
    <x v="0"/>
    <x v="1"/>
    <x v="312"/>
    <n v="164.64599999999999"/>
    <n v="3"/>
    <n v="12.8058"/>
    <x v="5"/>
  </r>
  <r>
    <x v="1487"/>
    <x v="220"/>
    <d v="2017-07-12T00:00:00"/>
    <x v="1"/>
    <s v="HE-14800"/>
    <s v="Harold Engle"/>
    <s v="Corporate"/>
    <x v="0"/>
    <x v="19"/>
    <x v="14"/>
    <x v="2"/>
    <s v="FUR-FU-10003247"/>
    <x v="0"/>
    <x v="3"/>
    <x v="298"/>
    <n v="83.92"/>
    <n v="4"/>
    <n v="5.8743999999999996"/>
    <x v="3"/>
  </r>
  <r>
    <x v="1487"/>
    <x v="220"/>
    <d v="2017-07-12T00:00:00"/>
    <x v="1"/>
    <s v="HE-14800"/>
    <s v="Harold Engle"/>
    <s v="Corporate"/>
    <x v="0"/>
    <x v="19"/>
    <x v="14"/>
    <x v="2"/>
    <s v="FUR-FU-10001057"/>
    <x v="0"/>
    <x v="3"/>
    <x v="369"/>
    <n v="39.979999999999997"/>
    <n v="2"/>
    <n v="9.1953999999999994"/>
    <x v="3"/>
  </r>
  <r>
    <x v="1488"/>
    <x v="818"/>
    <d v="2016-11-15T00:00:00"/>
    <x v="3"/>
    <s v="ON-18715"/>
    <s v="Odella Nelson"/>
    <s v="Corporate"/>
    <x v="0"/>
    <x v="259"/>
    <x v="30"/>
    <x v="0"/>
    <s v="FUR-TA-10001768"/>
    <x v="0"/>
    <x v="2"/>
    <x v="25"/>
    <n v="630.024"/>
    <n v="4"/>
    <n v="-199.5076"/>
    <x v="0"/>
  </r>
  <r>
    <x v="1489"/>
    <x v="203"/>
    <d v="2017-03-14T00:00:00"/>
    <x v="1"/>
    <s v="MD-17350"/>
    <s v="Maribeth Dona"/>
    <s v="Consumer"/>
    <x v="0"/>
    <x v="144"/>
    <x v="5"/>
    <x v="3"/>
    <s v="FUR-TA-10002228"/>
    <x v="0"/>
    <x v="2"/>
    <x v="126"/>
    <n v="933.40800000000002"/>
    <n v="4"/>
    <n v="-173.34719999999999"/>
    <x v="9"/>
  </r>
  <r>
    <x v="1490"/>
    <x v="808"/>
    <d v="2017-05-11T00:00:00"/>
    <x v="2"/>
    <s v="LB-16795"/>
    <s v="Laurel Beltran"/>
    <s v="Home Office"/>
    <x v="0"/>
    <x v="15"/>
    <x v="13"/>
    <x v="1"/>
    <s v="FUR-TA-10004154"/>
    <x v="0"/>
    <x v="2"/>
    <x v="149"/>
    <n v="286.85000000000002"/>
    <n v="1"/>
    <n v="63.106999999999999"/>
    <x v="7"/>
  </r>
  <r>
    <x v="1491"/>
    <x v="176"/>
    <d v="2017-10-16T00:00:00"/>
    <x v="1"/>
    <s v="NP-18670"/>
    <s v="Nora Paige"/>
    <s v="Consumer"/>
    <x v="0"/>
    <x v="174"/>
    <x v="18"/>
    <x v="2"/>
    <s v="FUR-FU-10004053"/>
    <x v="0"/>
    <x v="3"/>
    <x v="339"/>
    <n v="40.479999999999997"/>
    <n v="2"/>
    <n v="17.406400000000001"/>
    <x v="1"/>
  </r>
  <r>
    <x v="1491"/>
    <x v="176"/>
    <d v="2017-10-16T00:00:00"/>
    <x v="1"/>
    <s v="NP-18670"/>
    <s v="Nora Paige"/>
    <s v="Consumer"/>
    <x v="0"/>
    <x v="174"/>
    <x v="18"/>
    <x v="2"/>
    <s v="FUR-BO-10003404"/>
    <x v="0"/>
    <x v="0"/>
    <x v="277"/>
    <n v="2154.9"/>
    <n v="5"/>
    <n v="129.29400000000001"/>
    <x v="1"/>
  </r>
  <r>
    <x v="1492"/>
    <x v="645"/>
    <d v="2016-12-21T00:00:00"/>
    <x v="0"/>
    <s v="CL-12565"/>
    <s v="Clay Ludtke"/>
    <s v="Consumer"/>
    <x v="0"/>
    <x v="288"/>
    <x v="3"/>
    <x v="2"/>
    <s v="FUR-FU-10004904"/>
    <x v="0"/>
    <x v="3"/>
    <x v="325"/>
    <n v="303.92"/>
    <n v="5"/>
    <n v="-30.391999999999999"/>
    <x v="5"/>
  </r>
  <r>
    <x v="1493"/>
    <x v="819"/>
    <d v="2017-11-13T00:00:00"/>
    <x v="1"/>
    <s v="KN-16450"/>
    <s v="Kean Nguyen"/>
    <s v="Corporate"/>
    <x v="0"/>
    <x v="237"/>
    <x v="32"/>
    <x v="2"/>
    <s v="FUR-FU-10003535"/>
    <x v="0"/>
    <x v="3"/>
    <x v="182"/>
    <n v="274.2"/>
    <n v="10"/>
    <n v="112.422"/>
    <x v="0"/>
  </r>
  <r>
    <x v="1494"/>
    <x v="94"/>
    <d v="2014-09-18T00:00:00"/>
    <x v="0"/>
    <s v="SC-20260"/>
    <s v="Scott Cohen"/>
    <s v="Corporate"/>
    <x v="0"/>
    <x v="177"/>
    <x v="5"/>
    <x v="3"/>
    <s v="FUR-FU-10000550"/>
    <x v="0"/>
    <x v="3"/>
    <x v="295"/>
    <n v="9.9600000000000009"/>
    <n v="5"/>
    <n v="-6.7229999999999999"/>
    <x v="4"/>
  </r>
  <r>
    <x v="1495"/>
    <x v="409"/>
    <d v="2017-10-24T00:00:00"/>
    <x v="2"/>
    <s v="AH-10075"/>
    <s v="Adam Hart"/>
    <s v="Corporate"/>
    <x v="0"/>
    <x v="236"/>
    <x v="38"/>
    <x v="2"/>
    <s v="FUR-TA-10001039"/>
    <x v="0"/>
    <x v="2"/>
    <x v="165"/>
    <n v="240.744"/>
    <n v="4"/>
    <n v="-13.7568"/>
    <x v="1"/>
  </r>
  <r>
    <x v="1495"/>
    <x v="409"/>
    <d v="2017-10-24T00:00:00"/>
    <x v="2"/>
    <s v="AH-10075"/>
    <s v="Adam Hart"/>
    <s v="Corporate"/>
    <x v="0"/>
    <x v="236"/>
    <x v="38"/>
    <x v="2"/>
    <s v="FUR-FU-10004963"/>
    <x v="0"/>
    <x v="3"/>
    <x v="289"/>
    <n v="35"/>
    <n v="4"/>
    <n v="14.7"/>
    <x v="1"/>
  </r>
  <r>
    <x v="1495"/>
    <x v="409"/>
    <d v="2017-10-24T00:00:00"/>
    <x v="2"/>
    <s v="AH-10075"/>
    <s v="Adam Hart"/>
    <s v="Corporate"/>
    <x v="0"/>
    <x v="236"/>
    <x v="38"/>
    <x v="2"/>
    <s v="FUR-FU-10000277"/>
    <x v="0"/>
    <x v="3"/>
    <x v="371"/>
    <n v="210.68"/>
    <n v="2"/>
    <n v="50.563200000000002"/>
    <x v="1"/>
  </r>
  <r>
    <x v="1495"/>
    <x v="409"/>
    <d v="2017-10-24T00:00:00"/>
    <x v="2"/>
    <s v="AH-10075"/>
    <s v="Adam Hart"/>
    <s v="Corporate"/>
    <x v="0"/>
    <x v="236"/>
    <x v="38"/>
    <x v="2"/>
    <s v="FUR-TA-10004915"/>
    <x v="0"/>
    <x v="2"/>
    <x v="71"/>
    <n v="637.89599999999996"/>
    <n v="3"/>
    <n v="-127.5792"/>
    <x v="1"/>
  </r>
  <r>
    <x v="1496"/>
    <x v="820"/>
    <d v="2016-04-23T00:00:00"/>
    <x v="1"/>
    <s v="TH-21115"/>
    <s v="Thea Hudgings"/>
    <s v="Corporate"/>
    <x v="0"/>
    <x v="6"/>
    <x v="5"/>
    <x v="3"/>
    <s v="FUR-CH-10002880"/>
    <x v="0"/>
    <x v="1"/>
    <x v="162"/>
    <n v="344.37200000000001"/>
    <n v="4"/>
    <n v="-93.472399999999993"/>
    <x v="6"/>
  </r>
  <r>
    <x v="1496"/>
    <x v="820"/>
    <d v="2016-04-23T00:00:00"/>
    <x v="1"/>
    <s v="TH-21115"/>
    <s v="Thea Hudgings"/>
    <s v="Corporate"/>
    <x v="0"/>
    <x v="6"/>
    <x v="5"/>
    <x v="3"/>
    <s v="FUR-FU-10004748"/>
    <x v="0"/>
    <x v="3"/>
    <x v="245"/>
    <n v="127.88"/>
    <n v="5"/>
    <n v="-67.137"/>
    <x v="6"/>
  </r>
  <r>
    <x v="1497"/>
    <x v="15"/>
    <d v="2017-06-02T00:00:00"/>
    <x v="0"/>
    <s v="TH-21235"/>
    <s v="Tiffany House"/>
    <s v="Corporate"/>
    <x v="0"/>
    <x v="9"/>
    <x v="8"/>
    <x v="3"/>
    <s v="FUR-CH-10001146"/>
    <x v="0"/>
    <x v="1"/>
    <x v="29"/>
    <n v="106.869"/>
    <n v="3"/>
    <n v="-29.007300000000001"/>
    <x v="7"/>
  </r>
  <r>
    <x v="1498"/>
    <x v="367"/>
    <d v="2016-11-17T00:00:00"/>
    <x v="1"/>
    <s v="AS-10285"/>
    <s v="Alejandro Savely"/>
    <s v="Corporate"/>
    <x v="0"/>
    <x v="344"/>
    <x v="6"/>
    <x v="3"/>
    <s v="FUR-TA-10001950"/>
    <x v="0"/>
    <x v="2"/>
    <x v="252"/>
    <n v="2678.94"/>
    <n v="6"/>
    <n v="241.1046"/>
    <x v="0"/>
  </r>
  <r>
    <x v="1499"/>
    <x v="748"/>
    <d v="2017-04-27T00:00:00"/>
    <x v="1"/>
    <s v="PN-18775"/>
    <s v="Parhena Norris"/>
    <s v="Home Office"/>
    <x v="0"/>
    <x v="345"/>
    <x v="9"/>
    <x v="0"/>
    <s v="FUR-BO-10001972"/>
    <x v="0"/>
    <x v="0"/>
    <x v="75"/>
    <n v="387.13600000000002"/>
    <n v="4"/>
    <n v="-14.5176"/>
    <x v="6"/>
  </r>
  <r>
    <x v="1499"/>
    <x v="748"/>
    <d v="2017-04-27T00:00:00"/>
    <x v="1"/>
    <s v="PN-18775"/>
    <s v="Parhena Norris"/>
    <s v="Home Office"/>
    <x v="0"/>
    <x v="345"/>
    <x v="9"/>
    <x v="0"/>
    <s v="FUR-FU-10000193"/>
    <x v="0"/>
    <x v="3"/>
    <x v="306"/>
    <n v="77.951999999999998"/>
    <n v="3"/>
    <n v="-11.6928"/>
    <x v="6"/>
  </r>
  <r>
    <x v="1500"/>
    <x v="118"/>
    <d v="2017-09-24T00:00:00"/>
    <x v="3"/>
    <s v="PB-19150"/>
    <s v="Philip Brown"/>
    <s v="Consumer"/>
    <x v="0"/>
    <x v="15"/>
    <x v="13"/>
    <x v="1"/>
    <s v="FUR-FU-10002759"/>
    <x v="0"/>
    <x v="3"/>
    <x v="115"/>
    <n v="199.8"/>
    <n v="10"/>
    <n v="71.927999999999997"/>
    <x v="4"/>
  </r>
  <r>
    <x v="1501"/>
    <x v="821"/>
    <d v="2016-02-04T00:00:00"/>
    <x v="0"/>
    <s v="SE-20110"/>
    <s v="Sanjit Engle"/>
    <s v="Consumer"/>
    <x v="0"/>
    <x v="58"/>
    <x v="25"/>
    <x v="0"/>
    <s v="FUR-FU-10001731"/>
    <x v="0"/>
    <x v="3"/>
    <x v="317"/>
    <n v="18.690000000000001"/>
    <n v="7"/>
    <n v="7.1021999999999998"/>
    <x v="11"/>
  </r>
  <r>
    <x v="1502"/>
    <x v="822"/>
    <d v="2015-03-03T00:00:00"/>
    <x v="0"/>
    <s v="DH-13075"/>
    <s v="Dave Hallsten"/>
    <s v="Corporate"/>
    <x v="0"/>
    <x v="2"/>
    <x v="2"/>
    <x v="1"/>
    <s v="FUR-CH-10003396"/>
    <x v="0"/>
    <x v="1"/>
    <x v="81"/>
    <n v="184.75200000000001"/>
    <n v="3"/>
    <n v="-20.784600000000001"/>
    <x v="9"/>
  </r>
  <r>
    <x v="1503"/>
    <x v="630"/>
    <d v="2016-05-06T00:00:00"/>
    <x v="1"/>
    <s v="NR-18550"/>
    <s v="Nick Radford"/>
    <s v="Consumer"/>
    <x v="0"/>
    <x v="45"/>
    <x v="5"/>
    <x v="3"/>
    <s v="FUR-CH-10003298"/>
    <x v="0"/>
    <x v="1"/>
    <x v="322"/>
    <n v="366.74400000000003"/>
    <n v="4"/>
    <n v="-110.0232"/>
    <x v="7"/>
  </r>
  <r>
    <x v="1504"/>
    <x v="821"/>
    <d v="2016-02-08T00:00:00"/>
    <x v="1"/>
    <s v="NS-18640"/>
    <s v="Noel Staavos"/>
    <s v="Corporate"/>
    <x v="0"/>
    <x v="6"/>
    <x v="5"/>
    <x v="3"/>
    <s v="FUR-FU-10003601"/>
    <x v="0"/>
    <x v="3"/>
    <x v="148"/>
    <n v="73.784000000000006"/>
    <n v="2"/>
    <n v="-77.473200000000006"/>
    <x v="11"/>
  </r>
  <r>
    <x v="1505"/>
    <x v="182"/>
    <d v="2017-06-07T00:00:00"/>
    <x v="0"/>
    <s v="EM-14065"/>
    <s v="Erin Mull"/>
    <s v="Consumer"/>
    <x v="0"/>
    <x v="346"/>
    <x v="5"/>
    <x v="3"/>
    <s v="FUR-FU-10002501"/>
    <x v="0"/>
    <x v="3"/>
    <x v="254"/>
    <n v="30.335999999999999"/>
    <n v="6"/>
    <n v="-17.443200000000001"/>
    <x v="2"/>
  </r>
  <r>
    <x v="1506"/>
    <x v="423"/>
    <d v="2017-12-10T00:00:00"/>
    <x v="1"/>
    <s v="DO-13645"/>
    <s v="Doug O'Connell"/>
    <s v="Consumer"/>
    <x v="0"/>
    <x v="309"/>
    <x v="18"/>
    <x v="2"/>
    <s v="FUR-FU-10002506"/>
    <x v="0"/>
    <x v="3"/>
    <x v="374"/>
    <n v="12.99"/>
    <n v="1"/>
    <n v="1.5588"/>
    <x v="5"/>
  </r>
  <r>
    <x v="1506"/>
    <x v="423"/>
    <d v="2017-12-10T00:00:00"/>
    <x v="1"/>
    <s v="DO-13645"/>
    <s v="Doug O'Connell"/>
    <s v="Consumer"/>
    <x v="0"/>
    <x v="309"/>
    <x v="18"/>
    <x v="2"/>
    <s v="FUR-CH-10003817"/>
    <x v="0"/>
    <x v="1"/>
    <x v="33"/>
    <n v="182.22"/>
    <n v="3"/>
    <n v="45.555"/>
    <x v="5"/>
  </r>
  <r>
    <x v="1506"/>
    <x v="423"/>
    <d v="2017-12-10T00:00:00"/>
    <x v="1"/>
    <s v="DO-13645"/>
    <s v="Doug O'Connell"/>
    <s v="Consumer"/>
    <x v="0"/>
    <x v="309"/>
    <x v="18"/>
    <x v="2"/>
    <s v="FUR-CH-10004860"/>
    <x v="0"/>
    <x v="1"/>
    <x v="41"/>
    <n v="302.94"/>
    <n v="3"/>
    <n v="18.176400000000001"/>
    <x v="5"/>
  </r>
  <r>
    <x v="1507"/>
    <x v="823"/>
    <d v="2016-01-15T00:00:00"/>
    <x v="1"/>
    <s v="MP-17470"/>
    <s v="Mark Packer"/>
    <s v="Home Office"/>
    <x v="0"/>
    <x v="29"/>
    <x v="15"/>
    <x v="2"/>
    <s v="FUR-FU-10002268"/>
    <x v="0"/>
    <x v="3"/>
    <x v="172"/>
    <n v="54.991999999999997"/>
    <n v="14"/>
    <n v="8.9361999999999995"/>
    <x v="8"/>
  </r>
  <r>
    <x v="1508"/>
    <x v="824"/>
    <d v="2017-03-16T00:00:00"/>
    <x v="3"/>
    <s v="SP-20920"/>
    <s v="Susan Pistek"/>
    <s v="Consumer"/>
    <x v="0"/>
    <x v="29"/>
    <x v="15"/>
    <x v="2"/>
    <s v="FUR-FU-10003424"/>
    <x v="0"/>
    <x v="3"/>
    <x v="345"/>
    <n v="51.264000000000003"/>
    <n v="6"/>
    <n v="7.6896000000000004"/>
    <x v="9"/>
  </r>
  <r>
    <x v="1509"/>
    <x v="219"/>
    <d v="2017-11-17T00:00:00"/>
    <x v="1"/>
    <s v="ME-17320"/>
    <s v="Maria Etezadi"/>
    <s v="Home Office"/>
    <x v="0"/>
    <x v="2"/>
    <x v="2"/>
    <x v="1"/>
    <s v="FUR-CH-10001714"/>
    <x v="0"/>
    <x v="1"/>
    <x v="255"/>
    <n v="241.42400000000001"/>
    <n v="2"/>
    <n v="-36.2136"/>
    <x v="0"/>
  </r>
  <r>
    <x v="1510"/>
    <x v="825"/>
    <d v="2016-12-06T00:00:00"/>
    <x v="1"/>
    <s v="BS-11755"/>
    <s v="Bruce Stewart"/>
    <s v="Consumer"/>
    <x v="0"/>
    <x v="25"/>
    <x v="17"/>
    <x v="3"/>
    <s v="FUR-CH-10000513"/>
    <x v="0"/>
    <x v="1"/>
    <x v="16"/>
    <n v="389.97"/>
    <n v="3"/>
    <n v="35.097299999999997"/>
    <x v="0"/>
  </r>
  <r>
    <x v="1511"/>
    <x v="826"/>
    <d v="2015-12-23T00:00:00"/>
    <x v="2"/>
    <s v="HR-14830"/>
    <s v="Harold Ryan"/>
    <s v="Corporate"/>
    <x v="0"/>
    <x v="3"/>
    <x v="3"/>
    <x v="2"/>
    <s v="FUR-CH-10001270"/>
    <x v="0"/>
    <x v="1"/>
    <x v="170"/>
    <n v="422.625"/>
    <n v="7"/>
    <n v="0"/>
    <x v="5"/>
  </r>
  <r>
    <x v="1512"/>
    <x v="827"/>
    <d v="2016-03-31T00:00:00"/>
    <x v="1"/>
    <s v="DS-13180"/>
    <s v="David Smith"/>
    <s v="Corporate"/>
    <x v="0"/>
    <x v="29"/>
    <x v="24"/>
    <x v="0"/>
    <s v="FUR-FU-10004053"/>
    <x v="0"/>
    <x v="3"/>
    <x v="339"/>
    <n v="20.239999999999998"/>
    <n v="1"/>
    <n v="8.7032000000000007"/>
    <x v="9"/>
  </r>
  <r>
    <x v="1512"/>
    <x v="827"/>
    <d v="2016-03-31T00:00:00"/>
    <x v="1"/>
    <s v="DS-13180"/>
    <s v="David Smith"/>
    <s v="Corporate"/>
    <x v="0"/>
    <x v="29"/>
    <x v="24"/>
    <x v="0"/>
    <s v="FUR-FU-10003731"/>
    <x v="0"/>
    <x v="3"/>
    <x v="329"/>
    <n v="39.92"/>
    <n v="4"/>
    <n v="11.1776"/>
    <x v="9"/>
  </r>
  <r>
    <x v="1513"/>
    <x v="795"/>
    <d v="2015-09-12T00:00:00"/>
    <x v="2"/>
    <s v="GB-14530"/>
    <s v="George Bell"/>
    <s v="Corporate"/>
    <x v="0"/>
    <x v="14"/>
    <x v="12"/>
    <x v="1"/>
    <s v="FUR-FU-10000073"/>
    <x v="0"/>
    <x v="3"/>
    <x v="93"/>
    <n v="24.64"/>
    <n v="4"/>
    <n v="4.0039999999999996"/>
    <x v="4"/>
  </r>
  <r>
    <x v="1514"/>
    <x v="453"/>
    <d v="2016-12-11T00:00:00"/>
    <x v="2"/>
    <s v="PM-18940"/>
    <s v="Paul MacIntyre"/>
    <s v="Consumer"/>
    <x v="0"/>
    <x v="76"/>
    <x v="25"/>
    <x v="0"/>
    <s v="FUR-TA-10002530"/>
    <x v="0"/>
    <x v="2"/>
    <x v="197"/>
    <n v="1056.8599999999999"/>
    <n v="7"/>
    <n v="158.529"/>
    <x v="5"/>
  </r>
  <r>
    <x v="1515"/>
    <x v="207"/>
    <d v="2016-12-26T00:00:00"/>
    <x v="0"/>
    <s v="LA-16780"/>
    <s v="Laura Armstrong"/>
    <s v="Corporate"/>
    <x v="0"/>
    <x v="6"/>
    <x v="5"/>
    <x v="3"/>
    <s v="FUR-FU-10000206"/>
    <x v="0"/>
    <x v="3"/>
    <x v="84"/>
    <n v="2.3279999999999998"/>
    <n v="2"/>
    <n v="-0.75660000000000005"/>
    <x v="5"/>
  </r>
  <r>
    <x v="1516"/>
    <x v="828"/>
    <d v="2016-04-06T00:00:00"/>
    <x v="0"/>
    <s v="DJ-13420"/>
    <s v="Denny Joy"/>
    <s v="Corporate"/>
    <x v="0"/>
    <x v="79"/>
    <x v="16"/>
    <x v="3"/>
    <s v="FUR-CH-10000847"/>
    <x v="0"/>
    <x v="1"/>
    <x v="199"/>
    <n v="1454.9"/>
    <n v="5"/>
    <n v="378.274"/>
    <x v="6"/>
  </r>
  <r>
    <x v="1517"/>
    <x v="393"/>
    <d v="2017-05-04T00:00:00"/>
    <x v="1"/>
    <s v="MH-18115"/>
    <s v="Mick Hernandez"/>
    <s v="Home Office"/>
    <x v="0"/>
    <x v="347"/>
    <x v="1"/>
    <x v="0"/>
    <s v="FUR-FU-10000747"/>
    <x v="0"/>
    <x v="3"/>
    <x v="363"/>
    <n v="220.70400000000001"/>
    <n v="6"/>
    <n v="-8.2764000000000006"/>
    <x v="6"/>
  </r>
  <r>
    <x v="1518"/>
    <x v="209"/>
    <d v="2017-07-04T00:00:00"/>
    <x v="2"/>
    <s v="TS-21505"/>
    <s v="Tony Sayre"/>
    <s v="Consumer"/>
    <x v="0"/>
    <x v="41"/>
    <x v="28"/>
    <x v="2"/>
    <s v="FUR-FU-10004188"/>
    <x v="0"/>
    <x v="3"/>
    <x v="150"/>
    <n v="102.3"/>
    <n v="1"/>
    <n v="26.597999999999999"/>
    <x v="3"/>
  </r>
  <r>
    <x v="1519"/>
    <x v="313"/>
    <d v="2017-12-26T00:00:00"/>
    <x v="1"/>
    <s v="CM-12190"/>
    <s v="Charlotte Melton"/>
    <s v="Consumer"/>
    <x v="0"/>
    <x v="77"/>
    <x v="11"/>
    <x v="3"/>
    <s v="FUR-TA-10004915"/>
    <x v="0"/>
    <x v="2"/>
    <x v="71"/>
    <n v="607.52"/>
    <n v="2"/>
    <n v="97.203199999999995"/>
    <x v="5"/>
  </r>
  <r>
    <x v="1520"/>
    <x v="321"/>
    <d v="2014-05-22T00:00:00"/>
    <x v="0"/>
    <s v="MC-17590"/>
    <s v="Matt Collister"/>
    <s v="Corporate"/>
    <x v="0"/>
    <x v="348"/>
    <x v="5"/>
    <x v="3"/>
    <s v="FUR-FU-10003489"/>
    <x v="0"/>
    <x v="3"/>
    <x v="365"/>
    <n v="10.332000000000001"/>
    <n v="3"/>
    <n v="-5.9409000000000001"/>
    <x v="7"/>
  </r>
  <r>
    <x v="1521"/>
    <x v="748"/>
    <d v="2017-04-26T00:00:00"/>
    <x v="2"/>
    <s v="SO-20335"/>
    <s v="Sean O'Donnell"/>
    <s v="Consumer"/>
    <x v="0"/>
    <x v="349"/>
    <x v="12"/>
    <x v="1"/>
    <s v="FUR-FU-10001025"/>
    <x v="0"/>
    <x v="3"/>
    <x v="354"/>
    <n v="11.664"/>
    <n v="3"/>
    <n v="3.3534000000000002"/>
    <x v="6"/>
  </r>
  <r>
    <x v="1522"/>
    <x v="829"/>
    <d v="2014-06-09T00:00:00"/>
    <x v="1"/>
    <s v="BT-11440"/>
    <s v="Bobby Trafton"/>
    <s v="Consumer"/>
    <x v="0"/>
    <x v="13"/>
    <x v="7"/>
    <x v="2"/>
    <s v="FUR-FU-10002878"/>
    <x v="0"/>
    <x v="3"/>
    <x v="220"/>
    <n v="56.96"/>
    <n v="2"/>
    <n v="21.075199999999999"/>
    <x v="2"/>
  </r>
  <r>
    <x v="1522"/>
    <x v="829"/>
    <d v="2014-06-09T00:00:00"/>
    <x v="1"/>
    <s v="BT-11440"/>
    <s v="Bobby Trafton"/>
    <s v="Consumer"/>
    <x v="0"/>
    <x v="13"/>
    <x v="7"/>
    <x v="2"/>
    <s v="FUR-BO-10003272"/>
    <x v="0"/>
    <x v="0"/>
    <x v="122"/>
    <n v="353.56799999999998"/>
    <n v="2"/>
    <n v="-44.195999999999998"/>
    <x v="2"/>
  </r>
  <r>
    <x v="1522"/>
    <x v="829"/>
    <d v="2014-06-09T00:00:00"/>
    <x v="1"/>
    <s v="BT-11440"/>
    <s v="Bobby Trafton"/>
    <s v="Consumer"/>
    <x v="0"/>
    <x v="13"/>
    <x v="7"/>
    <x v="2"/>
    <s v="FUR-FU-10002191"/>
    <x v="0"/>
    <x v="3"/>
    <x v="154"/>
    <n v="13.96"/>
    <n v="2"/>
    <n v="6.7008000000000001"/>
    <x v="2"/>
  </r>
  <r>
    <x v="1523"/>
    <x v="470"/>
    <d v="2017-03-08T00:00:00"/>
    <x v="1"/>
    <s v="BT-11395"/>
    <s v="Bill Tyler"/>
    <s v="Corporate"/>
    <x v="0"/>
    <x v="2"/>
    <x v="2"/>
    <x v="1"/>
    <s v="FUR-TA-10001520"/>
    <x v="0"/>
    <x v="2"/>
    <x v="146"/>
    <n v="399.67200000000003"/>
    <n v="7"/>
    <n v="-14.9877"/>
    <x v="9"/>
  </r>
  <r>
    <x v="1524"/>
    <x v="200"/>
    <d v="2017-11-09T00:00:00"/>
    <x v="0"/>
    <s v="LC-17050"/>
    <s v="Liz Carlisle"/>
    <s v="Consumer"/>
    <x v="0"/>
    <x v="144"/>
    <x v="5"/>
    <x v="3"/>
    <s v="FUR-FU-10003878"/>
    <x v="0"/>
    <x v="3"/>
    <x v="142"/>
    <n v="30.56"/>
    <n v="5"/>
    <n v="-19.864000000000001"/>
    <x v="0"/>
  </r>
  <r>
    <x v="1525"/>
    <x v="395"/>
    <d v="2015-09-12T00:00:00"/>
    <x v="1"/>
    <s v="AG-10525"/>
    <s v="Andy Gerbode"/>
    <s v="Corporate"/>
    <x v="0"/>
    <x v="13"/>
    <x v="7"/>
    <x v="2"/>
    <s v="FUR-TA-10003569"/>
    <x v="0"/>
    <x v="2"/>
    <x v="273"/>
    <n v="481.17599999999999"/>
    <n v="2"/>
    <n v="-120.294"/>
    <x v="4"/>
  </r>
  <r>
    <x v="1526"/>
    <x v="830"/>
    <d v="2016-07-29T00:00:00"/>
    <x v="2"/>
    <s v="OT-18730"/>
    <s v="Olvera Toch"/>
    <s v="Consumer"/>
    <x v="0"/>
    <x v="268"/>
    <x v="3"/>
    <x v="2"/>
    <s v="FUR-BO-10004409"/>
    <x v="0"/>
    <x v="0"/>
    <x v="134"/>
    <n v="177.45"/>
    <n v="5"/>
    <n v="-78.078000000000003"/>
    <x v="3"/>
  </r>
  <r>
    <x v="1527"/>
    <x v="831"/>
    <d v="2017-08-29T00:00:00"/>
    <x v="1"/>
    <s v="SV-20365"/>
    <s v="Seth Vernon"/>
    <s v="Consumer"/>
    <x v="0"/>
    <x v="3"/>
    <x v="3"/>
    <x v="2"/>
    <s v="FUR-BO-10001798"/>
    <x v="0"/>
    <x v="0"/>
    <x v="0"/>
    <n v="130.97999999999999"/>
    <n v="2"/>
    <n v="-89.066400000000002"/>
    <x v="10"/>
  </r>
  <r>
    <x v="1528"/>
    <x v="437"/>
    <d v="2017-05-02T00:00:00"/>
    <x v="1"/>
    <s v="HM-14980"/>
    <s v="Henry MacAllister"/>
    <s v="Consumer"/>
    <x v="0"/>
    <x v="15"/>
    <x v="13"/>
    <x v="1"/>
    <s v="FUR-FU-10000397"/>
    <x v="0"/>
    <x v="3"/>
    <x v="14"/>
    <n v="139.58000000000001"/>
    <n v="7"/>
    <n v="39.0824"/>
    <x v="6"/>
  </r>
  <r>
    <x v="1529"/>
    <x v="428"/>
    <d v="2015-11-15T00:00:00"/>
    <x v="1"/>
    <s v="NS-18640"/>
    <s v="Noel Staavos"/>
    <s v="Corporate"/>
    <x v="0"/>
    <x v="51"/>
    <x v="30"/>
    <x v="0"/>
    <s v="FUR-FU-10000023"/>
    <x v="0"/>
    <x v="3"/>
    <x v="70"/>
    <n v="4.7119999999999997"/>
    <n v="1"/>
    <n v="1.4136"/>
    <x v="0"/>
  </r>
  <r>
    <x v="1530"/>
    <x v="778"/>
    <d v="2016-11-29T00:00:00"/>
    <x v="1"/>
    <s v="MH-17455"/>
    <s v="Mark Hamilton"/>
    <s v="Consumer"/>
    <x v="0"/>
    <x v="2"/>
    <x v="2"/>
    <x v="1"/>
    <s v="FUR-CH-10004698"/>
    <x v="0"/>
    <x v="1"/>
    <x v="34"/>
    <n v="194.352"/>
    <n v="3"/>
    <n v="19.435199999999998"/>
    <x v="0"/>
  </r>
  <r>
    <x v="1531"/>
    <x v="482"/>
    <d v="2015-12-08T00:00:00"/>
    <x v="2"/>
    <s v="RR-19525"/>
    <s v="Rick Reed"/>
    <s v="Corporate"/>
    <x v="0"/>
    <x v="228"/>
    <x v="9"/>
    <x v="0"/>
    <s v="FUR-CH-10004477"/>
    <x v="0"/>
    <x v="1"/>
    <x v="42"/>
    <n v="97.424000000000007"/>
    <n v="2"/>
    <n v="10.9602"/>
    <x v="5"/>
  </r>
  <r>
    <x v="1532"/>
    <x v="624"/>
    <d v="2014-09-13T00:00:00"/>
    <x v="3"/>
    <s v="RP-19390"/>
    <s v="Resi Pšlking"/>
    <s v="Consumer"/>
    <x v="0"/>
    <x v="15"/>
    <x v="13"/>
    <x v="1"/>
    <s v="FUR-FU-10001918"/>
    <x v="0"/>
    <x v="3"/>
    <x v="60"/>
    <n v="14.19"/>
    <n v="3"/>
    <n v="5.5340999999999996"/>
    <x v="4"/>
  </r>
  <r>
    <x v="1533"/>
    <x v="608"/>
    <d v="2017-11-30T00:00:00"/>
    <x v="1"/>
    <s v="HZ-14950"/>
    <s v="Henia Zydlo"/>
    <s v="Consumer"/>
    <x v="0"/>
    <x v="1"/>
    <x v="1"/>
    <x v="0"/>
    <s v="FUR-BO-10003965"/>
    <x v="0"/>
    <x v="0"/>
    <x v="208"/>
    <n v="723.92"/>
    <n v="5"/>
    <n v="-81.441000000000003"/>
    <x v="0"/>
  </r>
  <r>
    <x v="1534"/>
    <x v="832"/>
    <d v="2015-05-17T00:00:00"/>
    <x v="1"/>
    <s v="JG-15160"/>
    <s v="James Galang"/>
    <s v="Consumer"/>
    <x v="0"/>
    <x v="6"/>
    <x v="5"/>
    <x v="3"/>
    <s v="FUR-FU-10000175"/>
    <x v="0"/>
    <x v="3"/>
    <x v="338"/>
    <n v="21.968"/>
    <n v="4"/>
    <n v="-15.9268"/>
    <x v="7"/>
  </r>
  <r>
    <x v="1535"/>
    <x v="833"/>
    <d v="2017-04-01T00:00:00"/>
    <x v="0"/>
    <s v="AB-10165"/>
    <s v="Alan Barnes"/>
    <s v="Consumer"/>
    <x v="0"/>
    <x v="174"/>
    <x v="2"/>
    <x v="1"/>
    <s v="FUR-FU-10004973"/>
    <x v="0"/>
    <x v="3"/>
    <x v="223"/>
    <n v="94.2"/>
    <n v="5"/>
    <n v="39.564"/>
    <x v="9"/>
  </r>
  <r>
    <x v="1536"/>
    <x v="421"/>
    <d v="2015-01-01T00:00:00"/>
    <x v="0"/>
    <s v="KB-16315"/>
    <s v="Karl Braun"/>
    <s v="Consumer"/>
    <x v="0"/>
    <x v="59"/>
    <x v="15"/>
    <x v="2"/>
    <s v="FUR-FU-10004904"/>
    <x v="0"/>
    <x v="3"/>
    <x v="325"/>
    <n v="182.352"/>
    <n v="3"/>
    <n v="-18.235199999999999"/>
    <x v="5"/>
  </r>
  <r>
    <x v="1537"/>
    <x v="834"/>
    <d v="2017-02-21T00:00:00"/>
    <x v="1"/>
    <s v="JS-16030"/>
    <s v="Joy Smith"/>
    <s v="Consumer"/>
    <x v="0"/>
    <x v="42"/>
    <x v="8"/>
    <x v="3"/>
    <s v="FUR-CH-10004063"/>
    <x v="0"/>
    <x v="1"/>
    <x v="27"/>
    <n v="600.55799999999999"/>
    <n v="3"/>
    <n v="-8.5793999999999997"/>
    <x v="11"/>
  </r>
  <r>
    <x v="1537"/>
    <x v="834"/>
    <d v="2017-02-21T00:00:00"/>
    <x v="1"/>
    <s v="JS-16030"/>
    <s v="Joy Smith"/>
    <s v="Consumer"/>
    <x v="0"/>
    <x v="42"/>
    <x v="8"/>
    <x v="3"/>
    <s v="FUR-FU-10004270"/>
    <x v="0"/>
    <x v="3"/>
    <x v="276"/>
    <n v="7.6920000000000002"/>
    <n v="1"/>
    <n v="-3.6537000000000002"/>
    <x v="11"/>
  </r>
  <r>
    <x v="1538"/>
    <x v="835"/>
    <d v="2017-10-26T00:00:00"/>
    <x v="2"/>
    <s v="PO-18850"/>
    <s v="Patrick O'Brill"/>
    <s v="Consumer"/>
    <x v="0"/>
    <x v="350"/>
    <x v="5"/>
    <x v="3"/>
    <s v="FUR-TA-10004607"/>
    <x v="0"/>
    <x v="2"/>
    <x v="212"/>
    <n v="517.40499999999997"/>
    <n v="5"/>
    <n v="-81.3065"/>
    <x v="1"/>
  </r>
  <r>
    <x v="1539"/>
    <x v="102"/>
    <d v="2017-09-17T00:00:00"/>
    <x v="0"/>
    <s v="CS-12400"/>
    <s v="Christopher Schild"/>
    <s v="Home Office"/>
    <x v="0"/>
    <x v="28"/>
    <x v="2"/>
    <x v="1"/>
    <s v="FUR-TA-10003473"/>
    <x v="0"/>
    <x v="2"/>
    <x v="44"/>
    <n v="300.904"/>
    <n v="1"/>
    <n v="11.283899999999999"/>
    <x v="4"/>
  </r>
  <r>
    <x v="1540"/>
    <x v="836"/>
    <d v="2017-06-20T00:00:00"/>
    <x v="1"/>
    <s v="TS-21205"/>
    <s v="Thomas Seio"/>
    <s v="Corporate"/>
    <x v="0"/>
    <x v="228"/>
    <x v="9"/>
    <x v="0"/>
    <s v="FUR-FU-10004351"/>
    <x v="0"/>
    <x v="3"/>
    <x v="47"/>
    <n v="31.167999999999999"/>
    <n v="4"/>
    <n v="9.3504000000000005"/>
    <x v="2"/>
  </r>
  <r>
    <x v="1540"/>
    <x v="836"/>
    <d v="2017-06-20T00:00:00"/>
    <x v="1"/>
    <s v="TS-21205"/>
    <s v="Thomas Seio"/>
    <s v="Corporate"/>
    <x v="0"/>
    <x v="228"/>
    <x v="9"/>
    <x v="0"/>
    <s v="FUR-TA-10004152"/>
    <x v="0"/>
    <x v="2"/>
    <x v="308"/>
    <n v="120.96"/>
    <n v="2"/>
    <n v="-28.224"/>
    <x v="2"/>
  </r>
  <r>
    <x v="1541"/>
    <x v="30"/>
    <d v="2014-09-13T00:00:00"/>
    <x v="1"/>
    <s v="PP-18955"/>
    <s v="Paul Prost"/>
    <s v="Home Office"/>
    <x v="0"/>
    <x v="13"/>
    <x v="7"/>
    <x v="2"/>
    <s v="FUR-CH-10004289"/>
    <x v="0"/>
    <x v="1"/>
    <x v="196"/>
    <n v="172.76400000000001"/>
    <n v="2"/>
    <n v="13.437200000000001"/>
    <x v="4"/>
  </r>
  <r>
    <x v="1542"/>
    <x v="627"/>
    <d v="2014-11-18T00:00:00"/>
    <x v="2"/>
    <s v="JD-16150"/>
    <s v="Justin Deggeller"/>
    <s v="Corporate"/>
    <x v="0"/>
    <x v="2"/>
    <x v="2"/>
    <x v="1"/>
    <s v="FUR-BO-10004015"/>
    <x v="0"/>
    <x v="0"/>
    <x v="118"/>
    <n v="305.97449999999998"/>
    <n v="3"/>
    <n v="25.197900000000001"/>
    <x v="0"/>
  </r>
  <r>
    <x v="1543"/>
    <x v="749"/>
    <d v="2014-03-07T00:00:00"/>
    <x v="1"/>
    <s v="EJ-14155"/>
    <s v="Eva Jacobs"/>
    <s v="Consumer"/>
    <x v="0"/>
    <x v="53"/>
    <x v="2"/>
    <x v="1"/>
    <s v="FUR-TA-10002958"/>
    <x v="0"/>
    <x v="2"/>
    <x v="192"/>
    <n v="626.35199999999998"/>
    <n v="3"/>
    <n v="-23.488199999999999"/>
    <x v="9"/>
  </r>
  <r>
    <x v="1544"/>
    <x v="62"/>
    <d v="2015-12-07T00:00:00"/>
    <x v="1"/>
    <s v="PW-19240"/>
    <s v="Pierre Wener"/>
    <s v="Consumer"/>
    <x v="0"/>
    <x v="28"/>
    <x v="2"/>
    <x v="1"/>
    <s v="FUR-BO-10002213"/>
    <x v="0"/>
    <x v="0"/>
    <x v="263"/>
    <n v="359.49900000000002"/>
    <n v="3"/>
    <n v="-29.605799999999999"/>
    <x v="5"/>
  </r>
  <r>
    <x v="1545"/>
    <x v="21"/>
    <d v="2016-06-16T00:00:00"/>
    <x v="0"/>
    <s v="AW-10930"/>
    <s v="Arthur Wiediger"/>
    <s v="Home Office"/>
    <x v="0"/>
    <x v="6"/>
    <x v="5"/>
    <x v="3"/>
    <s v="FUR-FU-10001424"/>
    <x v="0"/>
    <x v="3"/>
    <x v="144"/>
    <n v="6.984"/>
    <n v="2"/>
    <n v="-4.5396000000000001"/>
    <x v="2"/>
  </r>
  <r>
    <x v="1545"/>
    <x v="21"/>
    <d v="2016-06-16T00:00:00"/>
    <x v="0"/>
    <s v="AW-10930"/>
    <s v="Arthur Wiediger"/>
    <s v="Home Office"/>
    <x v="0"/>
    <x v="6"/>
    <x v="5"/>
    <x v="3"/>
    <s v="FUR-CH-10000229"/>
    <x v="0"/>
    <x v="1"/>
    <x v="334"/>
    <n v="379.37200000000001"/>
    <n v="2"/>
    <n v="-119.2312"/>
    <x v="2"/>
  </r>
  <r>
    <x v="1546"/>
    <x v="7"/>
    <d v="2015-12-31T00:00:00"/>
    <x v="1"/>
    <s v="SP-20860"/>
    <s v="Sung Pak"/>
    <s v="Corporate"/>
    <x v="0"/>
    <x v="34"/>
    <x v="9"/>
    <x v="0"/>
    <s v="FUR-FU-10002030"/>
    <x v="0"/>
    <x v="3"/>
    <x v="377"/>
    <n v="53.351999999999997"/>
    <n v="3"/>
    <n v="16.005600000000001"/>
    <x v="5"/>
  </r>
  <r>
    <x v="1546"/>
    <x v="7"/>
    <d v="2015-12-31T00:00:00"/>
    <x v="1"/>
    <s v="SP-20860"/>
    <s v="Sung Pak"/>
    <s v="Corporate"/>
    <x v="0"/>
    <x v="34"/>
    <x v="9"/>
    <x v="0"/>
    <s v="FUR-BO-10002853"/>
    <x v="0"/>
    <x v="0"/>
    <x v="335"/>
    <n v="131.10400000000001"/>
    <n v="2"/>
    <n v="8.1940000000000008"/>
    <x v="5"/>
  </r>
  <r>
    <x v="1547"/>
    <x v="419"/>
    <d v="2017-06-29T00:00:00"/>
    <x v="0"/>
    <s v="PW-19030"/>
    <s v="Pauline Webber"/>
    <s v="Corporate"/>
    <x v="0"/>
    <x v="15"/>
    <x v="13"/>
    <x v="1"/>
    <s v="FUR-FU-10001290"/>
    <x v="0"/>
    <x v="3"/>
    <x v="95"/>
    <n v="126.3"/>
    <n v="3"/>
    <n v="40.415999999999997"/>
    <x v="2"/>
  </r>
  <r>
    <x v="1548"/>
    <x v="837"/>
    <d v="2015-10-04T00:00:00"/>
    <x v="2"/>
    <s v="CK-12205"/>
    <s v="Chloris Kastensmidt"/>
    <s v="Consumer"/>
    <x v="0"/>
    <x v="351"/>
    <x v="36"/>
    <x v="1"/>
    <s v="FUR-FU-10000629"/>
    <x v="0"/>
    <x v="3"/>
    <x v="22"/>
    <n v="11.032"/>
    <n v="1"/>
    <n v="3.0337999999999998"/>
    <x v="1"/>
  </r>
  <r>
    <x v="1549"/>
    <x v="611"/>
    <d v="2017-02-07T00:00:00"/>
    <x v="1"/>
    <s v="BO-11350"/>
    <s v="Bill Overfelt"/>
    <s v="Corporate"/>
    <x v="0"/>
    <x v="53"/>
    <x v="2"/>
    <x v="1"/>
    <s v="FUR-FU-10000293"/>
    <x v="0"/>
    <x v="3"/>
    <x v="159"/>
    <n v="210.58"/>
    <n v="2"/>
    <n v="12.6348"/>
    <x v="11"/>
  </r>
  <r>
    <x v="1550"/>
    <x v="249"/>
    <d v="2016-07-26T00:00:00"/>
    <x v="1"/>
    <s v="MF-17665"/>
    <s v="Maureen Fritzler"/>
    <s v="Corporate"/>
    <x v="0"/>
    <x v="11"/>
    <x v="32"/>
    <x v="2"/>
    <s v="FUR-FU-10000794"/>
    <x v="0"/>
    <x v="3"/>
    <x v="138"/>
    <n v="27.42"/>
    <n v="3"/>
    <n v="9.3228000000000009"/>
    <x v="3"/>
  </r>
  <r>
    <x v="1551"/>
    <x v="51"/>
    <d v="2016-09-13T00:00:00"/>
    <x v="3"/>
    <s v="PO-19180"/>
    <s v="Philisse Overcash"/>
    <s v="Home Office"/>
    <x v="0"/>
    <x v="74"/>
    <x v="12"/>
    <x v="1"/>
    <s v="FUR-CH-10002304"/>
    <x v="0"/>
    <x v="1"/>
    <x v="158"/>
    <n v="83.135999999999996"/>
    <n v="4"/>
    <n v="5.1959999999999997"/>
    <x v="4"/>
  </r>
  <r>
    <x v="1552"/>
    <x v="192"/>
    <d v="2016-07-03T00:00:00"/>
    <x v="2"/>
    <s v="EA-14035"/>
    <s v="Erin Ashbrook"/>
    <s v="Corporate"/>
    <x v="0"/>
    <x v="156"/>
    <x v="5"/>
    <x v="3"/>
    <s v="FUR-CH-10000665"/>
    <x v="0"/>
    <x v="1"/>
    <x v="140"/>
    <n v="528.42999999999995"/>
    <n v="5"/>
    <n v="0"/>
    <x v="3"/>
  </r>
  <r>
    <x v="1553"/>
    <x v="838"/>
    <d v="2017-12-18T00:00:00"/>
    <x v="1"/>
    <s v="BP-11095"/>
    <s v="Bart Pistole"/>
    <s v="Corporate"/>
    <x v="0"/>
    <x v="13"/>
    <x v="7"/>
    <x v="2"/>
    <s v="FUR-BO-10004015"/>
    <x v="0"/>
    <x v="0"/>
    <x v="118"/>
    <n v="287.976"/>
    <n v="3"/>
    <n v="7.1993999999999998"/>
    <x v="5"/>
  </r>
  <r>
    <x v="1554"/>
    <x v="822"/>
    <d v="2015-03-04T00:00:00"/>
    <x v="2"/>
    <s v="CM-12715"/>
    <s v="Craig Molinari"/>
    <s v="Corporate"/>
    <x v="0"/>
    <x v="6"/>
    <x v="5"/>
    <x v="3"/>
    <s v="FUR-BO-10001811"/>
    <x v="0"/>
    <x v="0"/>
    <x v="157"/>
    <n v="1227.9983999999999"/>
    <n v="6"/>
    <n v="-36.117600000000003"/>
    <x v="9"/>
  </r>
  <r>
    <x v="1555"/>
    <x v="839"/>
    <d v="2016-09-20T00:00:00"/>
    <x v="1"/>
    <s v="JD-16150"/>
    <s v="Justin Deggeller"/>
    <s v="Corporate"/>
    <x v="0"/>
    <x v="352"/>
    <x v="42"/>
    <x v="1"/>
    <s v="FUR-TA-10003473"/>
    <x v="0"/>
    <x v="2"/>
    <x v="44"/>
    <n v="1128.3900000000001"/>
    <n v="3"/>
    <n v="259.52969999999999"/>
    <x v="4"/>
  </r>
  <r>
    <x v="1556"/>
    <x v="836"/>
    <d v="2017-06-19T00:00:00"/>
    <x v="1"/>
    <s v="JE-15715"/>
    <s v="Joe Elijah"/>
    <s v="Consumer"/>
    <x v="0"/>
    <x v="91"/>
    <x v="30"/>
    <x v="0"/>
    <s v="FUR-CH-10000847"/>
    <x v="0"/>
    <x v="1"/>
    <x v="199"/>
    <n v="698.35199999999998"/>
    <n v="3"/>
    <n v="52.376399999999997"/>
    <x v="2"/>
  </r>
  <r>
    <x v="1556"/>
    <x v="836"/>
    <d v="2017-06-19T00:00:00"/>
    <x v="1"/>
    <s v="JE-15715"/>
    <s v="Joe Elijah"/>
    <s v="Consumer"/>
    <x v="0"/>
    <x v="91"/>
    <x v="30"/>
    <x v="0"/>
    <s v="FUR-BO-10000468"/>
    <x v="0"/>
    <x v="0"/>
    <x v="233"/>
    <n v="77.727999999999994"/>
    <n v="2"/>
    <n v="-3.8864000000000001"/>
    <x v="2"/>
  </r>
  <r>
    <x v="1557"/>
    <x v="480"/>
    <d v="2016-11-12T00:00:00"/>
    <x v="2"/>
    <s v="AB-10015"/>
    <s v="Aaron Bergman"/>
    <s v="Consumer"/>
    <x v="0"/>
    <x v="258"/>
    <x v="37"/>
    <x v="3"/>
    <s v="FUR-BO-10003966"/>
    <x v="0"/>
    <x v="0"/>
    <x v="210"/>
    <n v="341.96"/>
    <n v="2"/>
    <n v="54.7136"/>
    <x v="0"/>
  </r>
  <r>
    <x v="1558"/>
    <x v="51"/>
    <d v="2016-09-16T00:00:00"/>
    <x v="1"/>
    <s v="MC-17590"/>
    <s v="Matt Collister"/>
    <s v="Corporate"/>
    <x v="0"/>
    <x v="353"/>
    <x v="7"/>
    <x v="2"/>
    <s v="FUR-FU-10002813"/>
    <x v="0"/>
    <x v="3"/>
    <x v="350"/>
    <n v="40.479999999999997"/>
    <n v="2"/>
    <n v="14.572800000000001"/>
    <x v="4"/>
  </r>
  <r>
    <x v="1559"/>
    <x v="155"/>
    <d v="2015-07-31T00:00:00"/>
    <x v="1"/>
    <s v="CK-12760"/>
    <s v="Cyma Kinney"/>
    <s v="Corporate"/>
    <x v="0"/>
    <x v="110"/>
    <x v="22"/>
    <x v="1"/>
    <s v="FUR-CH-10003199"/>
    <x v="0"/>
    <x v="1"/>
    <x v="136"/>
    <n v="266.35199999999998"/>
    <n v="3"/>
    <n v="13.317600000000001"/>
    <x v="3"/>
  </r>
  <r>
    <x v="1560"/>
    <x v="840"/>
    <d v="2015-11-19T00:00:00"/>
    <x v="1"/>
    <s v="DH-13675"/>
    <s v="Duane Huffman"/>
    <s v="Home Office"/>
    <x v="0"/>
    <x v="95"/>
    <x v="25"/>
    <x v="0"/>
    <s v="FUR-FU-10002759"/>
    <x v="0"/>
    <x v="3"/>
    <x v="115"/>
    <n v="39.96"/>
    <n v="2"/>
    <n v="14.3856"/>
    <x v="0"/>
  </r>
  <r>
    <x v="1561"/>
    <x v="473"/>
    <d v="2015-07-04T00:00:00"/>
    <x v="2"/>
    <s v="FA-14230"/>
    <s v="Frank Atkinson"/>
    <s v="Corporate"/>
    <x v="0"/>
    <x v="168"/>
    <x v="30"/>
    <x v="0"/>
    <s v="FUR-FU-10000076"/>
    <x v="0"/>
    <x v="3"/>
    <x v="175"/>
    <n v="159.84"/>
    <n v="10"/>
    <n v="45.954000000000001"/>
    <x v="3"/>
  </r>
  <r>
    <x v="1562"/>
    <x v="795"/>
    <d v="2015-09-18T00:00:00"/>
    <x v="1"/>
    <s v="SN-20560"/>
    <s v="Skye Norling"/>
    <s v="Home Office"/>
    <x v="0"/>
    <x v="309"/>
    <x v="18"/>
    <x v="2"/>
    <s v="FUR-FU-10002107"/>
    <x v="0"/>
    <x v="3"/>
    <x v="262"/>
    <n v="8.92"/>
    <n v="4"/>
    <n v="3.9247999999999998"/>
    <x v="4"/>
  </r>
  <r>
    <x v="1563"/>
    <x v="23"/>
    <d v="2014-09-23T00:00:00"/>
    <x v="2"/>
    <s v="SB-20185"/>
    <s v="Sarah Brown"/>
    <s v="Consumer"/>
    <x v="0"/>
    <x v="9"/>
    <x v="8"/>
    <x v="3"/>
    <s v="FUR-BO-10004218"/>
    <x v="0"/>
    <x v="0"/>
    <x v="327"/>
    <n v="493.43"/>
    <n v="5"/>
    <n v="-70.489999999999995"/>
    <x v="4"/>
  </r>
  <r>
    <x v="1564"/>
    <x v="451"/>
    <d v="2017-12-06T00:00:00"/>
    <x v="1"/>
    <s v="SH-19975"/>
    <s v="Sally Hughsby"/>
    <s v="Corporate"/>
    <x v="0"/>
    <x v="15"/>
    <x v="13"/>
    <x v="1"/>
    <s v="FUR-FU-10000023"/>
    <x v="0"/>
    <x v="3"/>
    <x v="70"/>
    <n v="70.680000000000007"/>
    <n v="12"/>
    <n v="31.0992"/>
    <x v="5"/>
  </r>
  <r>
    <x v="1565"/>
    <x v="451"/>
    <d v="2017-12-07T00:00:00"/>
    <x v="1"/>
    <s v="ML-17755"/>
    <s v="Max Ludwig"/>
    <s v="Home Office"/>
    <x v="0"/>
    <x v="354"/>
    <x v="2"/>
    <x v="1"/>
    <s v="FUR-FU-10003394"/>
    <x v="0"/>
    <x v="3"/>
    <x v="120"/>
    <n v="629.64"/>
    <n v="9"/>
    <n v="107.03879999999999"/>
    <x v="5"/>
  </r>
  <r>
    <x v="1566"/>
    <x v="751"/>
    <d v="2016-09-18T00:00:00"/>
    <x v="2"/>
    <s v="CR-12625"/>
    <s v="Corey Roper"/>
    <s v="Home Office"/>
    <x v="0"/>
    <x v="29"/>
    <x v="24"/>
    <x v="0"/>
    <s v="FUR-CH-10001146"/>
    <x v="0"/>
    <x v="1"/>
    <x v="15"/>
    <n v="121.78"/>
    <n v="2"/>
    <n v="30.445"/>
    <x v="4"/>
  </r>
  <r>
    <x v="1567"/>
    <x v="239"/>
    <d v="2015-12-06T00:00:00"/>
    <x v="1"/>
    <s v="LC-16960"/>
    <s v="Lindsay Castell"/>
    <s v="Home Office"/>
    <x v="0"/>
    <x v="53"/>
    <x v="2"/>
    <x v="1"/>
    <s v="FUR-CH-10003973"/>
    <x v="0"/>
    <x v="1"/>
    <x v="171"/>
    <n v="2676.672"/>
    <n v="9"/>
    <n v="267.66719999999998"/>
    <x v="5"/>
  </r>
  <r>
    <x v="1568"/>
    <x v="31"/>
    <d v="2014-08-12T00:00:00"/>
    <x v="1"/>
    <s v="GZ-14470"/>
    <s v="Gary Zandusky"/>
    <s v="Consumer"/>
    <x v="0"/>
    <x v="303"/>
    <x v="5"/>
    <x v="3"/>
    <s v="FUR-TA-10001307"/>
    <x v="0"/>
    <x v="2"/>
    <x v="211"/>
    <n v="489.23"/>
    <n v="2"/>
    <n v="41.933999999999997"/>
    <x v="10"/>
  </r>
  <r>
    <x v="1569"/>
    <x v="404"/>
    <d v="2016-08-22T00:00:00"/>
    <x v="1"/>
    <s v="BD-11320"/>
    <s v="Bill Donatelli"/>
    <s v="Consumer"/>
    <x v="0"/>
    <x v="2"/>
    <x v="2"/>
    <x v="1"/>
    <s v="FUR-FU-10004071"/>
    <x v="0"/>
    <x v="3"/>
    <x v="119"/>
    <n v="312.02999999999997"/>
    <n v="3"/>
    <n v="43.684199999999997"/>
    <x v="10"/>
  </r>
  <r>
    <x v="1570"/>
    <x v="841"/>
    <d v="2016-06-04T00:00:00"/>
    <x v="1"/>
    <s v="BP-11290"/>
    <s v="Beth Paige"/>
    <s v="Consumer"/>
    <x v="0"/>
    <x v="42"/>
    <x v="8"/>
    <x v="3"/>
    <s v="FUR-FU-10001379"/>
    <x v="0"/>
    <x v="3"/>
    <x v="376"/>
    <n v="32.064"/>
    <n v="3"/>
    <n v="-12.8256"/>
    <x v="7"/>
  </r>
  <r>
    <x v="1570"/>
    <x v="841"/>
    <d v="2016-06-04T00:00:00"/>
    <x v="1"/>
    <s v="BP-11290"/>
    <s v="Beth Paige"/>
    <s v="Consumer"/>
    <x v="0"/>
    <x v="42"/>
    <x v="8"/>
    <x v="3"/>
    <s v="FUR-CH-10000422"/>
    <x v="0"/>
    <x v="1"/>
    <x v="287"/>
    <n v="191.07900000000001"/>
    <n v="3"/>
    <n v="-38.215800000000002"/>
    <x v="7"/>
  </r>
  <r>
    <x v="1571"/>
    <x v="842"/>
    <d v="2014-04-08T00:00:00"/>
    <x v="1"/>
    <s v="AH-10690"/>
    <s v="Anna HŠberlin"/>
    <s v="Corporate"/>
    <x v="0"/>
    <x v="304"/>
    <x v="25"/>
    <x v="0"/>
    <s v="FUR-FU-10003192"/>
    <x v="0"/>
    <x v="3"/>
    <x v="357"/>
    <n v="177.68"/>
    <n v="2"/>
    <n v="46.196800000000003"/>
    <x v="6"/>
  </r>
  <r>
    <x v="1572"/>
    <x v="803"/>
    <d v="2016-10-08T00:00:00"/>
    <x v="1"/>
    <s v="AH-10690"/>
    <s v="Anna HŠberlin"/>
    <s v="Corporate"/>
    <x v="0"/>
    <x v="355"/>
    <x v="1"/>
    <x v="0"/>
    <s v="FUR-FU-10002885"/>
    <x v="0"/>
    <x v="3"/>
    <x v="152"/>
    <n v="11.568"/>
    <n v="3"/>
    <n v="2.6027999999999998"/>
    <x v="1"/>
  </r>
  <r>
    <x v="1573"/>
    <x v="772"/>
    <d v="2016-02-03T00:00:00"/>
    <x v="1"/>
    <s v="DF-13135"/>
    <s v="David Flashing"/>
    <s v="Consumer"/>
    <x v="0"/>
    <x v="88"/>
    <x v="8"/>
    <x v="3"/>
    <s v="FUR-TA-10004256"/>
    <x v="0"/>
    <x v="2"/>
    <x v="103"/>
    <n v="626.1"/>
    <n v="3"/>
    <n v="-538.44600000000003"/>
    <x v="8"/>
  </r>
  <r>
    <x v="1574"/>
    <x v="315"/>
    <d v="2015-04-17T00:00:00"/>
    <x v="1"/>
    <s v="FP-14320"/>
    <s v="Frank Preis"/>
    <s v="Consumer"/>
    <x v="0"/>
    <x v="156"/>
    <x v="5"/>
    <x v="3"/>
    <s v="FUR-TA-10000688"/>
    <x v="0"/>
    <x v="2"/>
    <x v="116"/>
    <n v="609.98"/>
    <n v="4"/>
    <n v="-113.282"/>
    <x v="6"/>
  </r>
  <r>
    <x v="1574"/>
    <x v="315"/>
    <d v="2015-04-17T00:00:00"/>
    <x v="1"/>
    <s v="FP-14320"/>
    <s v="Frank Preis"/>
    <s v="Consumer"/>
    <x v="0"/>
    <x v="156"/>
    <x v="5"/>
    <x v="3"/>
    <s v="FUR-TA-10002530"/>
    <x v="0"/>
    <x v="2"/>
    <x v="197"/>
    <n v="211.37200000000001"/>
    <n v="2"/>
    <n v="-45.293999999999997"/>
    <x v="6"/>
  </r>
  <r>
    <x v="1575"/>
    <x v="186"/>
    <d v="2017-12-24T00:00:00"/>
    <x v="1"/>
    <s v="HE-14800"/>
    <s v="Harold Engle"/>
    <s v="Corporate"/>
    <x v="0"/>
    <x v="79"/>
    <x v="16"/>
    <x v="3"/>
    <s v="FUR-FU-10001057"/>
    <x v="0"/>
    <x v="3"/>
    <x v="369"/>
    <n v="99.95"/>
    <n v="5"/>
    <n v="22.988499999999998"/>
    <x v="5"/>
  </r>
  <r>
    <x v="1576"/>
    <x v="269"/>
    <d v="2016-03-19T00:00:00"/>
    <x v="1"/>
    <s v="SP-20545"/>
    <s v="Sibella Parks"/>
    <s v="Corporate"/>
    <x v="0"/>
    <x v="356"/>
    <x v="16"/>
    <x v="3"/>
    <s v="FUR-FU-10003724"/>
    <x v="0"/>
    <x v="3"/>
    <x v="181"/>
    <n v="16.739999999999998"/>
    <n v="2"/>
    <n v="4.3524000000000003"/>
    <x v="9"/>
  </r>
  <r>
    <x v="1577"/>
    <x v="843"/>
    <d v="2017-10-16T00:00:00"/>
    <x v="1"/>
    <s v="SW-20245"/>
    <s v="Scot Wooten"/>
    <s v="Consumer"/>
    <x v="0"/>
    <x v="14"/>
    <x v="8"/>
    <x v="3"/>
    <s v="FUR-CH-10001545"/>
    <x v="0"/>
    <x v="1"/>
    <x v="361"/>
    <n v="239.358"/>
    <n v="3"/>
    <n v="-47.871600000000001"/>
    <x v="1"/>
  </r>
  <r>
    <x v="1578"/>
    <x v="313"/>
    <d v="2017-12-28T00:00:00"/>
    <x v="1"/>
    <s v="JL-15130"/>
    <s v="Jack Lebron"/>
    <s v="Consumer"/>
    <x v="0"/>
    <x v="38"/>
    <x v="9"/>
    <x v="0"/>
    <s v="FUR-TA-10002903"/>
    <x v="0"/>
    <x v="2"/>
    <x v="52"/>
    <n v="934.95600000000002"/>
    <n v="6"/>
    <n v="-249.32159999999999"/>
    <x v="5"/>
  </r>
  <r>
    <x v="1579"/>
    <x v="98"/>
    <d v="2014-08-10T00:00:00"/>
    <x v="0"/>
    <s v="VG-21790"/>
    <s v="Vivek Gonzalez"/>
    <s v="Consumer"/>
    <x v="0"/>
    <x v="51"/>
    <x v="1"/>
    <x v="0"/>
    <s v="FUR-BO-10000468"/>
    <x v="0"/>
    <x v="0"/>
    <x v="233"/>
    <n v="155.45599999999999"/>
    <n v="4"/>
    <n v="-7.7728000000000002"/>
    <x v="10"/>
  </r>
  <r>
    <x v="1580"/>
    <x v="19"/>
    <d v="2017-12-28T00:00:00"/>
    <x v="2"/>
    <s v="JH-15430"/>
    <s v="Jennifer Halladay"/>
    <s v="Consumer"/>
    <x v="0"/>
    <x v="173"/>
    <x v="1"/>
    <x v="0"/>
    <s v="FUR-FU-10004963"/>
    <x v="0"/>
    <x v="3"/>
    <x v="289"/>
    <n v="21"/>
    <n v="3"/>
    <n v="5.7750000000000004"/>
    <x v="5"/>
  </r>
  <r>
    <x v="1581"/>
    <x v="608"/>
    <d v="2017-11-30T00:00:00"/>
    <x v="1"/>
    <s v="RO-19780"/>
    <s v="Rose O'Brian"/>
    <s v="Consumer"/>
    <x v="0"/>
    <x v="6"/>
    <x v="5"/>
    <x v="3"/>
    <s v="FUR-CH-10002126"/>
    <x v="0"/>
    <x v="1"/>
    <x v="168"/>
    <n v="853.93"/>
    <n v="5"/>
    <n v="-24.398"/>
    <x v="0"/>
  </r>
  <r>
    <x v="1582"/>
    <x v="541"/>
    <d v="2016-11-07T00:00:00"/>
    <x v="2"/>
    <s v="LW-17125"/>
    <s v="Liz Willingham"/>
    <s v="Consumer"/>
    <x v="0"/>
    <x v="304"/>
    <x v="25"/>
    <x v="0"/>
    <s v="FUR-FU-10004665"/>
    <x v="0"/>
    <x v="3"/>
    <x v="266"/>
    <n v="273.95999999999998"/>
    <n v="2"/>
    <n v="71.229600000000005"/>
    <x v="0"/>
  </r>
  <r>
    <x v="1582"/>
    <x v="541"/>
    <d v="2016-11-07T00:00:00"/>
    <x v="2"/>
    <s v="LW-17125"/>
    <s v="Liz Willingham"/>
    <s v="Consumer"/>
    <x v="0"/>
    <x v="304"/>
    <x v="25"/>
    <x v="0"/>
    <s v="FUR-FU-10003806"/>
    <x v="0"/>
    <x v="3"/>
    <x v="372"/>
    <n v="756.8"/>
    <n v="5"/>
    <n v="75.680000000000007"/>
    <x v="0"/>
  </r>
  <r>
    <x v="1583"/>
    <x v="361"/>
    <d v="2016-11-07T00:00:00"/>
    <x v="1"/>
    <s v="JP-16135"/>
    <s v="Julie Prescott"/>
    <s v="Home Office"/>
    <x v="0"/>
    <x v="3"/>
    <x v="3"/>
    <x v="2"/>
    <s v="FUR-CH-10004886"/>
    <x v="0"/>
    <x v="1"/>
    <x v="77"/>
    <n v="470.15499999999997"/>
    <n v="7"/>
    <n v="-13.433"/>
    <x v="0"/>
  </r>
  <r>
    <x v="1584"/>
    <x v="781"/>
    <d v="2017-03-28T00:00:00"/>
    <x v="1"/>
    <s v="MV-17485"/>
    <s v="Mark Van Huff"/>
    <s v="Consumer"/>
    <x v="0"/>
    <x v="13"/>
    <x v="7"/>
    <x v="2"/>
    <s v="FUR-CH-10000665"/>
    <x v="0"/>
    <x v="1"/>
    <x v="140"/>
    <n v="271.76400000000001"/>
    <n v="2"/>
    <n v="60.392000000000003"/>
    <x v="9"/>
  </r>
  <r>
    <x v="1585"/>
    <x v="844"/>
    <d v="2017-04-27T00:00:00"/>
    <x v="0"/>
    <s v="RL-19615"/>
    <s v="Rob Lucas"/>
    <s v="Consumer"/>
    <x v="0"/>
    <x v="2"/>
    <x v="2"/>
    <x v="1"/>
    <s v="FUR-BO-10004709"/>
    <x v="0"/>
    <x v="0"/>
    <x v="53"/>
    <n v="344.98099999999999"/>
    <n v="7"/>
    <n v="28.4102"/>
    <x v="6"/>
  </r>
  <r>
    <x v="1586"/>
    <x v="68"/>
    <d v="2017-11-26T00:00:00"/>
    <x v="2"/>
    <s v="JP-15460"/>
    <s v="Jennifer Patt"/>
    <s v="Corporate"/>
    <x v="0"/>
    <x v="144"/>
    <x v="5"/>
    <x v="3"/>
    <s v="FUR-TA-10003008"/>
    <x v="0"/>
    <x v="2"/>
    <x v="190"/>
    <n v="127.785"/>
    <n v="1"/>
    <n v="-31.0335"/>
    <x v="0"/>
  </r>
  <r>
    <x v="1587"/>
    <x v="845"/>
    <d v="2016-03-12T00:00:00"/>
    <x v="1"/>
    <s v="LC-16870"/>
    <s v="Lena Cacioppo"/>
    <s v="Consumer"/>
    <x v="0"/>
    <x v="9"/>
    <x v="8"/>
    <x v="3"/>
    <s v="FUR-FU-10003773"/>
    <x v="0"/>
    <x v="3"/>
    <x v="30"/>
    <n v="159.04"/>
    <n v="5"/>
    <n v="-194.82400000000001"/>
    <x v="9"/>
  </r>
  <r>
    <x v="1587"/>
    <x v="845"/>
    <d v="2016-03-12T00:00:00"/>
    <x v="1"/>
    <s v="LC-16870"/>
    <s v="Lena Cacioppo"/>
    <s v="Consumer"/>
    <x v="0"/>
    <x v="9"/>
    <x v="8"/>
    <x v="3"/>
    <s v="FUR-TA-10000849"/>
    <x v="0"/>
    <x v="2"/>
    <x v="261"/>
    <n v="145.97999999999999"/>
    <n v="2"/>
    <n v="-99.266400000000004"/>
    <x v="9"/>
  </r>
  <r>
    <x v="1588"/>
    <x v="62"/>
    <d v="2015-12-07T00:00:00"/>
    <x v="1"/>
    <s v="JG-15115"/>
    <s v="Jack Garza"/>
    <s v="Consumer"/>
    <x v="0"/>
    <x v="51"/>
    <x v="30"/>
    <x v="0"/>
    <s v="FUR-FU-10000222"/>
    <x v="0"/>
    <x v="3"/>
    <x v="125"/>
    <n v="77.951999999999998"/>
    <n v="3"/>
    <n v="12.667199999999999"/>
    <x v="5"/>
  </r>
  <r>
    <x v="1589"/>
    <x v="37"/>
    <d v="2015-12-30T00:00:00"/>
    <x v="1"/>
    <s v="HM-14860"/>
    <s v="Harry Marie"/>
    <s v="Corporate"/>
    <x v="0"/>
    <x v="76"/>
    <x v="23"/>
    <x v="3"/>
    <s v="FUR-FU-10003026"/>
    <x v="0"/>
    <x v="3"/>
    <x v="318"/>
    <n v="9.68"/>
    <n v="2"/>
    <n v="3.7751999999999999"/>
    <x v="5"/>
  </r>
  <r>
    <x v="1590"/>
    <x v="259"/>
    <d v="2017-10-21T00:00:00"/>
    <x v="1"/>
    <s v="VP-21760"/>
    <s v="Victoria Pisteka"/>
    <s v="Corporate"/>
    <x v="0"/>
    <x v="11"/>
    <x v="9"/>
    <x v="0"/>
    <s v="FUR-TA-10001950"/>
    <x v="0"/>
    <x v="2"/>
    <x v="252"/>
    <n v="1875.258"/>
    <n v="7"/>
    <n v="-968.88329999999996"/>
    <x v="1"/>
  </r>
  <r>
    <x v="1591"/>
    <x v="846"/>
    <d v="2017-05-17T00:00:00"/>
    <x v="1"/>
    <s v="MH-18115"/>
    <s v="Mick Hernandez"/>
    <s v="Home Office"/>
    <x v="0"/>
    <x v="3"/>
    <x v="3"/>
    <x v="2"/>
    <s v="FUR-CH-10001482"/>
    <x v="0"/>
    <x v="1"/>
    <x v="112"/>
    <n v="458.43"/>
    <n v="5"/>
    <n v="-124.431"/>
    <x v="7"/>
  </r>
  <r>
    <x v="1592"/>
    <x v="414"/>
    <d v="2017-11-18T00:00:00"/>
    <x v="3"/>
    <s v="NB-18655"/>
    <s v="Nona Balk"/>
    <s v="Corporate"/>
    <x v="0"/>
    <x v="79"/>
    <x v="16"/>
    <x v="3"/>
    <s v="FUR-FU-10000206"/>
    <x v="0"/>
    <x v="3"/>
    <x v="84"/>
    <n v="5.82"/>
    <n v="2"/>
    <n v="2.7353999999999998"/>
    <x v="0"/>
  </r>
  <r>
    <x v="1593"/>
    <x v="629"/>
    <d v="2016-02-22T00:00:00"/>
    <x v="2"/>
    <s v="EA-14035"/>
    <s v="Erin Ashbrook"/>
    <s v="Corporate"/>
    <x v="0"/>
    <x v="13"/>
    <x v="7"/>
    <x v="2"/>
    <s v="FUR-FU-10001861"/>
    <x v="0"/>
    <x v="3"/>
    <x v="57"/>
    <n v="135.80000000000001"/>
    <n v="7"/>
    <n v="66.542000000000002"/>
    <x v="11"/>
  </r>
  <r>
    <x v="1594"/>
    <x v="439"/>
    <d v="2014-12-18T00:00:00"/>
    <x v="0"/>
    <s v="LE-16810"/>
    <s v="Laurel Elliston"/>
    <s v="Consumer"/>
    <x v="0"/>
    <x v="76"/>
    <x v="25"/>
    <x v="0"/>
    <s v="FUR-FU-10002268"/>
    <x v="0"/>
    <x v="3"/>
    <x v="172"/>
    <n v="29.46"/>
    <n v="6"/>
    <n v="9.7218"/>
    <x v="5"/>
  </r>
  <r>
    <x v="1595"/>
    <x v="847"/>
    <d v="2016-08-23T00:00:00"/>
    <x v="2"/>
    <s v="TC-21475"/>
    <s v="Tony Chapman"/>
    <s v="Home Office"/>
    <x v="0"/>
    <x v="200"/>
    <x v="12"/>
    <x v="1"/>
    <s v="FUR-FU-10001979"/>
    <x v="0"/>
    <x v="3"/>
    <x v="107"/>
    <n v="98.328000000000003"/>
    <n v="3"/>
    <n v="9.8328000000000007"/>
    <x v="10"/>
  </r>
  <r>
    <x v="1596"/>
    <x v="330"/>
    <d v="2015-07-02T00:00:00"/>
    <x v="2"/>
    <s v="SG-20470"/>
    <s v="Sheri Gordon"/>
    <s v="Consumer"/>
    <x v="0"/>
    <x v="13"/>
    <x v="7"/>
    <x v="2"/>
    <s v="FUR-CH-10001482"/>
    <x v="0"/>
    <x v="1"/>
    <x v="112"/>
    <n v="117.88200000000001"/>
    <n v="1"/>
    <n v="1.3098000000000001"/>
    <x v="2"/>
  </r>
  <r>
    <x v="1597"/>
    <x v="517"/>
    <d v="2016-07-02T00:00:00"/>
    <x v="1"/>
    <s v="VP-21760"/>
    <s v="Victoria Pisteka"/>
    <s v="Corporate"/>
    <x v="0"/>
    <x v="13"/>
    <x v="7"/>
    <x v="2"/>
    <s v="FUR-FU-10003976"/>
    <x v="0"/>
    <x v="3"/>
    <x v="195"/>
    <n v="37.74"/>
    <n v="3"/>
    <n v="12.8316"/>
    <x v="2"/>
  </r>
  <r>
    <x v="1598"/>
    <x v="334"/>
    <d v="2016-09-22T00:00:00"/>
    <x v="1"/>
    <s v="PO-18865"/>
    <s v="Patrick O'Donnell"/>
    <s v="Consumer"/>
    <x v="0"/>
    <x v="357"/>
    <x v="20"/>
    <x v="2"/>
    <s v="FUR-FU-10002597"/>
    <x v="0"/>
    <x v="3"/>
    <x v="132"/>
    <n v="14.82"/>
    <n v="3"/>
    <n v="6.2244000000000002"/>
    <x v="4"/>
  </r>
  <r>
    <x v="1598"/>
    <x v="334"/>
    <d v="2016-09-22T00:00:00"/>
    <x v="1"/>
    <s v="PO-18865"/>
    <s v="Patrick O'Donnell"/>
    <s v="Consumer"/>
    <x v="0"/>
    <x v="357"/>
    <x v="20"/>
    <x v="2"/>
    <s v="FUR-FU-10004864"/>
    <x v="0"/>
    <x v="3"/>
    <x v="92"/>
    <n v="191.82"/>
    <n v="3"/>
    <n v="61.382399999999997"/>
    <x v="4"/>
  </r>
  <r>
    <x v="1599"/>
    <x v="449"/>
    <d v="2017-09-01T00:00:00"/>
    <x v="3"/>
    <s v="RW-19540"/>
    <s v="Rick Wilson"/>
    <s v="Corporate"/>
    <x v="0"/>
    <x v="15"/>
    <x v="13"/>
    <x v="1"/>
    <s v="FUR-TA-10002607"/>
    <x v="0"/>
    <x v="2"/>
    <x v="48"/>
    <n v="283.56"/>
    <n v="4"/>
    <n v="45.369599999999998"/>
    <x v="4"/>
  </r>
  <r>
    <x v="1600"/>
    <x v="848"/>
    <d v="2017-06-26T00:00:00"/>
    <x v="1"/>
    <s v="RB-19465"/>
    <s v="Rick Bensley"/>
    <s v="Home Office"/>
    <x v="0"/>
    <x v="25"/>
    <x v="17"/>
    <x v="3"/>
    <s v="FUR-CH-10000454"/>
    <x v="0"/>
    <x v="1"/>
    <x v="1"/>
    <n v="487.96"/>
    <n v="2"/>
    <n v="146.38800000000001"/>
    <x v="2"/>
  </r>
  <r>
    <x v="1601"/>
    <x v="539"/>
    <d v="2014-09-24T00:00:00"/>
    <x v="1"/>
    <s v="ND-18460"/>
    <s v="Neil Ducich"/>
    <s v="Corporate"/>
    <x v="0"/>
    <x v="262"/>
    <x v="22"/>
    <x v="1"/>
    <s v="FUR-TA-10004607"/>
    <x v="0"/>
    <x v="2"/>
    <x v="212"/>
    <n v="73.915000000000006"/>
    <n v="1"/>
    <n v="-45.827300000000001"/>
    <x v="4"/>
  </r>
  <r>
    <x v="1602"/>
    <x v="849"/>
    <d v="2014-10-03T00:00:00"/>
    <x v="1"/>
    <s v="XP-21865"/>
    <s v="Xylona Preis"/>
    <s v="Consumer"/>
    <x v="0"/>
    <x v="358"/>
    <x v="1"/>
    <x v="0"/>
    <s v="FUR-FU-10000277"/>
    <x v="0"/>
    <x v="3"/>
    <x v="371"/>
    <n v="337.08800000000002"/>
    <n v="4"/>
    <n v="16.854399999999998"/>
    <x v="4"/>
  </r>
  <r>
    <x v="1603"/>
    <x v="46"/>
    <d v="2015-11-04T00:00:00"/>
    <x v="2"/>
    <s v="ED-13885"/>
    <s v="Emily Ducich"/>
    <s v="Home Office"/>
    <x v="0"/>
    <x v="13"/>
    <x v="7"/>
    <x v="2"/>
    <s v="FUR-CH-10002073"/>
    <x v="0"/>
    <x v="1"/>
    <x v="370"/>
    <n v="2621.3220000000001"/>
    <n v="11"/>
    <n v="553.39020000000005"/>
    <x v="0"/>
  </r>
  <r>
    <x v="1604"/>
    <x v="798"/>
    <d v="2015-10-24T00:00:00"/>
    <x v="1"/>
    <s v="SV-20785"/>
    <s v="Stewart Visinsky"/>
    <s v="Consumer"/>
    <x v="0"/>
    <x v="2"/>
    <x v="2"/>
    <x v="1"/>
    <s v="FUR-FU-10003424"/>
    <x v="0"/>
    <x v="3"/>
    <x v="345"/>
    <n v="74.760000000000005"/>
    <n v="7"/>
    <n v="23.923200000000001"/>
    <x v="1"/>
  </r>
  <r>
    <x v="1604"/>
    <x v="798"/>
    <d v="2015-10-24T00:00:00"/>
    <x v="1"/>
    <s v="SV-20785"/>
    <s v="Stewart Visinsky"/>
    <s v="Consumer"/>
    <x v="0"/>
    <x v="2"/>
    <x v="2"/>
    <x v="1"/>
    <s v="FUR-TA-10001086"/>
    <x v="0"/>
    <x v="2"/>
    <x v="360"/>
    <n v="364.77600000000001"/>
    <n v="3"/>
    <n v="27.3582"/>
    <x v="1"/>
  </r>
  <r>
    <x v="1605"/>
    <x v="184"/>
    <d v="2016-06-18T00:00:00"/>
    <x v="1"/>
    <s v="AR-10825"/>
    <s v="Anthony Rawles"/>
    <s v="Corporate"/>
    <x v="0"/>
    <x v="15"/>
    <x v="13"/>
    <x v="1"/>
    <s v="FUR-TA-10004619"/>
    <x v="0"/>
    <x v="2"/>
    <x v="178"/>
    <n v="1115.17"/>
    <n v="7"/>
    <n v="334.55099999999999"/>
    <x v="2"/>
  </r>
  <r>
    <x v="1606"/>
    <x v="227"/>
    <d v="2016-09-05T00:00:00"/>
    <x v="0"/>
    <s v="BM-11140"/>
    <s v="Becky Martin"/>
    <s v="Consumer"/>
    <x v="0"/>
    <x v="67"/>
    <x v="13"/>
    <x v="1"/>
    <s v="FUR-CH-10003061"/>
    <x v="0"/>
    <x v="1"/>
    <x v="12"/>
    <n v="215.976"/>
    <n v="3"/>
    <n v="-2.6997"/>
    <x v="4"/>
  </r>
  <r>
    <x v="1607"/>
    <x v="423"/>
    <d v="2017-12-05T00:00:00"/>
    <x v="2"/>
    <s v="KE-16420"/>
    <s v="Katrina Edelman"/>
    <s v="Corporate"/>
    <x v="0"/>
    <x v="3"/>
    <x v="3"/>
    <x v="2"/>
    <s v="FUR-FU-10001918"/>
    <x v="0"/>
    <x v="3"/>
    <x v="60"/>
    <n v="11.352"/>
    <n v="3"/>
    <n v="2.6960999999999999"/>
    <x v="5"/>
  </r>
  <r>
    <x v="1608"/>
    <x v="285"/>
    <d v="2016-02-23T00:00:00"/>
    <x v="1"/>
    <s v="GW-14605"/>
    <s v="Giulietta Weimer"/>
    <s v="Consumer"/>
    <x v="0"/>
    <x v="0"/>
    <x v="0"/>
    <x v="0"/>
    <s v="FUR-FU-10003773"/>
    <x v="0"/>
    <x v="3"/>
    <x v="30"/>
    <n v="318.08"/>
    <n v="4"/>
    <n v="34.988799999999998"/>
    <x v="11"/>
  </r>
  <r>
    <x v="1609"/>
    <x v="73"/>
    <d v="2016-09-30T00:00:00"/>
    <x v="1"/>
    <s v="LR-17035"/>
    <s v="Lisa Ryan"/>
    <s v="Corporate"/>
    <x v="0"/>
    <x v="6"/>
    <x v="5"/>
    <x v="3"/>
    <s v="FUR-CH-10000513"/>
    <x v="0"/>
    <x v="1"/>
    <x v="16"/>
    <n v="454.96499999999997"/>
    <n v="5"/>
    <n v="-136.48949999999999"/>
    <x v="4"/>
  </r>
  <r>
    <x v="1610"/>
    <x v="741"/>
    <d v="2015-07-03T00:00:00"/>
    <x v="0"/>
    <s v="DW-13585"/>
    <s v="Dorothy Wardle"/>
    <s v="Corporate"/>
    <x v="0"/>
    <x v="8"/>
    <x v="15"/>
    <x v="2"/>
    <s v="FUR-BO-10001918"/>
    <x v="0"/>
    <x v="0"/>
    <x v="224"/>
    <n v="482.94"/>
    <n v="6"/>
    <n v="-376.69319999999999"/>
    <x v="2"/>
  </r>
  <r>
    <x v="1611"/>
    <x v="86"/>
    <d v="2015-11-12T00:00:00"/>
    <x v="1"/>
    <s v="AB-10105"/>
    <s v="Adrian Barton"/>
    <s v="Consumer"/>
    <x v="0"/>
    <x v="6"/>
    <x v="5"/>
    <x v="3"/>
    <s v="FUR-FU-10000193"/>
    <x v="0"/>
    <x v="3"/>
    <x v="306"/>
    <n v="64.959999999999994"/>
    <n v="5"/>
    <n v="-84.447999999999993"/>
    <x v="0"/>
  </r>
  <r>
    <x v="1612"/>
    <x v="850"/>
    <d v="2017-01-24T00:00:00"/>
    <x v="0"/>
    <s v="NS-18505"/>
    <s v="Neola Schneider"/>
    <s v="Consumer"/>
    <x v="0"/>
    <x v="3"/>
    <x v="3"/>
    <x v="2"/>
    <s v="FUR-FU-10002759"/>
    <x v="0"/>
    <x v="3"/>
    <x v="115"/>
    <n v="31.968"/>
    <n v="2"/>
    <n v="6.3936000000000002"/>
    <x v="8"/>
  </r>
  <r>
    <x v="1612"/>
    <x v="850"/>
    <d v="2017-01-24T00:00:00"/>
    <x v="0"/>
    <s v="NS-18505"/>
    <s v="Neola Schneider"/>
    <s v="Consumer"/>
    <x v="0"/>
    <x v="3"/>
    <x v="3"/>
    <x v="2"/>
    <s v="FUR-CH-10000309"/>
    <x v="0"/>
    <x v="1"/>
    <x v="155"/>
    <n v="887.27099999999996"/>
    <n v="3"/>
    <n v="-63.3765"/>
    <x v="8"/>
  </r>
  <r>
    <x v="1613"/>
    <x v="851"/>
    <d v="2016-08-20T00:00:00"/>
    <x v="0"/>
    <s v="MA-17560"/>
    <s v="Matt Abelman"/>
    <s v="Home Office"/>
    <x v="0"/>
    <x v="6"/>
    <x v="5"/>
    <x v="3"/>
    <s v="FUR-FU-10001940"/>
    <x v="0"/>
    <x v="3"/>
    <x v="47"/>
    <n v="9.5519999999999996"/>
    <n v="3"/>
    <n v="-3.8208000000000002"/>
    <x v="10"/>
  </r>
  <r>
    <x v="1613"/>
    <x v="851"/>
    <d v="2016-08-20T00:00:00"/>
    <x v="0"/>
    <s v="MA-17560"/>
    <s v="Matt Abelman"/>
    <s v="Home Office"/>
    <x v="0"/>
    <x v="6"/>
    <x v="5"/>
    <x v="3"/>
    <s v="FUR-FU-10000320"/>
    <x v="0"/>
    <x v="3"/>
    <x v="311"/>
    <n v="5.3440000000000003"/>
    <n v="4"/>
    <n v="-2.1375999999999999"/>
    <x v="10"/>
  </r>
  <r>
    <x v="1614"/>
    <x v="852"/>
    <d v="2016-03-26T00:00:00"/>
    <x v="0"/>
    <s v="DC-12850"/>
    <s v="Dan Campbell"/>
    <s v="Consumer"/>
    <x v="0"/>
    <x v="59"/>
    <x v="15"/>
    <x v="2"/>
    <s v="FUR-BO-10004357"/>
    <x v="0"/>
    <x v="0"/>
    <x v="268"/>
    <n v="301.47000000000003"/>
    <n v="3"/>
    <n v="-241.17599999999999"/>
    <x v="9"/>
  </r>
  <r>
    <x v="1615"/>
    <x v="15"/>
    <d v="2017-06-01T00:00:00"/>
    <x v="1"/>
    <s v="MD-17860"/>
    <s v="Michael Dominguez"/>
    <s v="Corporate"/>
    <x v="0"/>
    <x v="359"/>
    <x v="32"/>
    <x v="2"/>
    <s v="FUR-FU-10001473"/>
    <x v="0"/>
    <x v="3"/>
    <x v="198"/>
    <n v="27.46"/>
    <n v="2"/>
    <n v="9.8856000000000002"/>
    <x v="7"/>
  </r>
  <r>
    <x v="1616"/>
    <x v="853"/>
    <d v="2016-08-03T00:00:00"/>
    <x v="0"/>
    <s v="KM-16660"/>
    <s v="Khloe Miller"/>
    <s v="Consumer"/>
    <x v="0"/>
    <x v="3"/>
    <x v="3"/>
    <x v="2"/>
    <s v="FUR-FU-10004864"/>
    <x v="0"/>
    <x v="3"/>
    <x v="356"/>
    <n v="19.312000000000001"/>
    <n v="2"/>
    <n v="3.1381999999999999"/>
    <x v="10"/>
  </r>
  <r>
    <x v="1617"/>
    <x v="6"/>
    <d v="2016-12-12T00:00:00"/>
    <x v="1"/>
    <s v="AG-10900"/>
    <s v="Arthur Gainer"/>
    <s v="Consumer"/>
    <x v="0"/>
    <x v="360"/>
    <x v="16"/>
    <x v="3"/>
    <s v="FUR-BO-10003450"/>
    <x v="0"/>
    <x v="0"/>
    <x v="265"/>
    <n v="405.86"/>
    <n v="7"/>
    <n v="32.468800000000002"/>
    <x v="5"/>
  </r>
  <r>
    <x v="1617"/>
    <x v="6"/>
    <d v="2016-12-12T00:00:00"/>
    <x v="1"/>
    <s v="AG-10900"/>
    <s v="Arthur Gainer"/>
    <s v="Consumer"/>
    <x v="0"/>
    <x v="360"/>
    <x v="16"/>
    <x v="3"/>
    <s v="FUR-CH-10002335"/>
    <x v="0"/>
    <x v="1"/>
    <x v="133"/>
    <n v="680.01"/>
    <n v="3"/>
    <n v="176.80260000000001"/>
    <x v="5"/>
  </r>
  <r>
    <x v="1618"/>
    <x v="193"/>
    <d v="2016-12-01T00:00:00"/>
    <x v="3"/>
    <s v="LB-16795"/>
    <s v="Laurel Beltran"/>
    <s v="Home Office"/>
    <x v="0"/>
    <x v="299"/>
    <x v="2"/>
    <x v="1"/>
    <s v="FUR-FU-10000448"/>
    <x v="0"/>
    <x v="3"/>
    <x v="98"/>
    <n v="31.96"/>
    <n v="2"/>
    <n v="1.5980000000000001"/>
    <x v="5"/>
  </r>
  <r>
    <x v="1619"/>
    <x v="854"/>
    <d v="2017-08-11T00:00:00"/>
    <x v="1"/>
    <s v="JL-15505"/>
    <s v="Jeremy Lonsdale"/>
    <s v="Consumer"/>
    <x v="0"/>
    <x v="327"/>
    <x v="2"/>
    <x v="1"/>
    <s v="FUR-FU-10004848"/>
    <x v="0"/>
    <x v="3"/>
    <x v="7"/>
    <n v="51.75"/>
    <n v="1"/>
    <n v="15.525"/>
    <x v="10"/>
  </r>
  <r>
    <x v="1619"/>
    <x v="854"/>
    <d v="2017-08-11T00:00:00"/>
    <x v="1"/>
    <s v="JL-15505"/>
    <s v="Jeremy Lonsdale"/>
    <s v="Consumer"/>
    <x v="0"/>
    <x v="327"/>
    <x v="2"/>
    <x v="1"/>
    <s v="FUR-CH-10002317"/>
    <x v="0"/>
    <x v="1"/>
    <x v="378"/>
    <n v="207.184"/>
    <n v="1"/>
    <n v="25.898"/>
    <x v="10"/>
  </r>
  <r>
    <x v="1620"/>
    <x v="769"/>
    <d v="2014-05-15T00:00:00"/>
    <x v="1"/>
    <s v="GM-14680"/>
    <s v="Greg Matthias"/>
    <s v="Consumer"/>
    <x v="0"/>
    <x v="124"/>
    <x v="2"/>
    <x v="1"/>
    <s v="FUR-CH-10002320"/>
    <x v="0"/>
    <x v="1"/>
    <x v="297"/>
    <n v="256.78399999999999"/>
    <n v="1"/>
    <n v="32.097999999999999"/>
    <x v="7"/>
  </r>
  <r>
    <x v="1621"/>
    <x v="816"/>
    <d v="2016-10-20T00:00:00"/>
    <x v="2"/>
    <s v="NR-18550"/>
    <s v="Nick Radford"/>
    <s v="Consumer"/>
    <x v="0"/>
    <x v="361"/>
    <x v="18"/>
    <x v="2"/>
    <s v="FUR-BO-10001337"/>
    <x v="0"/>
    <x v="0"/>
    <x v="90"/>
    <n v="120.98"/>
    <n v="1"/>
    <n v="12.098000000000001"/>
    <x v="1"/>
  </r>
  <r>
    <x v="1622"/>
    <x v="489"/>
    <d v="2014-12-15T00:00:00"/>
    <x v="1"/>
    <s v="DJ-13420"/>
    <s v="Denny Joy"/>
    <s v="Corporate"/>
    <x v="0"/>
    <x v="28"/>
    <x v="2"/>
    <x v="1"/>
    <s v="FUR-FU-10000397"/>
    <x v="0"/>
    <x v="3"/>
    <x v="14"/>
    <n v="39.880000000000003"/>
    <n v="2"/>
    <n v="11.166399999999999"/>
    <x v="5"/>
  </r>
  <r>
    <x v="1622"/>
    <x v="489"/>
    <d v="2014-12-15T00:00:00"/>
    <x v="1"/>
    <s v="DJ-13420"/>
    <s v="Denny Joy"/>
    <s v="Corporate"/>
    <x v="0"/>
    <x v="28"/>
    <x v="2"/>
    <x v="1"/>
    <s v="FUR-FU-10000758"/>
    <x v="0"/>
    <x v="3"/>
    <x v="207"/>
    <n v="79.44"/>
    <n v="3"/>
    <n v="28.598400000000002"/>
    <x v="5"/>
  </r>
  <r>
    <x v="1623"/>
    <x v="793"/>
    <d v="2015-08-20T00:00:00"/>
    <x v="1"/>
    <s v="JW-15955"/>
    <s v="Joni Wasserman"/>
    <s v="Consumer"/>
    <x v="0"/>
    <x v="3"/>
    <x v="3"/>
    <x v="2"/>
    <s v="FUR-BO-10000780"/>
    <x v="0"/>
    <x v="0"/>
    <x v="258"/>
    <n v="301.47000000000003"/>
    <n v="3"/>
    <n v="-204.99959999999999"/>
    <x v="10"/>
  </r>
  <r>
    <x v="1624"/>
    <x v="540"/>
    <d v="2017-10-14T00:00:00"/>
    <x v="2"/>
    <s v="MH-18025"/>
    <s v="Michelle Huthwaite"/>
    <s v="Consumer"/>
    <x v="0"/>
    <x v="120"/>
    <x v="35"/>
    <x v="0"/>
    <s v="FUR-TA-10003473"/>
    <x v="0"/>
    <x v="2"/>
    <x v="44"/>
    <n v="1504.52"/>
    <n v="4"/>
    <n v="346.03960000000001"/>
    <x v="1"/>
  </r>
  <r>
    <x v="1625"/>
    <x v="227"/>
    <d v="2016-09-06T00:00:00"/>
    <x v="1"/>
    <s v="LR-16915"/>
    <s v="Lena Radford"/>
    <s v="Consumer"/>
    <x v="0"/>
    <x v="2"/>
    <x v="2"/>
    <x v="1"/>
    <s v="FUR-FU-10001889"/>
    <x v="0"/>
    <x v="3"/>
    <x v="228"/>
    <n v="94.68"/>
    <n v="9"/>
    <n v="31.244399999999999"/>
    <x v="4"/>
  </r>
  <r>
    <x v="1625"/>
    <x v="227"/>
    <d v="2016-09-06T00:00:00"/>
    <x v="1"/>
    <s v="LR-16915"/>
    <s v="Lena Radford"/>
    <s v="Consumer"/>
    <x v="0"/>
    <x v="2"/>
    <x v="2"/>
    <x v="1"/>
    <s v="FUR-TA-10001539"/>
    <x v="0"/>
    <x v="2"/>
    <x v="4"/>
    <n v="568.72799999999995"/>
    <n v="3"/>
    <n v="28.436399999999999"/>
    <x v="4"/>
  </r>
  <r>
    <x v="1626"/>
    <x v="441"/>
    <d v="2017-02-14T00:00:00"/>
    <x v="2"/>
    <s v="MM-17260"/>
    <s v="Magdelene Morse"/>
    <s v="Consumer"/>
    <x v="0"/>
    <x v="29"/>
    <x v="15"/>
    <x v="2"/>
    <s v="FUR-FU-10003601"/>
    <x v="0"/>
    <x v="3"/>
    <x v="148"/>
    <n v="147.56800000000001"/>
    <n v="2"/>
    <n v="-3.6892"/>
    <x v="11"/>
  </r>
  <r>
    <x v="1627"/>
    <x v="855"/>
    <d v="2014-07-14T00:00:00"/>
    <x v="1"/>
    <s v="DS-13030"/>
    <s v="Darrin Sayre"/>
    <s v="Home Office"/>
    <x v="0"/>
    <x v="28"/>
    <x v="2"/>
    <x v="1"/>
    <s v="FUR-BO-10004218"/>
    <x v="0"/>
    <x v="0"/>
    <x v="327"/>
    <n v="119.833"/>
    <n v="1"/>
    <n v="7.0490000000000004"/>
    <x v="3"/>
  </r>
  <r>
    <x v="1628"/>
    <x v="651"/>
    <d v="2014-02-15T00:00:00"/>
    <x v="0"/>
    <s v="GA-14725"/>
    <s v="Guy Armstrong"/>
    <s v="Consumer"/>
    <x v="0"/>
    <x v="11"/>
    <x v="23"/>
    <x v="3"/>
    <s v="FUR-CH-10001146"/>
    <x v="0"/>
    <x v="1"/>
    <x v="15"/>
    <n v="60.89"/>
    <n v="1"/>
    <n v="15.2225"/>
    <x v="11"/>
  </r>
  <r>
    <x v="1628"/>
    <x v="651"/>
    <d v="2014-02-15T00:00:00"/>
    <x v="0"/>
    <s v="GA-14725"/>
    <s v="Guy Armstrong"/>
    <s v="Consumer"/>
    <x v="0"/>
    <x v="11"/>
    <x v="23"/>
    <x v="3"/>
    <s v="FUR-FU-10002298"/>
    <x v="0"/>
    <x v="3"/>
    <x v="256"/>
    <n v="332.94"/>
    <n v="3"/>
    <n v="53.270400000000002"/>
    <x v="11"/>
  </r>
  <r>
    <x v="1629"/>
    <x v="113"/>
    <d v="2017-09-02T00:00:00"/>
    <x v="3"/>
    <s v="SU-20665"/>
    <s v="Stephanie Ulpright"/>
    <s v="Home Office"/>
    <x v="0"/>
    <x v="15"/>
    <x v="13"/>
    <x v="1"/>
    <s v="FUR-CH-10003061"/>
    <x v="0"/>
    <x v="1"/>
    <x v="12"/>
    <n v="215.976"/>
    <n v="3"/>
    <n v="-2.6997"/>
    <x v="4"/>
  </r>
  <r>
    <x v="1630"/>
    <x v="856"/>
    <d v="2015-10-13T00:00:00"/>
    <x v="1"/>
    <s v="FM-14380"/>
    <s v="Fred McMath"/>
    <s v="Consumer"/>
    <x v="0"/>
    <x v="25"/>
    <x v="17"/>
    <x v="3"/>
    <s v="FUR-CH-10000513"/>
    <x v="0"/>
    <x v="1"/>
    <x v="16"/>
    <n v="389.97"/>
    <n v="3"/>
    <n v="35.097299999999997"/>
    <x v="1"/>
  </r>
  <r>
    <x v="1631"/>
    <x v="857"/>
    <d v="2014-02-09T00:00:00"/>
    <x v="2"/>
    <s v="NM-18445"/>
    <s v="Nathan Mautz"/>
    <s v="Home Office"/>
    <x v="0"/>
    <x v="111"/>
    <x v="34"/>
    <x v="1"/>
    <s v="FUR-FU-10002111"/>
    <x v="0"/>
    <x v="3"/>
    <x v="344"/>
    <n v="14.56"/>
    <n v="2"/>
    <n v="5.5327999999999999"/>
    <x v="11"/>
  </r>
  <r>
    <x v="1632"/>
    <x v="4"/>
    <d v="2015-09-25T00:00:00"/>
    <x v="3"/>
    <s v="CS-11950"/>
    <s v="Carlos Soltero"/>
    <s v="Consumer"/>
    <x v="0"/>
    <x v="234"/>
    <x v="7"/>
    <x v="2"/>
    <s v="FUR-CH-10001545"/>
    <x v="0"/>
    <x v="1"/>
    <x v="361"/>
    <n v="102.58199999999999"/>
    <n v="1"/>
    <n v="6.8388"/>
    <x v="4"/>
  </r>
  <r>
    <x v="1633"/>
    <x v="858"/>
    <d v="2016-05-17T00:00:00"/>
    <x v="1"/>
    <s v="HM-14860"/>
    <s v="Harry Marie"/>
    <s v="Corporate"/>
    <x v="0"/>
    <x v="13"/>
    <x v="7"/>
    <x v="2"/>
    <s v="FUR-FU-10000320"/>
    <x v="0"/>
    <x v="3"/>
    <x v="311"/>
    <n v="10.02"/>
    <n v="3"/>
    <n v="4.4088000000000003"/>
    <x v="7"/>
  </r>
  <r>
    <x v="1634"/>
    <x v="451"/>
    <d v="2017-12-05T00:00:00"/>
    <x v="1"/>
    <s v="SC-20305"/>
    <s v="Sean Christensen"/>
    <s v="Consumer"/>
    <x v="0"/>
    <x v="3"/>
    <x v="3"/>
    <x v="2"/>
    <s v="FUR-CH-10003379"/>
    <x v="0"/>
    <x v="1"/>
    <x v="96"/>
    <n v="398.97199999999998"/>
    <n v="2"/>
    <n v="-28.498000000000001"/>
    <x v="5"/>
  </r>
  <r>
    <x v="1635"/>
    <x v="649"/>
    <d v="2016-09-24T00:00:00"/>
    <x v="1"/>
    <s v="HJ-14875"/>
    <s v="Heather Jas"/>
    <s v="Home Office"/>
    <x v="0"/>
    <x v="15"/>
    <x v="13"/>
    <x v="1"/>
    <s v="FUR-BO-10002853"/>
    <x v="0"/>
    <x v="0"/>
    <x v="335"/>
    <n v="163.88"/>
    <n v="2"/>
    <n v="40.97"/>
    <x v="4"/>
  </r>
  <r>
    <x v="1636"/>
    <x v="356"/>
    <d v="2014-11-23T00:00:00"/>
    <x v="1"/>
    <s v="MK-17905"/>
    <s v="Michael Kennedy"/>
    <s v="Corporate"/>
    <x v="0"/>
    <x v="20"/>
    <x v="16"/>
    <x v="3"/>
    <s v="FUR-CH-10001482"/>
    <x v="0"/>
    <x v="1"/>
    <x v="112"/>
    <n v="392.94"/>
    <n v="3"/>
    <n v="43.223399999999998"/>
    <x v="0"/>
  </r>
  <r>
    <x v="1637"/>
    <x v="32"/>
    <d v="2015-11-24T00:00:00"/>
    <x v="2"/>
    <s v="JH-15820"/>
    <s v="John Huston"/>
    <s v="Consumer"/>
    <x v="0"/>
    <x v="91"/>
    <x v="30"/>
    <x v="0"/>
    <s v="FUR-FU-10000087"/>
    <x v="0"/>
    <x v="3"/>
    <x v="39"/>
    <n v="18.175999999999998"/>
    <n v="1"/>
    <n v="4.7712000000000003"/>
    <x v="0"/>
  </r>
  <r>
    <x v="1638"/>
    <x v="744"/>
    <d v="2017-06-26T00:00:00"/>
    <x v="1"/>
    <s v="DB-13270"/>
    <s v="Deborah Brumfield"/>
    <s v="Home Office"/>
    <x v="0"/>
    <x v="144"/>
    <x v="5"/>
    <x v="3"/>
    <s v="FUR-TA-10000688"/>
    <x v="0"/>
    <x v="2"/>
    <x v="116"/>
    <n v="457.48500000000001"/>
    <n v="3"/>
    <n v="-84.961500000000001"/>
    <x v="2"/>
  </r>
  <r>
    <x v="1639"/>
    <x v="147"/>
    <d v="2017-12-03T00:00:00"/>
    <x v="2"/>
    <s v="TB-21625"/>
    <s v="Trudy Brown"/>
    <s v="Consumer"/>
    <x v="0"/>
    <x v="3"/>
    <x v="3"/>
    <x v="2"/>
    <s v="FUR-CH-10003981"/>
    <x v="0"/>
    <x v="1"/>
    <x v="232"/>
    <n v="1079.316"/>
    <n v="6"/>
    <n v="-15.418799999999999"/>
    <x v="0"/>
  </r>
  <r>
    <x v="1640"/>
    <x v="15"/>
    <d v="2017-06-01T00:00:00"/>
    <x v="1"/>
    <s v="AM-10360"/>
    <s v="Alice McCarthy"/>
    <s v="Corporate"/>
    <x v="0"/>
    <x v="59"/>
    <x v="15"/>
    <x v="2"/>
    <s v="FUR-BO-10004709"/>
    <x v="0"/>
    <x v="0"/>
    <x v="53"/>
    <n v="115.96"/>
    <n v="4"/>
    <n v="-64.937600000000003"/>
    <x v="7"/>
  </r>
  <r>
    <x v="1641"/>
    <x v="8"/>
    <d v="2015-04-22T00:00:00"/>
    <x v="0"/>
    <s v="MP-17965"/>
    <s v="Michael Paige"/>
    <s v="Corporate"/>
    <x v="0"/>
    <x v="362"/>
    <x v="5"/>
    <x v="3"/>
    <s v="FUR-CH-10000225"/>
    <x v="0"/>
    <x v="1"/>
    <x v="85"/>
    <n v="56.686"/>
    <n v="1"/>
    <n v="-20.245000000000001"/>
    <x v="6"/>
  </r>
  <r>
    <x v="1642"/>
    <x v="96"/>
    <d v="2017-07-25T00:00:00"/>
    <x v="1"/>
    <s v="AR-10825"/>
    <s v="Anthony Rawles"/>
    <s v="Corporate"/>
    <x v="0"/>
    <x v="13"/>
    <x v="7"/>
    <x v="2"/>
    <s v="FUR-CH-10002780"/>
    <x v="0"/>
    <x v="1"/>
    <x v="379"/>
    <n v="163.76400000000001"/>
    <n v="2"/>
    <n v="25.474399999999999"/>
    <x v="3"/>
  </r>
  <r>
    <x v="1642"/>
    <x v="96"/>
    <d v="2017-07-25T00:00:00"/>
    <x v="1"/>
    <s v="AR-10825"/>
    <s v="Anthony Rawles"/>
    <s v="Corporate"/>
    <x v="0"/>
    <x v="13"/>
    <x v="7"/>
    <x v="2"/>
    <s v="FUR-FU-10000747"/>
    <x v="0"/>
    <x v="3"/>
    <x v="363"/>
    <n v="183.92"/>
    <n v="4"/>
    <n v="31.266400000000001"/>
    <x v="3"/>
  </r>
  <r>
    <x v="1643"/>
    <x v="114"/>
    <d v="2016-11-08T00:00:00"/>
    <x v="1"/>
    <s v="SM-20005"/>
    <s v="Sally Matthias"/>
    <s v="Consumer"/>
    <x v="0"/>
    <x v="6"/>
    <x v="5"/>
    <x v="3"/>
    <s v="FUR-FU-10002445"/>
    <x v="0"/>
    <x v="3"/>
    <x v="292"/>
    <n v="11.375999999999999"/>
    <n v="3"/>
    <n v="-5.6879999999999997"/>
    <x v="0"/>
  </r>
  <r>
    <x v="1643"/>
    <x v="114"/>
    <d v="2016-11-08T00:00:00"/>
    <x v="1"/>
    <s v="SM-20005"/>
    <s v="Sally Matthias"/>
    <s v="Consumer"/>
    <x v="0"/>
    <x v="6"/>
    <x v="5"/>
    <x v="3"/>
    <s v="FUR-FU-10000723"/>
    <x v="0"/>
    <x v="3"/>
    <x v="100"/>
    <n v="66.111999999999995"/>
    <n v="4"/>
    <n v="-84.2928"/>
    <x v="0"/>
  </r>
  <r>
    <x v="1644"/>
    <x v="204"/>
    <d v="2017-09-29T00:00:00"/>
    <x v="1"/>
    <s v="DB-13660"/>
    <s v="Duane Benoit"/>
    <s v="Consumer"/>
    <x v="0"/>
    <x v="2"/>
    <x v="2"/>
    <x v="1"/>
    <s v="FUR-CH-10003973"/>
    <x v="0"/>
    <x v="1"/>
    <x v="171"/>
    <n v="594.81600000000003"/>
    <n v="2"/>
    <n v="59.4816"/>
    <x v="4"/>
  </r>
  <r>
    <x v="1645"/>
    <x v="87"/>
    <d v="2017-09-10T00:00:00"/>
    <x v="2"/>
    <s v="PF-19225"/>
    <s v="Phillip Flathmann"/>
    <s v="Consumer"/>
    <x v="0"/>
    <x v="71"/>
    <x v="13"/>
    <x v="1"/>
    <s v="FUR-FU-10004053"/>
    <x v="0"/>
    <x v="3"/>
    <x v="339"/>
    <n v="80.959999999999994"/>
    <n v="4"/>
    <n v="34.812800000000003"/>
    <x v="4"/>
  </r>
  <r>
    <x v="1646"/>
    <x v="806"/>
    <d v="2017-05-02T00:00:00"/>
    <x v="2"/>
    <s v="AG-10900"/>
    <s v="Arthur Gainer"/>
    <s v="Consumer"/>
    <x v="0"/>
    <x v="97"/>
    <x v="1"/>
    <x v="0"/>
    <s v="FUR-BO-10001798"/>
    <x v="0"/>
    <x v="0"/>
    <x v="0"/>
    <n v="314.35199999999998"/>
    <n v="3"/>
    <n v="-15.717599999999999"/>
    <x v="7"/>
  </r>
  <r>
    <x v="1647"/>
    <x v="506"/>
    <d v="2017-02-20T00:00:00"/>
    <x v="2"/>
    <s v="CK-12325"/>
    <s v="Christine Kargatis"/>
    <s v="Home Office"/>
    <x v="0"/>
    <x v="8"/>
    <x v="15"/>
    <x v="2"/>
    <s v="FUR-TA-10001086"/>
    <x v="0"/>
    <x v="2"/>
    <x v="360"/>
    <n v="455.97"/>
    <n v="5"/>
    <n v="-106.393"/>
    <x v="11"/>
  </r>
  <r>
    <x v="1647"/>
    <x v="506"/>
    <d v="2017-02-20T00:00:00"/>
    <x v="2"/>
    <s v="CK-12325"/>
    <s v="Christine Kargatis"/>
    <s v="Home Office"/>
    <x v="0"/>
    <x v="8"/>
    <x v="15"/>
    <x v="2"/>
    <s v="FUR-FU-10004973"/>
    <x v="0"/>
    <x v="3"/>
    <x v="223"/>
    <n v="30.143999999999998"/>
    <n v="2"/>
    <n v="8.2896000000000001"/>
    <x v="11"/>
  </r>
  <r>
    <x v="1647"/>
    <x v="506"/>
    <d v="2017-02-20T00:00:00"/>
    <x v="2"/>
    <s v="CK-12325"/>
    <s v="Christine Kargatis"/>
    <s v="Home Office"/>
    <x v="0"/>
    <x v="8"/>
    <x v="15"/>
    <x v="2"/>
    <s v="FUR-CH-10003981"/>
    <x v="0"/>
    <x v="1"/>
    <x v="232"/>
    <n v="899.43"/>
    <n v="5"/>
    <n v="-12.849"/>
    <x v="11"/>
  </r>
  <r>
    <x v="1648"/>
    <x v="286"/>
    <d v="2016-12-28T00:00:00"/>
    <x v="1"/>
    <s v="DN-13690"/>
    <s v="Duane Noonan"/>
    <s v="Consumer"/>
    <x v="0"/>
    <x v="363"/>
    <x v="2"/>
    <x v="1"/>
    <s v="FUR-FU-10000277"/>
    <x v="0"/>
    <x v="3"/>
    <x v="371"/>
    <n v="842.72"/>
    <n v="8"/>
    <n v="202.25280000000001"/>
    <x v="5"/>
  </r>
  <r>
    <x v="1648"/>
    <x v="286"/>
    <d v="2016-12-28T00:00:00"/>
    <x v="1"/>
    <s v="DN-13690"/>
    <s v="Duane Noonan"/>
    <s v="Consumer"/>
    <x v="0"/>
    <x v="363"/>
    <x v="2"/>
    <x v="1"/>
    <s v="FUR-FU-10001934"/>
    <x v="0"/>
    <x v="3"/>
    <x v="24"/>
    <n v="41.96"/>
    <n v="2"/>
    <n v="10.909599999999999"/>
    <x v="5"/>
  </r>
  <r>
    <x v="1649"/>
    <x v="348"/>
    <d v="2016-09-27T00:00:00"/>
    <x v="1"/>
    <s v="DP-13105"/>
    <s v="Dave Poirier"/>
    <s v="Corporate"/>
    <x v="0"/>
    <x v="15"/>
    <x v="13"/>
    <x v="1"/>
    <s v="FUR-CH-10003396"/>
    <x v="0"/>
    <x v="1"/>
    <x v="81"/>
    <n v="184.75200000000001"/>
    <n v="3"/>
    <n v="-20.784600000000001"/>
    <x v="4"/>
  </r>
  <r>
    <x v="1650"/>
    <x v="118"/>
    <d v="2017-09-26T00:00:00"/>
    <x v="2"/>
    <s v="RO-19780"/>
    <s v="Rose O'Brian"/>
    <s v="Consumer"/>
    <x v="0"/>
    <x v="9"/>
    <x v="8"/>
    <x v="3"/>
    <s v="FUR-CH-10003973"/>
    <x v="0"/>
    <x v="1"/>
    <x v="171"/>
    <n v="520.46400000000006"/>
    <n v="2"/>
    <n v="-14.8704"/>
    <x v="4"/>
  </r>
  <r>
    <x v="1651"/>
    <x v="859"/>
    <d v="2016-01-28T00:00:00"/>
    <x v="0"/>
    <s v="JD-15895"/>
    <s v="Jonathan Doherty"/>
    <s v="Corporate"/>
    <x v="0"/>
    <x v="13"/>
    <x v="7"/>
    <x v="2"/>
    <s v="FUR-TA-10001095"/>
    <x v="0"/>
    <x v="2"/>
    <x v="129"/>
    <n v="313.72199999999998"/>
    <n v="3"/>
    <n v="-99.345299999999995"/>
    <x v="8"/>
  </r>
  <r>
    <x v="1651"/>
    <x v="859"/>
    <d v="2016-01-28T00:00:00"/>
    <x v="0"/>
    <s v="JD-15895"/>
    <s v="Jonathan Doherty"/>
    <s v="Corporate"/>
    <x v="0"/>
    <x v="13"/>
    <x v="7"/>
    <x v="2"/>
    <s v="FUR-FU-10000747"/>
    <x v="0"/>
    <x v="3"/>
    <x v="363"/>
    <n v="45.98"/>
    <n v="1"/>
    <n v="7.8166000000000002"/>
    <x v="8"/>
  </r>
  <r>
    <x v="1652"/>
    <x v="555"/>
    <d v="2017-03-25T00:00:00"/>
    <x v="1"/>
    <s v="PS-18970"/>
    <s v="Paul Stevenson"/>
    <s v="Home Office"/>
    <x v="0"/>
    <x v="15"/>
    <x v="13"/>
    <x v="1"/>
    <s v="FUR-FU-10002364"/>
    <x v="0"/>
    <x v="3"/>
    <x v="242"/>
    <n v="22.14"/>
    <n v="3"/>
    <n v="6.4206000000000003"/>
    <x v="9"/>
  </r>
  <r>
    <x v="1653"/>
    <x v="388"/>
    <d v="2017-11-09T00:00:00"/>
    <x v="0"/>
    <s v="KN-16390"/>
    <s v="Katherine Nockton"/>
    <s v="Corporate"/>
    <x v="0"/>
    <x v="218"/>
    <x v="32"/>
    <x v="2"/>
    <s v="FUR-CH-10000422"/>
    <x v="0"/>
    <x v="1"/>
    <x v="287"/>
    <n v="272.97000000000003"/>
    <n v="3"/>
    <n v="43.675199999999997"/>
    <x v="0"/>
  </r>
  <r>
    <x v="1654"/>
    <x v="860"/>
    <d v="2015-05-31T00:00:00"/>
    <x v="2"/>
    <s v="VP-21760"/>
    <s v="Victoria Pisteka"/>
    <s v="Corporate"/>
    <x v="0"/>
    <x v="29"/>
    <x v="15"/>
    <x v="2"/>
    <s v="FUR-FU-10002506"/>
    <x v="0"/>
    <x v="3"/>
    <x v="374"/>
    <n v="41.567999999999998"/>
    <n v="4"/>
    <n v="-4.1567999999999996"/>
    <x v="7"/>
  </r>
  <r>
    <x v="1654"/>
    <x v="860"/>
    <d v="2015-05-31T00:00:00"/>
    <x v="2"/>
    <s v="VP-21760"/>
    <s v="Victoria Pisteka"/>
    <s v="Corporate"/>
    <x v="0"/>
    <x v="29"/>
    <x v="15"/>
    <x v="2"/>
    <s v="FUR-CH-10000863"/>
    <x v="0"/>
    <x v="1"/>
    <x v="20"/>
    <n v="317.05799999999999"/>
    <n v="3"/>
    <n v="-86.058599999999998"/>
    <x v="7"/>
  </r>
  <r>
    <x v="1655"/>
    <x v="520"/>
    <d v="2014-12-27T00:00:00"/>
    <x v="0"/>
    <s v="CC-12670"/>
    <s v="Craig Carreira"/>
    <s v="Consumer"/>
    <x v="0"/>
    <x v="26"/>
    <x v="1"/>
    <x v="0"/>
    <s v="FUR-CH-10004698"/>
    <x v="0"/>
    <x v="1"/>
    <x v="34"/>
    <n v="64.784000000000006"/>
    <n v="1"/>
    <n v="6.4783999999999997"/>
    <x v="5"/>
  </r>
  <r>
    <x v="1656"/>
    <x v="60"/>
    <d v="2017-08-31T00:00:00"/>
    <x v="1"/>
    <s v="SF-20200"/>
    <s v="Sarah Foster"/>
    <s v="Consumer"/>
    <x v="0"/>
    <x v="81"/>
    <x v="22"/>
    <x v="1"/>
    <s v="FUR-FU-10004973"/>
    <x v="0"/>
    <x v="3"/>
    <x v="223"/>
    <n v="120.57599999999999"/>
    <n v="8"/>
    <n v="33.1584"/>
    <x v="10"/>
  </r>
  <r>
    <x v="1657"/>
    <x v="551"/>
    <d v="2015-10-25T00:00:00"/>
    <x v="3"/>
    <s v="DG-13300"/>
    <s v="Deirdre Greer"/>
    <s v="Corporate"/>
    <x v="0"/>
    <x v="22"/>
    <x v="12"/>
    <x v="1"/>
    <s v="FUR-CH-10000422"/>
    <x v="0"/>
    <x v="1"/>
    <x v="287"/>
    <n v="582.33600000000001"/>
    <n v="8"/>
    <n v="-29.116800000000001"/>
    <x v="1"/>
  </r>
  <r>
    <x v="1658"/>
    <x v="23"/>
    <d v="2014-09-23T00:00:00"/>
    <x v="2"/>
    <s v="MW-18220"/>
    <s v="Mitch Webber"/>
    <s v="Consumer"/>
    <x v="0"/>
    <x v="13"/>
    <x v="7"/>
    <x v="2"/>
    <s v="FUR-CH-10001394"/>
    <x v="0"/>
    <x v="1"/>
    <x v="139"/>
    <n v="631.78200000000004"/>
    <n v="2"/>
    <n v="140.39599999999999"/>
    <x v="4"/>
  </r>
  <r>
    <x v="1658"/>
    <x v="23"/>
    <d v="2014-09-23T00:00:00"/>
    <x v="2"/>
    <s v="MW-18220"/>
    <s v="Mitch Webber"/>
    <s v="Consumer"/>
    <x v="0"/>
    <x v="13"/>
    <x v="7"/>
    <x v="2"/>
    <s v="FUR-BO-10002213"/>
    <x v="0"/>
    <x v="0"/>
    <x v="240"/>
    <n v="801.56799999999998"/>
    <n v="2"/>
    <n v="-10.019600000000001"/>
    <x v="4"/>
  </r>
  <r>
    <x v="1659"/>
    <x v="861"/>
    <d v="2014-06-28T00:00:00"/>
    <x v="1"/>
    <s v="LP-17080"/>
    <s v="Liz Pelletier"/>
    <s v="Consumer"/>
    <x v="0"/>
    <x v="104"/>
    <x v="22"/>
    <x v="1"/>
    <s v="FUR-FU-10001731"/>
    <x v="0"/>
    <x v="3"/>
    <x v="317"/>
    <n v="4.2720000000000002"/>
    <n v="2"/>
    <n v="0.96120000000000005"/>
    <x v="2"/>
  </r>
  <r>
    <x v="1660"/>
    <x v="577"/>
    <d v="2016-08-17T00:00:00"/>
    <x v="0"/>
    <s v="NP-18700"/>
    <s v="Nora Preis"/>
    <s v="Consumer"/>
    <x v="0"/>
    <x v="13"/>
    <x v="7"/>
    <x v="2"/>
    <s v="FUR-TA-10001095"/>
    <x v="0"/>
    <x v="2"/>
    <x v="129"/>
    <n v="209.148"/>
    <n v="2"/>
    <n v="-66.230199999999996"/>
    <x v="10"/>
  </r>
  <r>
    <x v="1661"/>
    <x v="320"/>
    <d v="2017-09-24T00:00:00"/>
    <x v="0"/>
    <s v="LC-17140"/>
    <s v="Logan Currie"/>
    <s v="Consumer"/>
    <x v="0"/>
    <x v="13"/>
    <x v="7"/>
    <x v="2"/>
    <s v="FUR-FU-10004864"/>
    <x v="0"/>
    <x v="3"/>
    <x v="356"/>
    <n v="12.07"/>
    <n v="1"/>
    <n v="3.9830999999999999"/>
    <x v="4"/>
  </r>
  <r>
    <x v="1662"/>
    <x v="247"/>
    <d v="2017-12-13T00:00:00"/>
    <x v="2"/>
    <s v="WB-21850"/>
    <s v="William Brown"/>
    <s v="Consumer"/>
    <x v="0"/>
    <x v="3"/>
    <x v="3"/>
    <x v="2"/>
    <s v="FUR-FU-10001475"/>
    <x v="0"/>
    <x v="3"/>
    <x v="106"/>
    <n v="87.92"/>
    <n v="5"/>
    <n v="15.385999999999999"/>
    <x v="5"/>
  </r>
  <r>
    <x v="1663"/>
    <x v="369"/>
    <d v="2015-01-29T00:00:00"/>
    <x v="2"/>
    <s v="SC-20305"/>
    <s v="Sean Christensen"/>
    <s v="Consumer"/>
    <x v="0"/>
    <x v="2"/>
    <x v="2"/>
    <x v="1"/>
    <s v="FUR-CH-10002024"/>
    <x v="0"/>
    <x v="1"/>
    <x v="101"/>
    <n v="2803.92"/>
    <n v="5"/>
    <n v="0"/>
    <x v="8"/>
  </r>
  <r>
    <x v="1664"/>
    <x v="862"/>
    <d v="2015-10-22T00:00:00"/>
    <x v="1"/>
    <s v="JC-15775"/>
    <s v="John Castell"/>
    <s v="Consumer"/>
    <x v="0"/>
    <x v="15"/>
    <x v="13"/>
    <x v="1"/>
    <s v="FUR-FU-10002505"/>
    <x v="0"/>
    <x v="3"/>
    <x v="49"/>
    <n v="10.11"/>
    <n v="3"/>
    <n v="3.2351999999999999"/>
    <x v="1"/>
  </r>
  <r>
    <x v="1665"/>
    <x v="639"/>
    <d v="2014-09-17T00:00:00"/>
    <x v="0"/>
    <s v="LW-17215"/>
    <s v="Luke Weiss"/>
    <s v="Consumer"/>
    <x v="0"/>
    <x v="13"/>
    <x v="7"/>
    <x v="2"/>
    <s v="FUR-CH-10002024"/>
    <x v="0"/>
    <x v="1"/>
    <x v="101"/>
    <n v="3785.2919999999999"/>
    <n v="6"/>
    <n v="420.58800000000002"/>
    <x v="4"/>
  </r>
  <r>
    <x v="1666"/>
    <x v="863"/>
    <d v="2014-12-01T00:00:00"/>
    <x v="1"/>
    <s v="JO-15145"/>
    <s v="Jack O'Briant"/>
    <s v="Corporate"/>
    <x v="0"/>
    <x v="252"/>
    <x v="7"/>
    <x v="2"/>
    <s v="FUR-FU-10003268"/>
    <x v="0"/>
    <x v="3"/>
    <x v="176"/>
    <n v="199.9"/>
    <n v="5"/>
    <n v="39.979999999999997"/>
    <x v="0"/>
  </r>
  <r>
    <x v="1667"/>
    <x v="89"/>
    <d v="2014-05-16T00:00:00"/>
    <x v="1"/>
    <s v="VW-21775"/>
    <s v="Victoria Wilson"/>
    <s v="Corporate"/>
    <x v="0"/>
    <x v="156"/>
    <x v="5"/>
    <x v="3"/>
    <s v="FUR-CH-10000015"/>
    <x v="0"/>
    <x v="1"/>
    <x v="79"/>
    <n v="1212.96"/>
    <n v="8"/>
    <n v="-69.311999999999998"/>
    <x v="7"/>
  </r>
  <r>
    <x v="1668"/>
    <x v="797"/>
    <d v="2015-09-01T00:00:00"/>
    <x v="1"/>
    <s v="BP-11185"/>
    <s v="Ben Peterman"/>
    <s v="Corporate"/>
    <x v="0"/>
    <x v="144"/>
    <x v="5"/>
    <x v="3"/>
    <s v="FUR-TA-10004607"/>
    <x v="0"/>
    <x v="2"/>
    <x v="212"/>
    <n v="103.48099999999999"/>
    <n v="1"/>
    <n v="-16.261299999999999"/>
    <x v="10"/>
  </r>
  <r>
    <x v="1669"/>
    <x v="706"/>
    <d v="2017-06-03T00:00:00"/>
    <x v="1"/>
    <s v="DN-13690"/>
    <s v="Duane Noonan"/>
    <s v="Consumer"/>
    <x v="0"/>
    <x v="169"/>
    <x v="37"/>
    <x v="3"/>
    <s v="FUR-FU-10003664"/>
    <x v="0"/>
    <x v="3"/>
    <x v="8"/>
    <n v="477.3"/>
    <n v="5"/>
    <n v="138.417"/>
    <x v="7"/>
  </r>
  <r>
    <x v="1670"/>
    <x v="608"/>
    <d v="2017-11-30T00:00:00"/>
    <x v="0"/>
    <s v="BS-11590"/>
    <s v="Brendan Sweed"/>
    <s v="Corporate"/>
    <x v="0"/>
    <x v="74"/>
    <x v="0"/>
    <x v="0"/>
    <s v="FUR-CH-10001854"/>
    <x v="0"/>
    <x v="1"/>
    <x v="216"/>
    <n v="701.96"/>
    <n v="2"/>
    <n v="168.47040000000001"/>
    <x v="0"/>
  </r>
  <r>
    <x v="1671"/>
    <x v="185"/>
    <d v="2016-11-23T00:00:00"/>
    <x v="1"/>
    <s v="JM-15265"/>
    <s v="Janet Molinari"/>
    <s v="Corporate"/>
    <x v="0"/>
    <x v="15"/>
    <x v="13"/>
    <x v="1"/>
    <s v="FUR-FU-10000448"/>
    <x v="0"/>
    <x v="3"/>
    <x v="98"/>
    <n v="31.96"/>
    <n v="2"/>
    <n v="1.5980000000000001"/>
    <x v="0"/>
  </r>
  <r>
    <x v="1672"/>
    <x v="864"/>
    <d v="2017-11-10T00:00:00"/>
    <x v="0"/>
    <s v="CD-12280"/>
    <s v="Christina DeMoss"/>
    <s v="Consumer"/>
    <x v="0"/>
    <x v="13"/>
    <x v="7"/>
    <x v="2"/>
    <s v="FUR-TA-10003469"/>
    <x v="0"/>
    <x v="2"/>
    <x v="320"/>
    <n v="166.5"/>
    <n v="2"/>
    <n v="-66.599999999999994"/>
    <x v="0"/>
  </r>
  <r>
    <x v="1672"/>
    <x v="864"/>
    <d v="2017-11-10T00:00:00"/>
    <x v="0"/>
    <s v="CD-12280"/>
    <s v="Christina DeMoss"/>
    <s v="Consumer"/>
    <x v="0"/>
    <x v="13"/>
    <x v="7"/>
    <x v="2"/>
    <s v="FUR-CH-10004875"/>
    <x v="0"/>
    <x v="1"/>
    <x v="290"/>
    <n v="128.124"/>
    <n v="2"/>
    <n v="24.2012"/>
    <x v="0"/>
  </r>
  <r>
    <x v="1672"/>
    <x v="864"/>
    <d v="2017-11-10T00:00:00"/>
    <x v="0"/>
    <s v="CD-12280"/>
    <s v="Christina DeMoss"/>
    <s v="Consumer"/>
    <x v="0"/>
    <x v="13"/>
    <x v="7"/>
    <x v="2"/>
    <s v="FUR-FU-10004245"/>
    <x v="0"/>
    <x v="3"/>
    <x v="362"/>
    <n v="101.4"/>
    <n v="5"/>
    <n v="38.531999999999996"/>
    <x v="0"/>
  </r>
  <r>
    <x v="1673"/>
    <x v="151"/>
    <d v="2015-06-05T00:00:00"/>
    <x v="0"/>
    <s v="JM-15265"/>
    <s v="Janet Molinari"/>
    <s v="Corporate"/>
    <x v="0"/>
    <x v="9"/>
    <x v="8"/>
    <x v="3"/>
    <s v="FUR-FU-10002703"/>
    <x v="0"/>
    <x v="3"/>
    <x v="314"/>
    <n v="51.56"/>
    <n v="2"/>
    <n v="-61.872"/>
    <x v="7"/>
  </r>
  <r>
    <x v="1674"/>
    <x v="674"/>
    <d v="2016-12-04T00:00:00"/>
    <x v="0"/>
    <s v="MY-18295"/>
    <s v="Muhammed Yedwab"/>
    <s v="Corporate"/>
    <x v="0"/>
    <x v="6"/>
    <x v="5"/>
    <x v="3"/>
    <s v="FUR-BO-10003893"/>
    <x v="0"/>
    <x v="0"/>
    <x v="348"/>
    <n v="781.86400000000003"/>
    <n v="10"/>
    <n v="-137.976"/>
    <x v="5"/>
  </r>
  <r>
    <x v="1675"/>
    <x v="176"/>
    <d v="2017-10-12T00:00:00"/>
    <x v="3"/>
    <s v="NF-18385"/>
    <s v="Natalie Fritzler"/>
    <s v="Consumer"/>
    <x v="0"/>
    <x v="167"/>
    <x v="47"/>
    <x v="2"/>
    <s v="FUR-TA-10001932"/>
    <x v="0"/>
    <x v="2"/>
    <x v="167"/>
    <n v="673.34400000000005"/>
    <n v="3"/>
    <n v="-76.953599999999994"/>
    <x v="1"/>
  </r>
  <r>
    <x v="1676"/>
    <x v="865"/>
    <d v="2016-01-08T00:00:00"/>
    <x v="1"/>
    <s v="BO-11350"/>
    <s v="Bill Overfelt"/>
    <s v="Corporate"/>
    <x v="0"/>
    <x v="364"/>
    <x v="37"/>
    <x v="3"/>
    <s v="FUR-TA-10000617"/>
    <x v="0"/>
    <x v="2"/>
    <x v="72"/>
    <n v="1592.85"/>
    <n v="7"/>
    <n v="350.42700000000002"/>
    <x v="8"/>
  </r>
  <r>
    <x v="1677"/>
    <x v="205"/>
    <d v="2016-05-30T00:00:00"/>
    <x v="1"/>
    <s v="CM-12235"/>
    <s v="Chris McAfee"/>
    <s v="Consumer"/>
    <x v="0"/>
    <x v="79"/>
    <x v="16"/>
    <x v="3"/>
    <s v="FUR-FU-10002088"/>
    <x v="0"/>
    <x v="3"/>
    <x v="209"/>
    <n v="26.94"/>
    <n v="3"/>
    <n v="11.3148"/>
    <x v="7"/>
  </r>
  <r>
    <x v="1678"/>
    <x v="141"/>
    <d v="2015-11-24T00:00:00"/>
    <x v="1"/>
    <s v="KW-16570"/>
    <s v="Kelly Williams"/>
    <s v="Consumer"/>
    <x v="0"/>
    <x v="28"/>
    <x v="2"/>
    <x v="1"/>
    <s v="FUR-FU-10001546"/>
    <x v="0"/>
    <x v="3"/>
    <x v="284"/>
    <n v="32.04"/>
    <n v="3"/>
    <n v="8.01"/>
    <x v="0"/>
  </r>
  <r>
    <x v="1679"/>
    <x v="703"/>
    <d v="2017-06-03T00:00:00"/>
    <x v="0"/>
    <s v="KT-16480"/>
    <s v="Kean Thornton"/>
    <s v="Consumer"/>
    <x v="0"/>
    <x v="144"/>
    <x v="5"/>
    <x v="3"/>
    <s v="FUR-BO-10001811"/>
    <x v="0"/>
    <x v="0"/>
    <x v="157"/>
    <n v="204.66640000000001"/>
    <n v="1"/>
    <n v="-6.0195999999999996"/>
    <x v="7"/>
  </r>
  <r>
    <x v="1680"/>
    <x v="446"/>
    <d v="2017-12-06T00:00:00"/>
    <x v="2"/>
    <s v="PB-18805"/>
    <s v="Patrick Bzostek"/>
    <s v="Home Office"/>
    <x v="0"/>
    <x v="15"/>
    <x v="13"/>
    <x v="1"/>
    <s v="FUR-FU-10003268"/>
    <x v="0"/>
    <x v="3"/>
    <x v="176"/>
    <n v="199.9"/>
    <n v="5"/>
    <n v="39.979999999999997"/>
    <x v="5"/>
  </r>
  <r>
    <x v="1681"/>
    <x v="78"/>
    <d v="2016-10-31T00:00:00"/>
    <x v="1"/>
    <s v="BW-11200"/>
    <s v="Ben Wallace"/>
    <s v="Consumer"/>
    <x v="0"/>
    <x v="13"/>
    <x v="7"/>
    <x v="2"/>
    <s v="FUR-CH-10000553"/>
    <x v="0"/>
    <x v="1"/>
    <x v="247"/>
    <n v="427.64400000000001"/>
    <n v="14"/>
    <n v="80.777199999999993"/>
    <x v="1"/>
  </r>
  <r>
    <x v="1682"/>
    <x v="235"/>
    <d v="2017-06-14T00:00:00"/>
    <x v="0"/>
    <s v="TS-21610"/>
    <s v="Troy Staebel"/>
    <s v="Consumer"/>
    <x v="0"/>
    <x v="9"/>
    <x v="8"/>
    <x v="3"/>
    <s v="FUR-FU-10002364"/>
    <x v="0"/>
    <x v="3"/>
    <x v="242"/>
    <n v="8.8559999999999999"/>
    <n v="3"/>
    <n v="-6.8634000000000004"/>
    <x v="2"/>
  </r>
  <r>
    <x v="1683"/>
    <x v="228"/>
    <d v="2016-09-27T00:00:00"/>
    <x v="2"/>
    <s v="AS-10045"/>
    <s v="Aaron Smayling"/>
    <s v="Corporate"/>
    <x v="0"/>
    <x v="28"/>
    <x v="2"/>
    <x v="1"/>
    <s v="FUR-BO-10002613"/>
    <x v="0"/>
    <x v="0"/>
    <x v="35"/>
    <n v="477.666"/>
    <n v="2"/>
    <n v="84.293999999999997"/>
    <x v="4"/>
  </r>
  <r>
    <x v="1684"/>
    <x v="866"/>
    <d v="2015-05-16T00:00:00"/>
    <x v="0"/>
    <s v="PS-18970"/>
    <s v="Paul Stevenson"/>
    <s v="Home Office"/>
    <x v="0"/>
    <x v="43"/>
    <x v="22"/>
    <x v="1"/>
    <s v="FUR-CH-10004540"/>
    <x v="0"/>
    <x v="1"/>
    <x v="173"/>
    <n v="191.96799999999999"/>
    <n v="7"/>
    <n v="16.7972"/>
    <x v="7"/>
  </r>
  <r>
    <x v="1685"/>
    <x v="867"/>
    <d v="2015-08-10T00:00:00"/>
    <x v="1"/>
    <s v="RP-19270"/>
    <s v="Rachel Payne"/>
    <s v="Corporate"/>
    <x v="0"/>
    <x v="6"/>
    <x v="5"/>
    <x v="3"/>
    <s v="FUR-BO-10003965"/>
    <x v="0"/>
    <x v="0"/>
    <x v="208"/>
    <n v="369.19920000000002"/>
    <n v="3"/>
    <n v="-114.01739999999999"/>
    <x v="10"/>
  </r>
  <r>
    <x v="1686"/>
    <x v="710"/>
    <d v="2016-09-27T00:00:00"/>
    <x v="1"/>
    <s v="SM-20950"/>
    <s v="Suzanne McNair"/>
    <s v="Corporate"/>
    <x v="0"/>
    <x v="131"/>
    <x v="12"/>
    <x v="1"/>
    <s v="FUR-FU-10000246"/>
    <x v="0"/>
    <x v="3"/>
    <x v="82"/>
    <n v="68.432000000000002"/>
    <n v="7"/>
    <n v="8.5540000000000003"/>
    <x v="4"/>
  </r>
  <r>
    <x v="1687"/>
    <x v="44"/>
    <d v="2015-12-02T00:00:00"/>
    <x v="1"/>
    <s v="EB-14110"/>
    <s v="Eugene Barchas"/>
    <s v="Consumer"/>
    <x v="0"/>
    <x v="29"/>
    <x v="15"/>
    <x v="2"/>
    <s v="FUR-FU-10003799"/>
    <x v="0"/>
    <x v="3"/>
    <x v="21"/>
    <n v="71.12"/>
    <n v="5"/>
    <n v="9.7789999999999999"/>
    <x v="0"/>
  </r>
  <r>
    <x v="1688"/>
    <x v="868"/>
    <d v="2014-10-19T00:00:00"/>
    <x v="0"/>
    <s v="EB-14170"/>
    <s v="Evan Bailliet"/>
    <s v="Consumer"/>
    <x v="0"/>
    <x v="6"/>
    <x v="5"/>
    <x v="3"/>
    <s v="FUR-FU-10004586"/>
    <x v="0"/>
    <x v="3"/>
    <x v="303"/>
    <n v="5.3120000000000003"/>
    <n v="2"/>
    <n v="-1.5935999999999999"/>
    <x v="1"/>
  </r>
  <r>
    <x v="1689"/>
    <x v="869"/>
    <d v="2016-05-05T00:00:00"/>
    <x v="2"/>
    <s v="SM-20905"/>
    <s v="Susan MacKendrick"/>
    <s v="Consumer"/>
    <x v="0"/>
    <x v="19"/>
    <x v="15"/>
    <x v="2"/>
    <s v="FUR-FU-10001876"/>
    <x v="0"/>
    <x v="3"/>
    <x v="279"/>
    <n v="51.968000000000004"/>
    <n v="2"/>
    <n v="10.393599999999999"/>
    <x v="7"/>
  </r>
  <r>
    <x v="1690"/>
    <x v="870"/>
    <d v="2014-03-31T00:00:00"/>
    <x v="3"/>
    <s v="TG-21640"/>
    <s v="Trudy Glocke"/>
    <s v="Consumer"/>
    <x v="0"/>
    <x v="26"/>
    <x v="1"/>
    <x v="0"/>
    <s v="FUR-CH-10002965"/>
    <x v="0"/>
    <x v="1"/>
    <x v="50"/>
    <n v="1125.4880000000001"/>
    <n v="7"/>
    <n v="98.480199999999996"/>
    <x v="9"/>
  </r>
  <r>
    <x v="1691"/>
    <x v="871"/>
    <d v="2015-08-13T00:00:00"/>
    <x v="3"/>
    <s v="SF-20065"/>
    <s v="Sandra Flanagan"/>
    <s v="Consumer"/>
    <x v="0"/>
    <x v="135"/>
    <x v="2"/>
    <x v="1"/>
    <s v="FUR-FU-10001889"/>
    <x v="0"/>
    <x v="3"/>
    <x v="228"/>
    <n v="31.56"/>
    <n v="3"/>
    <n v="10.4148"/>
    <x v="10"/>
  </r>
  <r>
    <x v="1692"/>
    <x v="753"/>
    <d v="2015-05-28T00:00:00"/>
    <x v="0"/>
    <s v="PS-18760"/>
    <s v="Pamela Stobb"/>
    <s v="Consumer"/>
    <x v="0"/>
    <x v="21"/>
    <x v="5"/>
    <x v="3"/>
    <s v="FUR-CH-10000863"/>
    <x v="0"/>
    <x v="1"/>
    <x v="20"/>
    <n v="105.68600000000001"/>
    <n v="1"/>
    <n v="-28.686199999999999"/>
    <x v="7"/>
  </r>
  <r>
    <x v="1692"/>
    <x v="753"/>
    <d v="2015-05-28T00:00:00"/>
    <x v="0"/>
    <s v="PS-18760"/>
    <s v="Pamela Stobb"/>
    <s v="Consumer"/>
    <x v="0"/>
    <x v="21"/>
    <x v="5"/>
    <x v="3"/>
    <s v="FUR-CH-10004754"/>
    <x v="0"/>
    <x v="1"/>
    <x v="219"/>
    <n v="104.93"/>
    <n v="5"/>
    <n v="-4.4969999999999999"/>
    <x v="7"/>
  </r>
  <r>
    <x v="1693"/>
    <x v="732"/>
    <d v="2017-09-16T00:00:00"/>
    <x v="2"/>
    <s v="RB-19705"/>
    <s v="Roger Barcio"/>
    <s v="Home Office"/>
    <x v="0"/>
    <x v="13"/>
    <x v="7"/>
    <x v="2"/>
    <s v="FUR-CH-10003298"/>
    <x v="0"/>
    <x v="1"/>
    <x v="322"/>
    <n v="589.41"/>
    <n v="5"/>
    <n v="-6.5490000000000004"/>
    <x v="4"/>
  </r>
  <r>
    <x v="1694"/>
    <x v="542"/>
    <d v="2017-06-27T00:00:00"/>
    <x v="0"/>
    <s v="SB-20185"/>
    <s v="Sarah Brown"/>
    <s v="Consumer"/>
    <x v="0"/>
    <x v="13"/>
    <x v="7"/>
    <x v="2"/>
    <s v="FUR-BO-10002213"/>
    <x v="0"/>
    <x v="0"/>
    <x v="240"/>
    <n v="400.78399999999999"/>
    <n v="1"/>
    <n v="-5.0098000000000003"/>
    <x v="2"/>
  </r>
  <r>
    <x v="1695"/>
    <x v="830"/>
    <d v="2016-08-01T00:00:00"/>
    <x v="1"/>
    <s v="BF-11005"/>
    <s v="Barry Franz"/>
    <s v="Home Office"/>
    <x v="0"/>
    <x v="102"/>
    <x v="5"/>
    <x v="3"/>
    <s v="FUR-FU-10003691"/>
    <x v="0"/>
    <x v="3"/>
    <x v="177"/>
    <n v="24.7"/>
    <n v="5"/>
    <n v="-9.8800000000000008"/>
    <x v="3"/>
  </r>
  <r>
    <x v="1695"/>
    <x v="830"/>
    <d v="2016-08-01T00:00:00"/>
    <x v="1"/>
    <s v="BF-11005"/>
    <s v="Barry Franz"/>
    <s v="Home Office"/>
    <x v="0"/>
    <x v="102"/>
    <x v="5"/>
    <x v="3"/>
    <s v="FUR-FU-10003806"/>
    <x v="0"/>
    <x v="3"/>
    <x v="372"/>
    <n v="302.72000000000003"/>
    <n v="5"/>
    <n v="-378.4"/>
    <x v="3"/>
  </r>
  <r>
    <x v="1696"/>
    <x v="208"/>
    <d v="2015-09-23T00:00:00"/>
    <x v="1"/>
    <s v="FC-14245"/>
    <s v="Frank Carlisle"/>
    <s v="Home Office"/>
    <x v="0"/>
    <x v="155"/>
    <x v="2"/>
    <x v="1"/>
    <s v="FUR-FU-10003464"/>
    <x v="0"/>
    <x v="3"/>
    <x v="302"/>
    <n v="60.84"/>
    <n v="3"/>
    <n v="19.468800000000002"/>
    <x v="4"/>
  </r>
  <r>
    <x v="1697"/>
    <x v="9"/>
    <d v="2016-06-23T00:00:00"/>
    <x v="1"/>
    <s v="DM-13345"/>
    <s v="Denise Monton"/>
    <s v="Corporate"/>
    <x v="0"/>
    <x v="77"/>
    <x v="7"/>
    <x v="2"/>
    <s v="FUR-TA-10003715"/>
    <x v="0"/>
    <x v="2"/>
    <x v="201"/>
    <n v="376.86599999999999"/>
    <n v="3"/>
    <n v="-213.5574"/>
    <x v="2"/>
  </r>
  <r>
    <x v="1698"/>
    <x v="872"/>
    <d v="2016-05-19T00:00:00"/>
    <x v="0"/>
    <s v="SC-20095"/>
    <s v="Sanjit Chand"/>
    <s v="Consumer"/>
    <x v="0"/>
    <x v="2"/>
    <x v="2"/>
    <x v="1"/>
    <s v="FUR-FU-10002116"/>
    <x v="0"/>
    <x v="3"/>
    <x v="286"/>
    <n v="282.83999999999997"/>
    <n v="4"/>
    <n v="19.7988"/>
    <x v="7"/>
  </r>
  <r>
    <x v="1699"/>
    <x v="656"/>
    <d v="2017-06-30T00:00:00"/>
    <x v="2"/>
    <s v="ME-17725"/>
    <s v="Max Engle"/>
    <s v="Consumer"/>
    <x v="0"/>
    <x v="144"/>
    <x v="5"/>
    <x v="3"/>
    <s v="FUR-TA-10002855"/>
    <x v="0"/>
    <x v="2"/>
    <x v="235"/>
    <n v="307.31400000000002"/>
    <n v="3"/>
    <n v="-39.511800000000001"/>
    <x v="2"/>
  </r>
  <r>
    <x v="1699"/>
    <x v="656"/>
    <d v="2017-06-30T00:00:00"/>
    <x v="2"/>
    <s v="ME-17725"/>
    <s v="Max Engle"/>
    <s v="Consumer"/>
    <x v="0"/>
    <x v="144"/>
    <x v="5"/>
    <x v="3"/>
    <s v="FUR-BO-10000780"/>
    <x v="0"/>
    <x v="0"/>
    <x v="258"/>
    <n v="409.99919999999997"/>
    <n v="3"/>
    <n v="-96.470399999999998"/>
    <x v="2"/>
  </r>
  <r>
    <x v="1700"/>
    <x v="873"/>
    <d v="2014-10-17T00:00:00"/>
    <x v="2"/>
    <s v="TC-21295"/>
    <s v="Toby Carlisle"/>
    <s v="Consumer"/>
    <x v="0"/>
    <x v="114"/>
    <x v="20"/>
    <x v="2"/>
    <s v="FUR-CH-10000749"/>
    <x v="0"/>
    <x v="1"/>
    <x v="349"/>
    <n v="1628.82"/>
    <n v="9"/>
    <n v="260.6112"/>
    <x v="1"/>
  </r>
  <r>
    <x v="1701"/>
    <x v="356"/>
    <d v="2014-11-25T00:00:00"/>
    <x v="1"/>
    <s v="MH-17785"/>
    <s v="Maya Herman"/>
    <s v="Corporate"/>
    <x v="0"/>
    <x v="15"/>
    <x v="13"/>
    <x v="1"/>
    <s v="FUR-FU-10003553"/>
    <x v="0"/>
    <x v="3"/>
    <x v="117"/>
    <n v="137.54"/>
    <n v="2"/>
    <n v="55.015999999999998"/>
    <x v="0"/>
  </r>
  <r>
    <x v="1701"/>
    <x v="356"/>
    <d v="2014-11-25T00:00:00"/>
    <x v="1"/>
    <s v="MH-17785"/>
    <s v="Maya Herman"/>
    <s v="Corporate"/>
    <x v="0"/>
    <x v="15"/>
    <x v="13"/>
    <x v="1"/>
    <s v="FUR-TA-10003008"/>
    <x v="0"/>
    <x v="2"/>
    <x v="190"/>
    <n v="730.2"/>
    <n v="4"/>
    <n v="94.926000000000002"/>
    <x v="0"/>
  </r>
  <r>
    <x v="1702"/>
    <x v="874"/>
    <d v="2015-01-31T00:00:00"/>
    <x v="0"/>
    <s v="JH-15985"/>
    <s v="Joseph Holt"/>
    <s v="Consumer"/>
    <x v="0"/>
    <x v="41"/>
    <x v="30"/>
    <x v="0"/>
    <s v="FUR-TA-10000198"/>
    <x v="0"/>
    <x v="2"/>
    <x v="124"/>
    <n v="4297.6440000000002"/>
    <n v="13"/>
    <n v="-1862.3124"/>
    <x v="8"/>
  </r>
  <r>
    <x v="1703"/>
    <x v="600"/>
    <d v="2014-03-12T00:00:00"/>
    <x v="1"/>
    <s v="CM-12715"/>
    <s v="Craig Molinari"/>
    <s v="Corporate"/>
    <x v="0"/>
    <x v="15"/>
    <x v="13"/>
    <x v="1"/>
    <s v="FUR-CH-10002780"/>
    <x v="0"/>
    <x v="1"/>
    <x v="379"/>
    <n v="436.70400000000001"/>
    <n v="6"/>
    <n v="21.8352"/>
    <x v="9"/>
  </r>
  <r>
    <x v="1703"/>
    <x v="600"/>
    <d v="2014-03-12T00:00:00"/>
    <x v="1"/>
    <s v="CM-12715"/>
    <s v="Craig Molinari"/>
    <s v="Corporate"/>
    <x v="0"/>
    <x v="15"/>
    <x v="13"/>
    <x v="1"/>
    <s v="FUR-CH-10004495"/>
    <x v="0"/>
    <x v="1"/>
    <x v="304"/>
    <n v="481.56799999999998"/>
    <n v="2"/>
    <n v="54.176400000000001"/>
    <x v="9"/>
  </r>
  <r>
    <x v="1704"/>
    <x v="675"/>
    <d v="2016-11-30T00:00:00"/>
    <x v="1"/>
    <s v="MS-17365"/>
    <s v="Maribeth Schnelling"/>
    <s v="Consumer"/>
    <x v="0"/>
    <x v="2"/>
    <x v="2"/>
    <x v="1"/>
    <s v="FUR-BO-10002213"/>
    <x v="0"/>
    <x v="0"/>
    <x v="240"/>
    <n v="3406.6640000000002"/>
    <n v="8"/>
    <n v="160.31360000000001"/>
    <x v="0"/>
  </r>
  <r>
    <x v="1704"/>
    <x v="675"/>
    <d v="2016-11-30T00:00:00"/>
    <x v="1"/>
    <s v="MS-17365"/>
    <s v="Maribeth Schnelling"/>
    <s v="Consumer"/>
    <x v="0"/>
    <x v="2"/>
    <x v="2"/>
    <x v="1"/>
    <s v="FUR-FU-10002937"/>
    <x v="0"/>
    <x v="3"/>
    <x v="205"/>
    <n v="595.38"/>
    <n v="6"/>
    <n v="297.69"/>
    <x v="0"/>
  </r>
  <r>
    <x v="1705"/>
    <x v="875"/>
    <d v="2014-09-29T00:00:00"/>
    <x v="1"/>
    <s v="AS-10090"/>
    <s v="Adam Shillingsburg"/>
    <s v="Consumer"/>
    <x v="0"/>
    <x v="13"/>
    <x v="7"/>
    <x v="2"/>
    <s v="FUR-FU-10001876"/>
    <x v="0"/>
    <x v="3"/>
    <x v="279"/>
    <n v="97.44"/>
    <n v="3"/>
    <n v="35.078400000000002"/>
    <x v="4"/>
  </r>
  <r>
    <x v="1705"/>
    <x v="875"/>
    <d v="2014-09-29T00:00:00"/>
    <x v="1"/>
    <s v="AS-10090"/>
    <s v="Adam Shillingsburg"/>
    <s v="Consumer"/>
    <x v="0"/>
    <x v="13"/>
    <x v="7"/>
    <x v="2"/>
    <s v="FUR-CH-10004983"/>
    <x v="0"/>
    <x v="1"/>
    <x v="319"/>
    <n v="579.52800000000002"/>
    <n v="4"/>
    <n v="83.709599999999995"/>
    <x v="4"/>
  </r>
  <r>
    <x v="1706"/>
    <x v="716"/>
    <d v="2017-11-20T00:00:00"/>
    <x v="1"/>
    <s v="LC-16885"/>
    <s v="Lena Creighton"/>
    <s v="Consumer"/>
    <x v="0"/>
    <x v="2"/>
    <x v="2"/>
    <x v="1"/>
    <s v="FUR-FU-10003268"/>
    <x v="0"/>
    <x v="3"/>
    <x v="176"/>
    <n v="119.94"/>
    <n v="3"/>
    <n v="23.988"/>
    <x v="0"/>
  </r>
  <r>
    <x v="1706"/>
    <x v="716"/>
    <d v="2017-11-20T00:00:00"/>
    <x v="1"/>
    <s v="LC-16885"/>
    <s v="Lena Creighton"/>
    <s v="Consumer"/>
    <x v="0"/>
    <x v="2"/>
    <x v="2"/>
    <x v="1"/>
    <s v="FUR-FU-10001847"/>
    <x v="0"/>
    <x v="3"/>
    <x v="270"/>
    <n v="12.42"/>
    <n v="3"/>
    <n v="4.4711999999999996"/>
    <x v="0"/>
  </r>
  <r>
    <x v="1707"/>
    <x v="349"/>
    <d v="2016-05-10T00:00:00"/>
    <x v="1"/>
    <s v="GM-14500"/>
    <s v="Gene McClure"/>
    <s v="Consumer"/>
    <x v="0"/>
    <x v="175"/>
    <x v="2"/>
    <x v="1"/>
    <s v="FUR-FU-10001617"/>
    <x v="0"/>
    <x v="3"/>
    <x v="225"/>
    <n v="41.6"/>
    <n v="4"/>
    <n v="14.144"/>
    <x v="7"/>
  </r>
  <r>
    <x v="1708"/>
    <x v="838"/>
    <d v="2017-12-18T00:00:00"/>
    <x v="1"/>
    <s v="EP-13915"/>
    <s v="Emily Phan"/>
    <s v="Consumer"/>
    <x v="0"/>
    <x v="28"/>
    <x v="2"/>
    <x v="1"/>
    <s v="FUR-FU-10001473"/>
    <x v="0"/>
    <x v="3"/>
    <x v="246"/>
    <n v="201.04"/>
    <n v="8"/>
    <n v="54.280799999999999"/>
    <x v="5"/>
  </r>
  <r>
    <x v="1709"/>
    <x v="18"/>
    <d v="2015-11-17T00:00:00"/>
    <x v="1"/>
    <s v="PO-18850"/>
    <s v="Patrick O'Brill"/>
    <s v="Consumer"/>
    <x v="0"/>
    <x v="6"/>
    <x v="5"/>
    <x v="3"/>
    <s v="FUR-BO-10001811"/>
    <x v="0"/>
    <x v="0"/>
    <x v="157"/>
    <n v="613.99919999999997"/>
    <n v="3"/>
    <n v="-18.058800000000002"/>
    <x v="0"/>
  </r>
  <r>
    <x v="1710"/>
    <x v="237"/>
    <d v="2016-03-11T00:00:00"/>
    <x v="3"/>
    <s v="BT-11485"/>
    <s v="Brad Thomas"/>
    <s v="Home Office"/>
    <x v="0"/>
    <x v="3"/>
    <x v="3"/>
    <x v="2"/>
    <s v="FUR-FU-10001037"/>
    <x v="0"/>
    <x v="3"/>
    <x v="231"/>
    <n v="30.335999999999999"/>
    <n v="4"/>
    <n v="9.48"/>
    <x v="9"/>
  </r>
  <r>
    <x v="1711"/>
    <x v="59"/>
    <d v="2016-10-27T00:00:00"/>
    <x v="1"/>
    <s v="CS-11950"/>
    <s v="Carlos Soltero"/>
    <s v="Consumer"/>
    <x v="0"/>
    <x v="2"/>
    <x v="2"/>
    <x v="1"/>
    <s v="FUR-CH-10004626"/>
    <x v="0"/>
    <x v="1"/>
    <x v="353"/>
    <n v="242.136"/>
    <n v="3"/>
    <n v="12.1068"/>
    <x v="1"/>
  </r>
  <r>
    <x v="1711"/>
    <x v="59"/>
    <d v="2016-10-27T00:00:00"/>
    <x v="1"/>
    <s v="CS-11950"/>
    <s v="Carlos Soltero"/>
    <s v="Consumer"/>
    <x v="0"/>
    <x v="2"/>
    <x v="2"/>
    <x v="1"/>
    <s v="FUR-FU-10003731"/>
    <x v="0"/>
    <x v="3"/>
    <x v="329"/>
    <n v="19.96"/>
    <n v="2"/>
    <n v="5.5888"/>
    <x v="1"/>
  </r>
  <r>
    <x v="1712"/>
    <x v="726"/>
    <d v="2014-11-10T00:00:00"/>
    <x v="1"/>
    <s v="MD-17350"/>
    <s v="Maribeth Dona"/>
    <s v="Consumer"/>
    <x v="0"/>
    <x v="3"/>
    <x v="3"/>
    <x v="2"/>
    <s v="FUR-FU-10001468"/>
    <x v="0"/>
    <x v="3"/>
    <x v="253"/>
    <n v="273.56799999999998"/>
    <n v="2"/>
    <n v="-34.195999999999998"/>
    <x v="0"/>
  </r>
  <r>
    <x v="1713"/>
    <x v="710"/>
    <d v="2016-09-26T00:00:00"/>
    <x v="1"/>
    <s v="CS-12250"/>
    <s v="Chris Selesnick"/>
    <s v="Corporate"/>
    <x v="0"/>
    <x v="356"/>
    <x v="16"/>
    <x v="3"/>
    <s v="FUR-FU-10002445"/>
    <x v="0"/>
    <x v="3"/>
    <x v="292"/>
    <n v="18.96"/>
    <n v="2"/>
    <n v="7.5839999999999996"/>
    <x v="4"/>
  </r>
  <r>
    <x v="1714"/>
    <x v="285"/>
    <d v="2016-02-20T00:00:00"/>
    <x v="1"/>
    <s v="JF-15565"/>
    <s v="Jill Fjeld"/>
    <s v="Consumer"/>
    <x v="0"/>
    <x v="13"/>
    <x v="7"/>
    <x v="2"/>
    <s v="FUR-CH-10001802"/>
    <x v="0"/>
    <x v="1"/>
    <x v="352"/>
    <n v="326.64600000000002"/>
    <n v="3"/>
    <n v="39.923400000000001"/>
    <x v="11"/>
  </r>
  <r>
    <x v="1715"/>
    <x v="663"/>
    <d v="2014-08-25T00:00:00"/>
    <x v="1"/>
    <s v="NC-18535"/>
    <s v="Nick Crebassa"/>
    <s v="Corporate"/>
    <x v="0"/>
    <x v="247"/>
    <x v="25"/>
    <x v="0"/>
    <s v="FUR-CH-10001797"/>
    <x v="0"/>
    <x v="1"/>
    <x v="293"/>
    <n v="500.24"/>
    <n v="13"/>
    <n v="145.06960000000001"/>
    <x v="10"/>
  </r>
  <r>
    <x v="1716"/>
    <x v="428"/>
    <d v="2015-11-12T00:00:00"/>
    <x v="1"/>
    <s v="QJ-19255"/>
    <s v="Quincy Jones"/>
    <s v="Corporate"/>
    <x v="0"/>
    <x v="259"/>
    <x v="43"/>
    <x v="2"/>
    <s v="FUR-BO-10004834"/>
    <x v="0"/>
    <x v="0"/>
    <x v="6"/>
    <n v="4404.8999999999996"/>
    <n v="5"/>
    <n v="1013.127"/>
    <x v="0"/>
  </r>
  <r>
    <x v="1717"/>
    <x v="241"/>
    <d v="2017-11-24T00:00:00"/>
    <x v="3"/>
    <s v="BP-11290"/>
    <s v="Beth Paige"/>
    <s v="Consumer"/>
    <x v="0"/>
    <x v="2"/>
    <x v="2"/>
    <x v="1"/>
    <s v="FUR-TA-10000617"/>
    <x v="0"/>
    <x v="2"/>
    <x v="72"/>
    <n v="364.08"/>
    <n v="2"/>
    <n v="9.1020000000000003"/>
    <x v="0"/>
  </r>
  <r>
    <x v="1717"/>
    <x v="241"/>
    <d v="2017-11-24T00:00:00"/>
    <x v="3"/>
    <s v="BP-11290"/>
    <s v="Beth Paige"/>
    <s v="Consumer"/>
    <x v="0"/>
    <x v="2"/>
    <x v="2"/>
    <x v="1"/>
    <s v="FUR-TA-10001676"/>
    <x v="0"/>
    <x v="2"/>
    <x v="193"/>
    <n v="71.087999999999994"/>
    <n v="2"/>
    <n v="-1.7771999999999999"/>
    <x v="0"/>
  </r>
  <r>
    <x v="1718"/>
    <x v="163"/>
    <d v="2014-11-15T00:00:00"/>
    <x v="1"/>
    <s v="BH-11710"/>
    <s v="Brosina Hoffman"/>
    <s v="Consumer"/>
    <x v="0"/>
    <x v="9"/>
    <x v="8"/>
    <x v="3"/>
    <s v="FUR-FU-10000175"/>
    <x v="0"/>
    <x v="3"/>
    <x v="338"/>
    <n v="10.984"/>
    <n v="2"/>
    <n v="-7.9634"/>
    <x v="0"/>
  </r>
  <r>
    <x v="1718"/>
    <x v="163"/>
    <d v="2014-11-15T00:00:00"/>
    <x v="1"/>
    <s v="BH-11710"/>
    <s v="Brosina Hoffman"/>
    <s v="Consumer"/>
    <x v="0"/>
    <x v="9"/>
    <x v="8"/>
    <x v="3"/>
    <s v="FUR-CH-10003379"/>
    <x v="0"/>
    <x v="1"/>
    <x v="96"/>
    <n v="797.94399999999996"/>
    <n v="4"/>
    <n v="-56.996000000000002"/>
    <x v="0"/>
  </r>
  <r>
    <x v="1719"/>
    <x v="582"/>
    <d v="2017-03-29T00:00:00"/>
    <x v="0"/>
    <s v="LC-16870"/>
    <s v="Lena Cacioppo"/>
    <s v="Consumer"/>
    <x v="0"/>
    <x v="52"/>
    <x v="25"/>
    <x v="0"/>
    <s v="FUR-TA-10002533"/>
    <x v="0"/>
    <x v="2"/>
    <x v="58"/>
    <n v="292.10000000000002"/>
    <n v="2"/>
    <n v="58.42"/>
    <x v="9"/>
  </r>
  <r>
    <x v="1720"/>
    <x v="359"/>
    <d v="2016-11-05T00:00:00"/>
    <x v="1"/>
    <s v="SF-20965"/>
    <s v="Sylvia Foulston"/>
    <s v="Corporate"/>
    <x v="0"/>
    <x v="28"/>
    <x v="2"/>
    <x v="1"/>
    <s v="FUR-CH-10001854"/>
    <x v="0"/>
    <x v="1"/>
    <x v="216"/>
    <n v="1403.92"/>
    <n v="5"/>
    <n v="70.195999999999998"/>
    <x v="1"/>
  </r>
  <r>
    <x v="1721"/>
    <x v="243"/>
    <d v="2016-11-30T00:00:00"/>
    <x v="1"/>
    <s v="SC-20050"/>
    <s v="Sample Company A"/>
    <s v="Home Office"/>
    <x v="0"/>
    <x v="173"/>
    <x v="1"/>
    <x v="0"/>
    <s v="FUR-BO-10001619"/>
    <x v="0"/>
    <x v="0"/>
    <x v="127"/>
    <n v="339.92"/>
    <n v="5"/>
    <n v="8.4979999999999993"/>
    <x v="0"/>
  </r>
  <r>
    <x v="1722"/>
    <x v="503"/>
    <d v="2014-07-30T00:00:00"/>
    <x v="1"/>
    <s v="LF-17185"/>
    <s v="Luke Foster"/>
    <s v="Consumer"/>
    <x v="0"/>
    <x v="21"/>
    <x v="5"/>
    <x v="3"/>
    <s v="FUR-FU-10004666"/>
    <x v="0"/>
    <x v="3"/>
    <x v="296"/>
    <n v="17.495999999999999"/>
    <n v="3"/>
    <n v="-10.0602"/>
    <x v="3"/>
  </r>
  <r>
    <x v="1723"/>
    <x v="151"/>
    <d v="2015-06-02T00:00:00"/>
    <x v="0"/>
    <s v="EM-13825"/>
    <s v="Elizabeth Moffitt"/>
    <s v="Corporate"/>
    <x v="0"/>
    <x v="309"/>
    <x v="18"/>
    <x v="2"/>
    <s v="FUR-FU-10001847"/>
    <x v="0"/>
    <x v="3"/>
    <x v="270"/>
    <n v="8.2799999999999994"/>
    <n v="2"/>
    <n v="2.9807999999999999"/>
    <x v="7"/>
  </r>
  <r>
    <x v="1724"/>
    <x v="726"/>
    <d v="2014-11-05T00:00:00"/>
    <x v="3"/>
    <s v="BG-11035"/>
    <s v="Barry Gonzalez"/>
    <s v="Consumer"/>
    <x v="0"/>
    <x v="247"/>
    <x v="25"/>
    <x v="0"/>
    <s v="FUR-CH-10004754"/>
    <x v="0"/>
    <x v="1"/>
    <x v="219"/>
    <n v="149.9"/>
    <n v="5"/>
    <n v="40.472999999999999"/>
    <x v="0"/>
  </r>
  <r>
    <x v="1725"/>
    <x v="582"/>
    <d v="2017-04-01T00:00:00"/>
    <x v="1"/>
    <s v="CJ-12010"/>
    <s v="Caroline Jumper"/>
    <s v="Consumer"/>
    <x v="0"/>
    <x v="6"/>
    <x v="5"/>
    <x v="3"/>
    <s v="FUR-BO-10001811"/>
    <x v="0"/>
    <x v="0"/>
    <x v="157"/>
    <n v="1023.332"/>
    <n v="5"/>
    <n v="-30.097999999999999"/>
    <x v="9"/>
  </r>
  <r>
    <x v="1725"/>
    <x v="582"/>
    <d v="2017-04-01T00:00:00"/>
    <x v="1"/>
    <s v="CJ-12010"/>
    <s v="Caroline Jumper"/>
    <s v="Consumer"/>
    <x v="0"/>
    <x v="6"/>
    <x v="5"/>
    <x v="3"/>
    <s v="FUR-CH-10004063"/>
    <x v="0"/>
    <x v="1"/>
    <x v="27"/>
    <n v="600.55799999999999"/>
    <n v="3"/>
    <n v="-8.5793999999999997"/>
    <x v="9"/>
  </r>
  <r>
    <x v="1725"/>
    <x v="582"/>
    <d v="2017-04-01T00:00:00"/>
    <x v="1"/>
    <s v="CJ-12010"/>
    <s v="Caroline Jumper"/>
    <s v="Consumer"/>
    <x v="0"/>
    <x v="6"/>
    <x v="5"/>
    <x v="3"/>
    <s v="FUR-CH-10001714"/>
    <x v="0"/>
    <x v="1"/>
    <x v="255"/>
    <n v="211.24600000000001"/>
    <n v="2"/>
    <n v="-66.391599999999997"/>
    <x v="9"/>
  </r>
  <r>
    <x v="1726"/>
    <x v="876"/>
    <d v="2014-05-23T00:00:00"/>
    <x v="0"/>
    <s v="KH-16360"/>
    <s v="Katherine Hughes"/>
    <s v="Consumer"/>
    <x v="0"/>
    <x v="6"/>
    <x v="5"/>
    <x v="3"/>
    <s v="FUR-CH-10003396"/>
    <x v="0"/>
    <x v="1"/>
    <x v="81"/>
    <n v="107.77200000000001"/>
    <n v="2"/>
    <n v="-29.252400000000002"/>
    <x v="7"/>
  </r>
  <r>
    <x v="1727"/>
    <x v="877"/>
    <d v="2015-07-20T00:00:00"/>
    <x v="0"/>
    <s v="PJ-19015"/>
    <s v="Pauline Johnson"/>
    <s v="Consumer"/>
    <x v="0"/>
    <x v="13"/>
    <x v="7"/>
    <x v="2"/>
    <s v="FUR-FU-10002364"/>
    <x v="0"/>
    <x v="3"/>
    <x v="242"/>
    <n v="7.38"/>
    <n v="1"/>
    <n v="2.1402000000000001"/>
    <x v="3"/>
  </r>
  <r>
    <x v="1728"/>
    <x v="59"/>
    <d v="2016-10-26T00:00:00"/>
    <x v="1"/>
    <s v="AP-10720"/>
    <s v="Anne Pryor"/>
    <s v="Home Office"/>
    <x v="0"/>
    <x v="1"/>
    <x v="1"/>
    <x v="0"/>
    <s v="FUR-FU-10002878"/>
    <x v="0"/>
    <x v="3"/>
    <x v="220"/>
    <n v="45.567999999999998"/>
    <n v="2"/>
    <n v="9.6831999999999994"/>
    <x v="1"/>
  </r>
  <r>
    <x v="1729"/>
    <x v="534"/>
    <d v="2017-08-01T00:00:00"/>
    <x v="0"/>
    <s v="JW-15955"/>
    <s v="Joni Wasserman"/>
    <s v="Consumer"/>
    <x v="0"/>
    <x v="168"/>
    <x v="30"/>
    <x v="0"/>
    <s v="FUR-CH-10001146"/>
    <x v="0"/>
    <x v="1"/>
    <x v="15"/>
    <n v="194.84800000000001"/>
    <n v="4"/>
    <n v="12.178000000000001"/>
    <x v="3"/>
  </r>
  <r>
    <x v="1730"/>
    <x v="878"/>
    <d v="2015-06-12T00:00:00"/>
    <x v="1"/>
    <s v="AG-10495"/>
    <s v="Andrew Gjertsen"/>
    <s v="Corporate"/>
    <x v="0"/>
    <x v="66"/>
    <x v="1"/>
    <x v="0"/>
    <s v="FUR-FU-10001185"/>
    <x v="0"/>
    <x v="3"/>
    <x v="281"/>
    <n v="173.208"/>
    <n v="7"/>
    <n v="45.467100000000002"/>
    <x v="2"/>
  </r>
  <r>
    <x v="1731"/>
    <x v="879"/>
    <d v="2014-08-19T00:00:00"/>
    <x v="1"/>
    <s v="BD-11605"/>
    <s v="Brian Dahlen"/>
    <s v="Consumer"/>
    <x v="0"/>
    <x v="28"/>
    <x v="2"/>
    <x v="1"/>
    <s v="FUR-CH-10003833"/>
    <x v="0"/>
    <x v="1"/>
    <x v="237"/>
    <n v="195.136"/>
    <n v="4"/>
    <n v="-12.196"/>
    <x v="10"/>
  </r>
  <r>
    <x v="1732"/>
    <x v="3"/>
    <d v="2017-07-23T00:00:00"/>
    <x v="1"/>
    <s v="NF-18385"/>
    <s v="Natalie Fritzler"/>
    <s v="Consumer"/>
    <x v="0"/>
    <x v="127"/>
    <x v="30"/>
    <x v="0"/>
    <s v="FUR-CH-10004218"/>
    <x v="0"/>
    <x v="1"/>
    <x v="10"/>
    <n v="242.352"/>
    <n v="3"/>
    <n v="15.147"/>
    <x v="3"/>
  </r>
  <r>
    <x v="1733"/>
    <x v="439"/>
    <d v="2014-12-18T00:00:00"/>
    <x v="0"/>
    <s v="SC-20305"/>
    <s v="Sean Christensen"/>
    <s v="Consumer"/>
    <x v="0"/>
    <x v="365"/>
    <x v="5"/>
    <x v="3"/>
    <s v="FUR-FU-10001706"/>
    <x v="0"/>
    <x v="3"/>
    <x v="11"/>
    <n v="8.6240000000000006"/>
    <n v="7"/>
    <n v="-2.5872000000000002"/>
    <x v="5"/>
  </r>
  <r>
    <x v="1734"/>
    <x v="792"/>
    <d v="2016-10-12T00:00:00"/>
    <x v="2"/>
    <s v="WB-21850"/>
    <s v="William Brown"/>
    <s v="Consumer"/>
    <x v="0"/>
    <x v="101"/>
    <x v="5"/>
    <x v="3"/>
    <s v="FUR-FU-10004963"/>
    <x v="0"/>
    <x v="3"/>
    <x v="289"/>
    <n v="14"/>
    <n v="4"/>
    <n v="-6.3"/>
    <x v="1"/>
  </r>
  <r>
    <x v="1735"/>
    <x v="228"/>
    <d v="2016-10-01T00:00:00"/>
    <x v="1"/>
    <s v="DL-12865"/>
    <s v="Dan Lawera"/>
    <s v="Consumer"/>
    <x v="0"/>
    <x v="62"/>
    <x v="2"/>
    <x v="1"/>
    <s v="FUR-CH-10000665"/>
    <x v="0"/>
    <x v="1"/>
    <x v="140"/>
    <n v="483.13600000000002"/>
    <n v="4"/>
    <n v="60.392000000000003"/>
    <x v="4"/>
  </r>
  <r>
    <x v="1736"/>
    <x v="270"/>
    <d v="2014-06-06T00:00:00"/>
    <x v="2"/>
    <s v="RE-19450"/>
    <s v="Richard Eichhorn"/>
    <s v="Consumer"/>
    <x v="0"/>
    <x v="42"/>
    <x v="8"/>
    <x v="3"/>
    <s v="FUR-FU-10001475"/>
    <x v="0"/>
    <x v="3"/>
    <x v="106"/>
    <n v="61.543999999999997"/>
    <n v="7"/>
    <n v="-40.003599999999999"/>
    <x v="2"/>
  </r>
  <r>
    <x v="1737"/>
    <x v="113"/>
    <d v="2017-09-04T00:00:00"/>
    <x v="0"/>
    <s v="MH-17290"/>
    <s v="Marc Harrigan"/>
    <s v="Home Office"/>
    <x v="0"/>
    <x v="2"/>
    <x v="2"/>
    <x v="1"/>
    <s v="FUR-FU-10004188"/>
    <x v="0"/>
    <x v="3"/>
    <x v="150"/>
    <n v="511.5"/>
    <n v="5"/>
    <n v="132.99"/>
    <x v="4"/>
  </r>
  <r>
    <x v="1738"/>
    <x v="630"/>
    <d v="2016-05-06T00:00:00"/>
    <x v="1"/>
    <s v="EH-13765"/>
    <s v="Edward Hooks"/>
    <s v="Corporate"/>
    <x v="0"/>
    <x v="13"/>
    <x v="7"/>
    <x v="2"/>
    <s v="FUR-FU-10000732"/>
    <x v="0"/>
    <x v="3"/>
    <x v="113"/>
    <n v="12.56"/>
    <n v="2"/>
    <n v="4.0191999999999997"/>
    <x v="7"/>
  </r>
  <r>
    <x v="1738"/>
    <x v="630"/>
    <d v="2016-05-06T00:00:00"/>
    <x v="1"/>
    <s v="EH-13765"/>
    <s v="Edward Hooks"/>
    <s v="Corporate"/>
    <x v="0"/>
    <x v="13"/>
    <x v="7"/>
    <x v="2"/>
    <s v="FUR-FU-10002253"/>
    <x v="0"/>
    <x v="3"/>
    <x v="123"/>
    <n v="214.7"/>
    <n v="5"/>
    <n v="83.733000000000004"/>
    <x v="7"/>
  </r>
  <r>
    <x v="1739"/>
    <x v="744"/>
    <d v="2017-06-23T00:00:00"/>
    <x v="1"/>
    <s v="GA-14515"/>
    <s v="George Ashbrook"/>
    <s v="Consumer"/>
    <x v="0"/>
    <x v="28"/>
    <x v="2"/>
    <x v="1"/>
    <s v="FUR-FU-10002396"/>
    <x v="0"/>
    <x v="3"/>
    <x v="326"/>
    <n v="50.32"/>
    <n v="4"/>
    <n v="21.134399999999999"/>
    <x v="2"/>
  </r>
  <r>
    <x v="1740"/>
    <x v="880"/>
    <d v="2015-03-30T00:00:00"/>
    <x v="1"/>
    <s v="EB-13840"/>
    <s v="Ellis Ballard"/>
    <s v="Corporate"/>
    <x v="0"/>
    <x v="15"/>
    <x v="13"/>
    <x v="1"/>
    <s v="FUR-TA-10001889"/>
    <x v="0"/>
    <x v="2"/>
    <x v="87"/>
    <n v="3393.68"/>
    <n v="8"/>
    <n v="610.86239999999998"/>
    <x v="9"/>
  </r>
  <r>
    <x v="1741"/>
    <x v="881"/>
    <d v="2017-01-20T00:00:00"/>
    <x v="1"/>
    <s v="HR-14770"/>
    <s v="Hallie Redmond"/>
    <s v="Home Office"/>
    <x v="0"/>
    <x v="52"/>
    <x v="6"/>
    <x v="3"/>
    <s v="FUR-FU-10001037"/>
    <x v="0"/>
    <x v="3"/>
    <x v="231"/>
    <n v="18.96"/>
    <n v="2"/>
    <n v="8.532"/>
    <x v="8"/>
  </r>
  <r>
    <x v="1742"/>
    <x v="770"/>
    <d v="2014-11-03T00:00:00"/>
    <x v="2"/>
    <s v="EA-14035"/>
    <s v="Erin Ashbrook"/>
    <s v="Corporate"/>
    <x v="0"/>
    <x v="366"/>
    <x v="15"/>
    <x v="2"/>
    <s v="FUR-FU-10002253"/>
    <x v="0"/>
    <x v="3"/>
    <x v="123"/>
    <n v="68.703999999999994"/>
    <n v="2"/>
    <n v="16.3172"/>
    <x v="0"/>
  </r>
  <r>
    <x v="1743"/>
    <x v="650"/>
    <d v="2016-08-25T00:00:00"/>
    <x v="1"/>
    <s v="JK-15370"/>
    <s v="Jay Kimmel"/>
    <s v="Consumer"/>
    <x v="0"/>
    <x v="13"/>
    <x v="7"/>
    <x v="2"/>
    <s v="FUR-CH-10002961"/>
    <x v="0"/>
    <x v="1"/>
    <x v="189"/>
    <n v="573.17399999999998"/>
    <n v="7"/>
    <n v="63.686"/>
    <x v="10"/>
  </r>
  <r>
    <x v="1744"/>
    <x v="81"/>
    <d v="2016-07-28T00:00:00"/>
    <x v="0"/>
    <s v="SH-19975"/>
    <s v="Sally Hughsby"/>
    <s v="Corporate"/>
    <x v="0"/>
    <x v="79"/>
    <x v="16"/>
    <x v="3"/>
    <s v="FUR-CH-10004626"/>
    <x v="0"/>
    <x v="1"/>
    <x v="353"/>
    <n v="403.56"/>
    <n v="4"/>
    <n v="96.854399999999998"/>
    <x v="3"/>
  </r>
  <r>
    <x v="1744"/>
    <x v="81"/>
    <d v="2016-07-28T00:00:00"/>
    <x v="0"/>
    <s v="SH-19975"/>
    <s v="Sally Hughsby"/>
    <s v="Corporate"/>
    <x v="0"/>
    <x v="79"/>
    <x v="16"/>
    <x v="3"/>
    <s v="FUR-FU-10001756"/>
    <x v="0"/>
    <x v="3"/>
    <x v="62"/>
    <n v="95.2"/>
    <n v="5"/>
    <n v="27.608000000000001"/>
    <x v="3"/>
  </r>
  <r>
    <x v="1745"/>
    <x v="882"/>
    <d v="2016-06-10T00:00:00"/>
    <x v="1"/>
    <s v="LP-17095"/>
    <s v="Liz Preis"/>
    <s v="Consumer"/>
    <x v="0"/>
    <x v="130"/>
    <x v="15"/>
    <x v="2"/>
    <s v="FUR-FU-10004306"/>
    <x v="0"/>
    <x v="3"/>
    <x v="130"/>
    <n v="466.32"/>
    <n v="3"/>
    <n v="34.973999999999997"/>
    <x v="2"/>
  </r>
  <r>
    <x v="1745"/>
    <x v="882"/>
    <d v="2016-06-10T00:00:00"/>
    <x v="1"/>
    <s v="LP-17095"/>
    <s v="Liz Preis"/>
    <s v="Consumer"/>
    <x v="0"/>
    <x v="130"/>
    <x v="15"/>
    <x v="2"/>
    <s v="FUR-FU-10004845"/>
    <x v="0"/>
    <x v="3"/>
    <x v="351"/>
    <n v="82.64"/>
    <n v="2"/>
    <n v="0"/>
    <x v="2"/>
  </r>
  <r>
    <x v="1746"/>
    <x v="786"/>
    <d v="2014-04-03T00:00:00"/>
    <x v="1"/>
    <s v="MP-18175"/>
    <s v="Mike Pelletier"/>
    <s v="Home Office"/>
    <x v="0"/>
    <x v="76"/>
    <x v="15"/>
    <x v="2"/>
    <s v="FUR-TA-10000198"/>
    <x v="0"/>
    <x v="2"/>
    <x v="124"/>
    <n v="330.58800000000002"/>
    <n v="1"/>
    <n v="-143.25479999999999"/>
    <x v="9"/>
  </r>
  <r>
    <x v="1747"/>
    <x v="67"/>
    <d v="2017-08-25T00:00:00"/>
    <x v="1"/>
    <s v="SC-20845"/>
    <s v="Sung Chung"/>
    <s v="Consumer"/>
    <x v="0"/>
    <x v="74"/>
    <x v="12"/>
    <x v="1"/>
    <s v="FUR-FU-10001037"/>
    <x v="0"/>
    <x v="3"/>
    <x v="231"/>
    <n v="22.751999999999999"/>
    <n v="3"/>
    <n v="7.11"/>
    <x v="10"/>
  </r>
  <r>
    <x v="1748"/>
    <x v="352"/>
    <d v="2014-11-18T00:00:00"/>
    <x v="1"/>
    <s v="DP-13000"/>
    <s v="Darren Powers"/>
    <s v="Consumer"/>
    <x v="0"/>
    <x v="118"/>
    <x v="5"/>
    <x v="3"/>
    <s v="FUR-FU-10004587"/>
    <x v="0"/>
    <x v="3"/>
    <x v="269"/>
    <n v="25.128"/>
    <n v="3"/>
    <n v="-6.9101999999999997"/>
    <x v="0"/>
  </r>
  <r>
    <x v="1749"/>
    <x v="615"/>
    <d v="2015-09-15T00:00:00"/>
    <x v="2"/>
    <s v="KD-16615"/>
    <s v="Ken Dana"/>
    <s v="Corporate"/>
    <x v="0"/>
    <x v="261"/>
    <x v="2"/>
    <x v="1"/>
    <s v="FUR-FU-10004973"/>
    <x v="0"/>
    <x v="3"/>
    <x v="223"/>
    <n v="131.88"/>
    <n v="7"/>
    <n v="55.389600000000002"/>
    <x v="4"/>
  </r>
  <r>
    <x v="1749"/>
    <x v="615"/>
    <d v="2015-09-15T00:00:00"/>
    <x v="2"/>
    <s v="KD-16615"/>
    <s v="Ken Dana"/>
    <s v="Corporate"/>
    <x v="0"/>
    <x v="261"/>
    <x v="2"/>
    <x v="1"/>
    <s v="FUR-CH-10000155"/>
    <x v="0"/>
    <x v="1"/>
    <x v="229"/>
    <n v="717.72"/>
    <n v="3"/>
    <n v="71.772000000000006"/>
    <x v="4"/>
  </r>
  <r>
    <x v="1749"/>
    <x v="615"/>
    <d v="2015-09-15T00:00:00"/>
    <x v="2"/>
    <s v="KD-16615"/>
    <s v="Ken Dana"/>
    <s v="Corporate"/>
    <x v="0"/>
    <x v="261"/>
    <x v="2"/>
    <x v="1"/>
    <s v="FUR-FU-10002379"/>
    <x v="0"/>
    <x v="3"/>
    <x v="300"/>
    <n v="207.35"/>
    <n v="5"/>
    <n v="24.882000000000001"/>
    <x v="4"/>
  </r>
  <r>
    <x v="1749"/>
    <x v="615"/>
    <d v="2015-09-15T00:00:00"/>
    <x v="2"/>
    <s v="KD-16615"/>
    <s v="Ken Dana"/>
    <s v="Corporate"/>
    <x v="0"/>
    <x v="261"/>
    <x v="2"/>
    <x v="1"/>
    <s v="FUR-FU-10004018"/>
    <x v="0"/>
    <x v="3"/>
    <x v="188"/>
    <n v="44.67"/>
    <n v="3"/>
    <n v="12.0609"/>
    <x v="4"/>
  </r>
  <r>
    <x v="1750"/>
    <x v="883"/>
    <d v="2015-10-12T00:00:00"/>
    <x v="2"/>
    <s v="KN-16390"/>
    <s v="Katherine Nockton"/>
    <s v="Corporate"/>
    <x v="0"/>
    <x v="367"/>
    <x v="2"/>
    <x v="1"/>
    <s v="FUR-CH-10001714"/>
    <x v="0"/>
    <x v="1"/>
    <x v="255"/>
    <n v="362.13600000000002"/>
    <n v="3"/>
    <n v="-54.320399999999999"/>
    <x v="1"/>
  </r>
  <r>
    <x v="1751"/>
    <x v="884"/>
    <d v="2017-01-31T00:00:00"/>
    <x v="0"/>
    <s v="TM-21010"/>
    <s v="Tamara Manning"/>
    <s v="Consumer"/>
    <x v="0"/>
    <x v="149"/>
    <x v="26"/>
    <x v="3"/>
    <s v="FUR-FU-10000010"/>
    <x v="0"/>
    <x v="3"/>
    <x v="109"/>
    <n v="14.91"/>
    <n v="3"/>
    <n v="4.6220999999999997"/>
    <x v="8"/>
  </r>
  <r>
    <x v="1752"/>
    <x v="775"/>
    <d v="2016-03-19T00:00:00"/>
    <x v="1"/>
    <s v="MY-18295"/>
    <s v="Muhammed Yedwab"/>
    <s v="Corporate"/>
    <x v="0"/>
    <x v="368"/>
    <x v="5"/>
    <x v="3"/>
    <s v="FUR-CH-10000863"/>
    <x v="0"/>
    <x v="1"/>
    <x v="20"/>
    <n v="528.42999999999995"/>
    <n v="5"/>
    <n v="-143.43100000000001"/>
    <x v="9"/>
  </r>
  <r>
    <x v="1753"/>
    <x v="631"/>
    <d v="2016-09-04T00:00:00"/>
    <x v="3"/>
    <s v="IM-15055"/>
    <s v="Ionia McGrath"/>
    <s v="Consumer"/>
    <x v="0"/>
    <x v="28"/>
    <x v="2"/>
    <x v="1"/>
    <s v="FUR-FU-10000260"/>
    <x v="0"/>
    <x v="3"/>
    <x v="18"/>
    <n v="24.27"/>
    <n v="3"/>
    <n v="8.7371999999999996"/>
    <x v="4"/>
  </r>
  <r>
    <x v="1754"/>
    <x v="18"/>
    <d v="2015-11-17T00:00:00"/>
    <x v="1"/>
    <s v="KH-16510"/>
    <s v="Keith Herrera"/>
    <s v="Consumer"/>
    <x v="0"/>
    <x v="369"/>
    <x v="2"/>
    <x v="1"/>
    <s v="FUR-BO-10004357"/>
    <x v="0"/>
    <x v="0"/>
    <x v="268"/>
    <n v="683.33199999999999"/>
    <n v="4"/>
    <n v="-40.195999999999998"/>
    <x v="0"/>
  </r>
  <r>
    <x v="1755"/>
    <x v="885"/>
    <d v="2016-06-06T00:00:00"/>
    <x v="0"/>
    <s v="CP-12340"/>
    <s v="Christine Phan"/>
    <s v="Corporate"/>
    <x v="0"/>
    <x v="2"/>
    <x v="2"/>
    <x v="1"/>
    <s v="FUR-TA-10001676"/>
    <x v="0"/>
    <x v="2"/>
    <x v="193"/>
    <n v="71.087999999999994"/>
    <n v="2"/>
    <n v="-1.7771999999999999"/>
    <x v="2"/>
  </r>
  <r>
    <x v="1756"/>
    <x v="574"/>
    <d v="2016-12-17T00:00:00"/>
    <x v="1"/>
    <s v="NS-18640"/>
    <s v="Noel Staavos"/>
    <s v="Corporate"/>
    <x v="0"/>
    <x v="13"/>
    <x v="7"/>
    <x v="2"/>
    <s v="FUR-FU-10004864"/>
    <x v="0"/>
    <x v="3"/>
    <x v="356"/>
    <n v="60.35"/>
    <n v="5"/>
    <n v="19.915500000000002"/>
    <x v="5"/>
  </r>
  <r>
    <x v="1757"/>
    <x v="886"/>
    <d v="2017-06-03T00:00:00"/>
    <x v="0"/>
    <s v="HW-14935"/>
    <s v="Helen Wasserman"/>
    <s v="Corporate"/>
    <x v="0"/>
    <x v="370"/>
    <x v="6"/>
    <x v="3"/>
    <s v="FUR-CH-10003746"/>
    <x v="0"/>
    <x v="1"/>
    <x v="131"/>
    <n v="1925.88"/>
    <n v="6"/>
    <n v="539.24639999999999"/>
    <x v="2"/>
  </r>
  <r>
    <x v="1758"/>
    <x v="646"/>
    <d v="2015-12-16T00:00:00"/>
    <x v="0"/>
    <s v="DB-12970"/>
    <s v="Darren Budd"/>
    <s v="Corporate"/>
    <x v="0"/>
    <x v="2"/>
    <x v="2"/>
    <x v="1"/>
    <s v="FUR-TA-10002622"/>
    <x v="0"/>
    <x v="2"/>
    <x v="194"/>
    <n v="273.56799999999998"/>
    <n v="2"/>
    <n v="10.258800000000001"/>
    <x v="5"/>
  </r>
  <r>
    <x v="1759"/>
    <x v="887"/>
    <d v="2015-03-22T00:00:00"/>
    <x v="2"/>
    <s v="CM-12655"/>
    <s v="Corinna Mitchell"/>
    <s v="Home Office"/>
    <x v="0"/>
    <x v="6"/>
    <x v="5"/>
    <x v="3"/>
    <s v="FUR-BO-10004218"/>
    <x v="0"/>
    <x v="0"/>
    <x v="327"/>
    <n v="383.46559999999999"/>
    <n v="4"/>
    <n v="-67.670400000000001"/>
    <x v="9"/>
  </r>
  <r>
    <x v="1760"/>
    <x v="28"/>
    <d v="2016-12-10T00:00:00"/>
    <x v="0"/>
    <s v="HE-14800"/>
    <s v="Harold Engle"/>
    <s v="Corporate"/>
    <x v="0"/>
    <x v="19"/>
    <x v="14"/>
    <x v="2"/>
    <s v="FUR-FU-10002671"/>
    <x v="0"/>
    <x v="3"/>
    <x v="59"/>
    <n v="13.4"/>
    <n v="1"/>
    <n v="6.4320000000000004"/>
    <x v="5"/>
  </r>
  <r>
    <x v="1761"/>
    <x v="329"/>
    <d v="2015-09-09T00:00:00"/>
    <x v="0"/>
    <s v="SW-20455"/>
    <s v="Shaun Weien"/>
    <s v="Consumer"/>
    <x v="0"/>
    <x v="120"/>
    <x v="35"/>
    <x v="0"/>
    <s v="FUR-TA-10001039"/>
    <x v="0"/>
    <x v="2"/>
    <x v="165"/>
    <n v="85.98"/>
    <n v="1"/>
    <n v="22.354800000000001"/>
    <x v="4"/>
  </r>
  <r>
    <x v="1762"/>
    <x v="888"/>
    <d v="2014-01-23T00:00:00"/>
    <x v="0"/>
    <s v="TB-21400"/>
    <s v="Tom Boeckenhauer"/>
    <s v="Consumer"/>
    <x v="0"/>
    <x v="89"/>
    <x v="1"/>
    <x v="0"/>
    <s v="FUR-FU-10001889"/>
    <x v="0"/>
    <x v="3"/>
    <x v="228"/>
    <n v="25.248000000000001"/>
    <n v="3"/>
    <n v="4.1028000000000002"/>
    <x v="8"/>
  </r>
  <r>
    <x v="1763"/>
    <x v="194"/>
    <d v="2017-03-03T00:00:00"/>
    <x v="1"/>
    <s v="DB-13060"/>
    <s v="Dave Brooks"/>
    <s v="Consumer"/>
    <x v="0"/>
    <x v="46"/>
    <x v="2"/>
    <x v="1"/>
    <s v="FUR-FU-10000747"/>
    <x v="0"/>
    <x v="3"/>
    <x v="363"/>
    <n v="91.96"/>
    <n v="2"/>
    <n v="15.633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075261-1DC5-4F4D-9ADA-B839204E28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12" firstHeaderRow="0" firstDataRow="1" firstDataCol="1"/>
  <pivotFields count="22">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dataField="1" showAll="0"/>
    <pivotField showAll="0"/>
    <pivotField showAll="0"/>
    <pivotField showAll="0">
      <items count="381">
        <item x="115"/>
        <item x="175"/>
        <item x="298"/>
        <item x="73"/>
        <item x="328"/>
        <item x="266"/>
        <item x="18"/>
        <item x="22"/>
        <item x="317"/>
        <item x="281"/>
        <item x="104"/>
        <item x="215"/>
        <item x="82"/>
        <item x="299"/>
        <item x="26"/>
        <item x="248"/>
        <item x="9"/>
        <item x="35"/>
        <item x="157"/>
        <item x="91"/>
        <item x="252"/>
        <item x="320"/>
        <item x="308"/>
        <item x="355"/>
        <item x="179"/>
        <item x="40"/>
        <item x="28"/>
        <item x="147"/>
        <item x="192"/>
        <item x="261"/>
        <item x="52"/>
        <item x="251"/>
        <item x="235"/>
        <item x="74"/>
        <item x="77"/>
        <item x="126"/>
        <item x="36"/>
        <item x="58"/>
        <item x="2"/>
        <item x="273"/>
        <item x="103"/>
        <item x="44"/>
        <item x="87"/>
        <item x="43"/>
        <item x="118"/>
        <item x="194"/>
        <item x="316"/>
        <item x="301"/>
        <item x="358"/>
        <item x="327"/>
        <item x="88"/>
        <item x="164"/>
        <item x="0"/>
        <item x="265"/>
        <item x="375"/>
        <item x="145"/>
        <item x="53"/>
        <item x="362"/>
        <item x="167"/>
        <item x="243"/>
        <item x="124"/>
        <item x="116"/>
        <item x="4"/>
        <item x="129"/>
        <item x="169"/>
        <item x="60"/>
        <item x="132"/>
        <item x="80"/>
        <item x="279"/>
        <item x="365"/>
        <item x="267"/>
        <item x="106"/>
        <item x="222"/>
        <item x="107"/>
        <item x="284"/>
        <item x="241"/>
        <item x="151"/>
        <item x="231"/>
        <item x="144"/>
        <item x="296"/>
        <item x="350"/>
        <item x="326"/>
        <item x="217"/>
        <item x="347"/>
        <item x="195"/>
        <item x="108"/>
        <item x="207"/>
        <item x="257"/>
        <item x="292"/>
        <item x="339"/>
        <item x="109"/>
        <item x="198"/>
        <item x="338"/>
        <item x="371"/>
        <item x="23"/>
        <item x="351"/>
        <item x="100"/>
        <item x="250"/>
        <item x="93"/>
        <item x="148"/>
        <item x="63"/>
        <item x="64"/>
        <item x="240"/>
        <item x="346"/>
        <item x="325"/>
        <item x="49"/>
        <item x="113"/>
        <item x="191"/>
        <item x="37"/>
        <item x="285"/>
        <item x="324"/>
        <item x="289"/>
        <item x="356"/>
        <item x="156"/>
        <item x="161"/>
        <item x="159"/>
        <item x="249"/>
        <item x="30"/>
        <item x="56"/>
        <item x="153"/>
        <item x="300"/>
        <item x="313"/>
        <item x="246"/>
        <item x="19"/>
        <item x="62"/>
        <item x="294"/>
        <item x="282"/>
        <item x="174"/>
        <item x="3"/>
        <item x="329"/>
        <item x="242"/>
        <item x="354"/>
        <item x="270"/>
        <item x="200"/>
        <item x="177"/>
        <item x="262"/>
        <item x="176"/>
        <item x="318"/>
        <item x="166"/>
        <item x="138"/>
        <item x="70"/>
        <item x="59"/>
        <item x="8"/>
        <item x="373"/>
        <item x="130"/>
        <item x="218"/>
        <item x="309"/>
        <item x="272"/>
        <item x="323"/>
        <item x="276"/>
        <item x="288"/>
        <item x="271"/>
        <item x="137"/>
        <item x="377"/>
        <item x="39"/>
        <item x="376"/>
        <item x="225"/>
        <item x="95"/>
        <item x="223"/>
        <item x="57"/>
        <item x="154"/>
        <item x="303"/>
        <item x="283"/>
        <item x="205"/>
        <item x="84"/>
        <item x="269"/>
        <item x="277"/>
        <item x="342"/>
        <item x="140"/>
        <item x="312"/>
        <item x="173"/>
        <item x="155"/>
        <item x="229"/>
        <item x="96"/>
        <item x="232"/>
        <item x="27"/>
        <item x="264"/>
        <item x="55"/>
        <item x="5"/>
        <item x="81"/>
        <item x="334"/>
        <item x="378"/>
        <item x="69"/>
        <item x="199"/>
        <item x="10"/>
        <item x="85"/>
        <item x="287"/>
        <item x="162"/>
        <item x="278"/>
        <item x="255"/>
        <item x="304"/>
        <item x="139"/>
        <item x="50"/>
        <item x="12"/>
        <item x="41"/>
        <item x="110"/>
        <item x="42"/>
        <item x="219"/>
        <item x="158"/>
        <item x="196"/>
        <item x="29"/>
        <item x="94"/>
        <item x="15"/>
        <item x="33"/>
        <item x="234"/>
        <item x="171"/>
        <item x="230"/>
        <item x="290"/>
        <item x="170"/>
        <item x="16"/>
        <item x="66"/>
        <item x="201"/>
        <item x="212"/>
        <item x="226"/>
        <item x="163"/>
        <item x="61"/>
        <item x="131"/>
        <item x="86"/>
        <item x="341"/>
        <item x="67"/>
        <item x="101"/>
        <item x="193"/>
        <item x="239"/>
        <item x="361"/>
        <item x="168"/>
        <item x="1"/>
        <item x="280"/>
        <item x="352"/>
        <item x="105"/>
        <item x="133"/>
        <item x="315"/>
        <item x="332"/>
        <item x="310"/>
        <item x="244"/>
        <item x="79"/>
        <item x="178"/>
        <item x="370"/>
        <item x="221"/>
        <item x="297"/>
        <item x="72"/>
        <item x="25"/>
        <item x="259"/>
        <item x="186"/>
        <item x="331"/>
        <item x="102"/>
        <item x="143"/>
        <item x="160"/>
        <item x="337"/>
        <item x="54"/>
        <item x="123"/>
        <item x="117"/>
        <item x="7"/>
        <item x="92"/>
        <item x="245"/>
        <item x="182"/>
        <item x="260"/>
        <item x="197"/>
        <item x="165"/>
        <item x="48"/>
        <item x="121"/>
        <item x="189"/>
        <item x="190"/>
        <item x="146"/>
        <item x="135"/>
        <item x="142"/>
        <item x="366"/>
        <item x="11"/>
        <item x="357"/>
        <item x="14"/>
        <item x="150"/>
        <item x="46"/>
        <item x="119"/>
        <item x="152"/>
        <item x="24"/>
        <item x="238"/>
        <item x="111"/>
        <item x="305"/>
        <item x="344"/>
        <item x="202"/>
        <item x="114"/>
        <item x="247"/>
        <item x="237"/>
        <item x="76"/>
        <item x="20"/>
        <item x="13"/>
        <item x="254"/>
        <item x="368"/>
        <item x="209"/>
        <item x="128"/>
        <item x="345"/>
        <item x="71"/>
        <item x="180"/>
        <item x="136"/>
        <item x="359"/>
        <item x="322"/>
        <item x="349"/>
        <item x="83"/>
        <item x="112"/>
        <item x="319"/>
        <item x="216"/>
        <item x="379"/>
        <item x="353"/>
        <item x="183"/>
        <item x="311"/>
        <item x="38"/>
        <item x="233"/>
        <item x="141"/>
        <item x="75"/>
        <item x="335"/>
        <item x="340"/>
        <item x="127"/>
        <item x="236"/>
        <item x="90"/>
        <item x="268"/>
        <item x="122"/>
        <item x="208"/>
        <item x="258"/>
        <item x="34"/>
        <item x="51"/>
        <item x="149"/>
        <item x="343"/>
        <item x="6"/>
        <item x="256"/>
        <item x="307"/>
        <item x="333"/>
        <item x="32"/>
        <item x="293"/>
        <item x="97"/>
        <item x="227"/>
        <item x="321"/>
        <item x="274"/>
        <item x="360"/>
        <item x="211"/>
        <item x="134"/>
        <item x="336"/>
        <item x="68"/>
        <item x="213"/>
        <item x="214"/>
        <item x="348"/>
        <item x="184"/>
        <item x="210"/>
        <item x="224"/>
        <item x="263"/>
        <item x="203"/>
        <item x="89"/>
        <item x="187"/>
        <item x="21"/>
        <item x="220"/>
        <item x="31"/>
        <item x="125"/>
        <item x="302"/>
        <item x="99"/>
        <item x="275"/>
        <item x="206"/>
        <item x="295"/>
        <item x="47"/>
        <item x="65"/>
        <item x="120"/>
        <item x="204"/>
        <item x="253"/>
        <item x="363"/>
        <item x="286"/>
        <item x="372"/>
        <item x="98"/>
        <item x="306"/>
        <item x="45"/>
        <item x="314"/>
        <item x="17"/>
        <item x="291"/>
        <item x="374"/>
        <item x="367"/>
        <item x="188"/>
        <item x="369"/>
        <item x="364"/>
        <item x="330"/>
        <item x="228"/>
        <item x="172"/>
        <item x="181"/>
        <item x="185"/>
        <item x="78"/>
        <item t="default"/>
      </items>
    </pivotField>
    <pivotField dataField="1"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1"/>
    <field x="20"/>
    <field x="19"/>
    <field x="1"/>
  </rowFields>
  <rowItems count="5">
    <i>
      <x v="1"/>
    </i>
    <i>
      <x v="2"/>
    </i>
    <i>
      <x v="3"/>
    </i>
    <i>
      <x v="4"/>
    </i>
    <i t="grand">
      <x/>
    </i>
  </rowItems>
  <colFields count="1">
    <field x="-2"/>
  </colFields>
  <colItems count="4">
    <i>
      <x/>
    </i>
    <i i="1">
      <x v="1"/>
    </i>
    <i i="2">
      <x v="2"/>
    </i>
    <i i="3">
      <x v="3"/>
    </i>
  </colItems>
  <dataFields count="4">
    <dataField name="Sum of Sales" fld="15" baseField="0" baseItem="0"/>
    <dataField name="Sum of Quantity" fld="16" baseField="0" baseItem="0"/>
    <dataField name="Sum of Profit" fld="17" baseField="0" baseItem="0" numFmtId="164"/>
    <dataField name="Count of Product ID" fld="11" subtotal="count" baseField="0" baseItem="0"/>
  </dataFields>
  <formats count="1">
    <format dxfId="4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48FB76-FE15-4C92-8982-569086FC2D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B39" firstHeaderRow="1" firstDataRow="1" firstDataCol="1"/>
  <pivotFields count="22">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items count="2">
        <item x="0"/>
        <item t="default"/>
      </items>
    </pivotField>
    <pivotField axis="axisRow" showAll="0" sortType="a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v="2"/>
    </i>
    <i>
      <x/>
    </i>
    <i>
      <x v="3"/>
    </i>
    <i>
      <x v="1"/>
    </i>
    <i t="grand">
      <x/>
    </i>
  </rowItems>
  <colItems count="1">
    <i/>
  </colItems>
  <dataFields count="1">
    <dataField name="Sum of Sales" fld="15" baseField="0" baseItem="0" numFmtId="164"/>
  </dataFields>
  <formats count="1">
    <format dxfId="44">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4AE9A-7AE1-43FF-A97E-EECB886917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53" firstHeaderRow="1" firstDataRow="1" firstDataCol="1"/>
  <pivotFields count="22">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items count="2">
        <item x="0"/>
        <item t="default"/>
      </items>
    </pivotField>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4"/>
  </dataFields>
  <formats count="1">
    <format dxfId="45">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0AA06-DC79-4A2B-BEBE-B0FFC0543A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2">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9"/>
    <field x="1"/>
  </rowFields>
  <rowItems count="13">
    <i>
      <x v="1"/>
    </i>
    <i>
      <x v="2"/>
    </i>
    <i>
      <x v="3"/>
    </i>
    <i>
      <x v="4"/>
    </i>
    <i>
      <x v="5"/>
    </i>
    <i>
      <x v="6"/>
    </i>
    <i>
      <x v="7"/>
    </i>
    <i>
      <x v="8"/>
    </i>
    <i>
      <x v="9"/>
    </i>
    <i>
      <x v="10"/>
    </i>
    <i>
      <x v="11"/>
    </i>
    <i>
      <x v="12"/>
    </i>
    <i t="grand">
      <x/>
    </i>
  </rowItems>
  <colItems count="1">
    <i/>
  </colItems>
  <dataFields count="1">
    <dataField name="Sum of Sales" fld="15" baseField="0" baseItem="0"/>
  </dataFields>
  <formats count="11">
    <format dxfId="56">
      <pivotArea collapsedLevelsAreSubtotals="1" fieldPosition="0">
        <references count="1">
          <reference field="19" count="1">
            <x v="3"/>
          </reference>
        </references>
      </pivotArea>
    </format>
    <format dxfId="55">
      <pivotArea collapsedLevelsAreSubtotals="1" fieldPosition="0">
        <references count="1">
          <reference field="19" count="1">
            <x v="4"/>
          </reference>
        </references>
      </pivotArea>
    </format>
    <format dxfId="54">
      <pivotArea collapsedLevelsAreSubtotals="1" fieldPosition="0">
        <references count="1">
          <reference field="19" count="1">
            <x v="5"/>
          </reference>
        </references>
      </pivotArea>
    </format>
    <format dxfId="53">
      <pivotArea collapsedLevelsAreSubtotals="1" fieldPosition="0">
        <references count="1">
          <reference field="19" count="1">
            <x v="6"/>
          </reference>
        </references>
      </pivotArea>
    </format>
    <format dxfId="52">
      <pivotArea collapsedLevelsAreSubtotals="1" fieldPosition="0">
        <references count="1">
          <reference field="19" count="1">
            <x v="7"/>
          </reference>
        </references>
      </pivotArea>
    </format>
    <format dxfId="51">
      <pivotArea collapsedLevelsAreSubtotals="1" fieldPosition="0">
        <references count="1">
          <reference field="19" count="1">
            <x v="8"/>
          </reference>
        </references>
      </pivotArea>
    </format>
    <format dxfId="50">
      <pivotArea collapsedLevelsAreSubtotals="1" fieldPosition="0">
        <references count="1">
          <reference field="19" count="1">
            <x v="9"/>
          </reference>
        </references>
      </pivotArea>
    </format>
    <format dxfId="49">
      <pivotArea collapsedLevelsAreSubtotals="1" fieldPosition="0">
        <references count="1">
          <reference field="19" count="1">
            <x v="10"/>
          </reference>
        </references>
      </pivotArea>
    </format>
    <format dxfId="48">
      <pivotArea collapsedLevelsAreSubtotals="1" fieldPosition="0">
        <references count="1">
          <reference field="19" count="1">
            <x v="11"/>
          </reference>
        </references>
      </pivotArea>
    </format>
    <format dxfId="47">
      <pivotArea collapsedLevelsAreSubtotals="1" fieldPosition="0">
        <references count="1">
          <reference field="19" count="1">
            <x v="12"/>
          </reference>
        </references>
      </pivotArea>
    </format>
    <format dxfId="46">
      <pivotArea grandRow="1" outline="0" collapsedLevelsAreSubtotals="1"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EF9ABA-8D02-4A90-A43D-991A7E6E84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20:H33" firstHeaderRow="1" firstDataRow="1" firstDataCol="1"/>
  <pivotFields count="22">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dataField="1" showAll="0"/>
    <pivotField showAll="0">
      <items count="13">
        <item x="8"/>
        <item x="11"/>
        <item x="9"/>
        <item x="6"/>
        <item x="7"/>
        <item x="2"/>
        <item x="3"/>
        <item x="10"/>
        <item x="4"/>
        <item x="1"/>
        <item x="0"/>
        <item x="5"/>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9"/>
    <field x="1"/>
  </rowFields>
  <rowItems count="13">
    <i>
      <x v="1"/>
    </i>
    <i>
      <x v="2"/>
    </i>
    <i>
      <x v="3"/>
    </i>
    <i>
      <x v="4"/>
    </i>
    <i>
      <x v="5"/>
    </i>
    <i>
      <x v="6"/>
    </i>
    <i>
      <x v="7"/>
    </i>
    <i>
      <x v="8"/>
    </i>
    <i>
      <x v="9"/>
    </i>
    <i>
      <x v="10"/>
    </i>
    <i>
      <x v="11"/>
    </i>
    <i>
      <x v="12"/>
    </i>
    <i t="grand">
      <x/>
    </i>
  </rowItems>
  <colItems count="1">
    <i/>
  </colItems>
  <dataFields count="1">
    <dataField name="Sum of Profit" fld="17"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B9146A-F85C-41ED-ACA6-19464D1413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B28" firstHeaderRow="1" firstDataRow="1" firstDataCol="1"/>
  <pivotFields count="22">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Sales" fld="15" subtotal="count" showDataAs="percentOfTotal" baseField="3" baseItem="0" numFmtId="9"/>
  </dataFields>
  <formats count="1">
    <format dxfId="57">
      <pivotArea outline="0" collapsedLevelsAreSubtotals="1" fieldPosition="0"/>
    </format>
  </formats>
  <chartFormats count="5">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3" count="1" selected="0">
            <x v="0"/>
          </reference>
        </references>
      </pivotArea>
    </chartFormat>
    <chartFormat chart="12" format="11">
      <pivotArea type="data" outline="0" fieldPosition="0">
        <references count="2">
          <reference field="4294967294" count="1" selected="0">
            <x v="0"/>
          </reference>
          <reference field="3" count="1" selected="0">
            <x v="1"/>
          </reference>
        </references>
      </pivotArea>
    </chartFormat>
    <chartFormat chart="12" format="12">
      <pivotArea type="data" outline="0" fieldPosition="0">
        <references count="2">
          <reference field="4294967294" count="1" selected="0">
            <x v="0"/>
          </reference>
          <reference field="3" count="1" selected="0">
            <x v="2"/>
          </reference>
        </references>
      </pivotArea>
    </chartFormat>
    <chartFormat chart="12" format="1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DC2DB5-242A-4C62-8992-7CE3EF7ABA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2">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BD9C55-04CE-4A31-B3DA-9C1E665D3D0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4:E31" firstHeaderRow="1" firstDataRow="1" firstDataCol="1"/>
  <pivotFields count="22">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pivotField showAll="0">
      <items count="2">
        <item x="0"/>
        <item t="default"/>
      </items>
    </pivotField>
    <pivotField showAll="0">
      <items count="5">
        <item x="0"/>
        <item x="1"/>
        <item x="3"/>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7">
    <i>
      <x v="146"/>
    </i>
    <i>
      <x v="307"/>
    </i>
    <i>
      <x v="264"/>
    </i>
    <i>
      <x v="316"/>
    </i>
    <i>
      <x v="184"/>
    </i>
    <i>
      <x v="232"/>
    </i>
    <i t="grand">
      <x/>
    </i>
  </rowItems>
  <colItems count="1">
    <i/>
  </colItems>
  <dataFields count="1">
    <dataField name="Sum of Sales" fld="15" baseField="0" baseItem="0" numFmtId="164"/>
  </dataFields>
  <formats count="2">
    <format dxfId="59">
      <pivotArea outline="0" collapsedLevelsAreSubtotals="1" fieldPosition="0"/>
    </format>
    <format dxfId="58">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02A890-818C-49C8-A6B4-161389460441}" autoFormatId="16" applyNumberFormats="0" applyBorderFormats="0" applyFontFormats="0" applyPatternFormats="0" applyAlignmentFormats="0" applyWidthHeightFormats="0">
  <queryTableRefresh nextId="20">
    <queryTableFields count="19">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Month"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EFF1E3-C5A8-4130-B9A3-950E04918A46}" sourceName="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46182744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4FF8C2-C508-48E8-9958-421DAF9FC6C8}" cache="Slicer_Region" caption="Region" columnCount="4" showCaption="0" style="Formatted Slic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4497F1-04E4-4BDE-9A2B-0485B54EBCBF}" name="Furniture_data" displayName="Furniture_data" ref="A1:S2122" tableType="queryTable" totalsRowShown="0">
  <autoFilter ref="A1:S2122" xr:uid="{894497F1-04E4-4BDE-9A2B-0485B54EBCBF}"/>
  <tableColumns count="19">
    <tableColumn id="1" xr3:uid="{C5EBA3B7-0595-444B-A109-5AF57691FED2}" uniqueName="1" name="Order ID" queryTableFieldId="1" dataDxfId="42"/>
    <tableColumn id="2" xr3:uid="{1DA64349-2A44-4131-8638-00B00AE6051B}" uniqueName="2" name="Order Date" queryTableFieldId="2" dataDxfId="41"/>
    <tableColumn id="3" xr3:uid="{3910C7C3-88BF-4D15-B47A-96A7DE03520B}" uniqueName="3" name="Ship Date" queryTableFieldId="3" dataDxfId="40"/>
    <tableColumn id="4" xr3:uid="{CF1A80D5-DA00-471E-835D-759D75A783EB}" uniqueName="4" name="Ship Mode" queryTableFieldId="4" dataDxfId="39"/>
    <tableColumn id="5" xr3:uid="{6AE7C9AF-9217-4EDA-A143-9D47D90DFDB2}" uniqueName="5" name="Customer ID" queryTableFieldId="5" dataDxfId="38"/>
    <tableColumn id="6" xr3:uid="{E11B984F-B394-4C8D-A5BE-A7DFCD2E2F7D}" uniqueName="6" name="Customer Name" queryTableFieldId="6" dataDxfId="37"/>
    <tableColumn id="7" xr3:uid="{D3BBBB52-6CAA-438E-B108-C681F6DCF7F2}" uniqueName="7" name="Segment" queryTableFieldId="7" dataDxfId="36"/>
    <tableColumn id="8" xr3:uid="{60CA7BB8-D1A5-4F5E-A212-43C09B312790}" uniqueName="8" name="Country" queryTableFieldId="8" dataDxfId="35"/>
    <tableColumn id="9" xr3:uid="{797207E8-C640-478B-90D6-F1423619810A}" uniqueName="9" name="City" queryTableFieldId="9" dataDxfId="34"/>
    <tableColumn id="10" xr3:uid="{9992FFDC-D785-4DB6-B3B3-8733F4A0381E}" uniqueName="10" name="State" queryTableFieldId="10" dataDxfId="33"/>
    <tableColumn id="11" xr3:uid="{0069B444-0207-4A6E-9415-17D89D5A4588}" uniqueName="11" name="Region" queryTableFieldId="11" dataDxfId="32"/>
    <tableColumn id="12" xr3:uid="{2D4936B6-C90F-4F45-A242-26B065C87D27}" uniqueName="12" name="Product ID" queryTableFieldId="12" dataDxfId="31"/>
    <tableColumn id="13" xr3:uid="{4D7928B8-1FDF-4CE8-BE4B-0D58E1A47FDA}" uniqueName="13" name="Category" queryTableFieldId="13" dataDxfId="30"/>
    <tableColumn id="14" xr3:uid="{2D1132A2-6555-4B5A-9D48-CA75A8724517}" uniqueName="14" name="Sub-Category" queryTableFieldId="14" dataDxfId="29"/>
    <tableColumn id="15" xr3:uid="{F36B4FA3-3C04-4123-9759-C8BF58A821A7}" uniqueName="15" name="Product Name" queryTableFieldId="15" dataDxfId="28"/>
    <tableColumn id="16" xr3:uid="{BDDC22DC-406B-4134-8DFD-D35BF0191E74}" uniqueName="16" name="Sales" queryTableFieldId="16"/>
    <tableColumn id="17" xr3:uid="{A5381CA3-2B4D-4791-B775-847E46EDB414}" uniqueName="17" name="Quantity" queryTableFieldId="17"/>
    <tableColumn id="18" xr3:uid="{6E057250-DCB5-47F8-A347-41660C6E43D6}" uniqueName="18" name="Profit" queryTableFieldId="18"/>
    <tableColumn id="19" xr3:uid="{972C4C5B-56D1-41C9-8D22-2C760B3ADE5E}" uniqueName="19" name="Month" queryTableFieldId="19"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9DE0-46ED-4452-84D4-A2FF6E42A0C3}">
  <dimension ref="A2:N53"/>
  <sheetViews>
    <sheetView tabSelected="1" topLeftCell="A8" zoomScale="63" workbookViewId="0">
      <selection activeCell="R20" sqref="R20"/>
    </sheetView>
  </sheetViews>
  <sheetFormatPr defaultRowHeight="14.5" x14ac:dyDescent="0.35"/>
  <cols>
    <col min="1" max="1" width="11.81640625" bestFit="1" customWidth="1"/>
    <col min="2" max="2" width="15" bestFit="1" customWidth="1"/>
    <col min="3" max="4" width="12.1796875" bestFit="1" customWidth="1"/>
    <col min="5" max="5" width="18" bestFit="1" customWidth="1"/>
    <col min="8" max="8" width="11.54296875" bestFit="1" customWidth="1"/>
    <col min="9" max="9" width="13.453125" bestFit="1" customWidth="1"/>
    <col min="10" max="10" width="12.1796875" bestFit="1" customWidth="1"/>
    <col min="11" max="11" width="14.54296875" bestFit="1" customWidth="1"/>
    <col min="12" max="12" width="13.453125" bestFit="1" customWidth="1"/>
    <col min="13" max="13" width="13" bestFit="1" customWidth="1"/>
    <col min="15" max="15" width="17.36328125" bestFit="1" customWidth="1"/>
    <col min="16" max="16" width="11.54296875" bestFit="1" customWidth="1"/>
    <col min="18" max="18" width="17.36328125" bestFit="1" customWidth="1"/>
  </cols>
  <sheetData>
    <row r="2" spans="1:14" x14ac:dyDescent="0.35">
      <c r="G2" t="s">
        <v>4414</v>
      </c>
    </row>
    <row r="3" spans="1:14" x14ac:dyDescent="0.35">
      <c r="A3" t="s">
        <v>4399</v>
      </c>
      <c r="B3" t="s">
        <v>4400</v>
      </c>
      <c r="C3" t="s">
        <v>4401</v>
      </c>
      <c r="G3" s="2" t="s">
        <v>4402</v>
      </c>
      <c r="H3" t="s">
        <v>4399</v>
      </c>
      <c r="J3" t="s">
        <v>4419</v>
      </c>
    </row>
    <row r="4" spans="1:14" x14ac:dyDescent="0.35">
      <c r="A4">
        <v>741999.79529999977</v>
      </c>
      <c r="B4">
        <v>8028</v>
      </c>
      <c r="C4">
        <v>18451.272799999999</v>
      </c>
      <c r="G4" s="3" t="s">
        <v>161</v>
      </c>
      <c r="H4">
        <v>31569.241599999998</v>
      </c>
      <c r="J4" s="2" t="s">
        <v>4402</v>
      </c>
      <c r="K4" t="s">
        <v>4399</v>
      </c>
      <c r="M4" t="s">
        <v>4423</v>
      </c>
      <c r="N4" t="s">
        <v>15</v>
      </c>
    </row>
    <row r="5" spans="1:14" x14ac:dyDescent="0.35">
      <c r="G5" s="3" t="s">
        <v>289</v>
      </c>
      <c r="H5">
        <v>15765.920399999994</v>
      </c>
      <c r="J5" s="3" t="s">
        <v>1267</v>
      </c>
      <c r="K5" s="6">
        <v>6332.48</v>
      </c>
      <c r="M5" s="3" t="s">
        <v>1267</v>
      </c>
      <c r="N5" s="6">
        <v>6332.48</v>
      </c>
    </row>
    <row r="6" spans="1:14" x14ac:dyDescent="0.35">
      <c r="G6" s="3" t="s">
        <v>187</v>
      </c>
      <c r="H6" s="6">
        <v>50768.275799999996</v>
      </c>
      <c r="J6" s="3" t="s">
        <v>511</v>
      </c>
      <c r="K6" s="6">
        <v>13525.291000000001</v>
      </c>
      <c r="M6" s="3" t="s">
        <v>511</v>
      </c>
      <c r="N6" s="6">
        <v>13525.291000000001</v>
      </c>
    </row>
    <row r="7" spans="1:14" x14ac:dyDescent="0.35">
      <c r="A7" s="2" t="s">
        <v>4402</v>
      </c>
      <c r="B7" t="s">
        <v>4399</v>
      </c>
      <c r="C7" t="s">
        <v>4400</v>
      </c>
      <c r="D7" t="s">
        <v>4401</v>
      </c>
      <c r="E7" t="s">
        <v>4422</v>
      </c>
      <c r="G7" s="3" t="s">
        <v>107</v>
      </c>
      <c r="H7" s="6">
        <v>40698.583600000013</v>
      </c>
      <c r="J7" s="3" t="s">
        <v>1049</v>
      </c>
      <c r="K7" s="6">
        <v>3187.55</v>
      </c>
      <c r="M7" s="3" t="s">
        <v>1049</v>
      </c>
      <c r="N7" s="6">
        <v>3187.55</v>
      </c>
    </row>
    <row r="8" spans="1:14" x14ac:dyDescent="0.35">
      <c r="A8" s="3" t="s">
        <v>4404</v>
      </c>
      <c r="B8">
        <v>157192.85310000001</v>
      </c>
      <c r="C8">
        <v>1623</v>
      </c>
      <c r="D8" s="6">
        <v>5457.7255000000059</v>
      </c>
      <c r="E8">
        <v>421</v>
      </c>
      <c r="G8" s="3" t="s">
        <v>153</v>
      </c>
      <c r="H8" s="6">
        <v>48365.130699999951</v>
      </c>
      <c r="J8" s="3" t="s">
        <v>50</v>
      </c>
      <c r="K8" s="6">
        <v>156064.60149999999</v>
      </c>
      <c r="M8" s="3" t="s">
        <v>50</v>
      </c>
      <c r="N8" s="6">
        <v>156064.60149999999</v>
      </c>
    </row>
    <row r="9" spans="1:14" x14ac:dyDescent="0.35">
      <c r="A9" s="3" t="s">
        <v>4405</v>
      </c>
      <c r="B9">
        <v>170518.23700000011</v>
      </c>
      <c r="C9">
        <v>1775</v>
      </c>
      <c r="D9" s="6">
        <v>3015.2028999999993</v>
      </c>
      <c r="E9">
        <v>452</v>
      </c>
      <c r="G9" s="3" t="s">
        <v>55</v>
      </c>
      <c r="H9" s="6">
        <v>52999.463299999974</v>
      </c>
      <c r="J9" s="3" t="s">
        <v>172</v>
      </c>
      <c r="K9" s="6">
        <v>13243.037</v>
      </c>
      <c r="M9" s="3" t="s">
        <v>172</v>
      </c>
      <c r="N9" s="6">
        <v>13243.037</v>
      </c>
    </row>
    <row r="10" spans="1:14" x14ac:dyDescent="0.35">
      <c r="A10" s="3" t="s">
        <v>4406</v>
      </c>
      <c r="B10">
        <v>198901.43600000019</v>
      </c>
      <c r="C10">
        <v>2193</v>
      </c>
      <c r="D10" s="6">
        <v>6959.9530999999979</v>
      </c>
      <c r="E10">
        <v>562</v>
      </c>
      <c r="G10" s="3" t="s">
        <v>66</v>
      </c>
      <c r="H10" s="6">
        <v>49377.011999999966</v>
      </c>
      <c r="J10" s="3" t="s">
        <v>421</v>
      </c>
      <c r="K10" s="6">
        <v>5174.9870000000001</v>
      </c>
      <c r="M10" s="3" t="s">
        <v>421</v>
      </c>
      <c r="N10" s="6">
        <v>5174.9870000000001</v>
      </c>
    </row>
    <row r="11" spans="1:14" x14ac:dyDescent="0.35">
      <c r="A11" s="3" t="s">
        <v>4407</v>
      </c>
      <c r="B11">
        <v>215387.26920000004</v>
      </c>
      <c r="C11">
        <v>2437</v>
      </c>
      <c r="D11" s="6">
        <v>3018.3912999999957</v>
      </c>
      <c r="E11">
        <v>686</v>
      </c>
      <c r="G11" s="3" t="s">
        <v>245</v>
      </c>
      <c r="H11" s="6">
        <v>44884.044999999991</v>
      </c>
      <c r="J11" s="3" t="s">
        <v>192</v>
      </c>
      <c r="K11" s="6">
        <v>4759.3189999999995</v>
      </c>
      <c r="M11" s="3" t="s">
        <v>192</v>
      </c>
      <c r="N11" s="6">
        <v>4759.3189999999995</v>
      </c>
    </row>
    <row r="12" spans="1:14" x14ac:dyDescent="0.35">
      <c r="A12" s="3" t="s">
        <v>4403</v>
      </c>
      <c r="B12">
        <v>741999.79529999848</v>
      </c>
      <c r="C12">
        <v>8028</v>
      </c>
      <c r="D12" s="6">
        <v>18451.27280000005</v>
      </c>
      <c r="E12">
        <v>2121</v>
      </c>
      <c r="G12" s="3" t="s">
        <v>72</v>
      </c>
      <c r="H12" s="6">
        <v>106380.59069999997</v>
      </c>
      <c r="J12" s="3" t="s">
        <v>971</v>
      </c>
      <c r="K12" s="6">
        <v>1346.58</v>
      </c>
      <c r="M12" s="3" t="s">
        <v>971</v>
      </c>
      <c r="N12" s="6">
        <v>1346.58</v>
      </c>
    </row>
    <row r="13" spans="1:14" x14ac:dyDescent="0.35">
      <c r="G13" s="3" t="s">
        <v>45</v>
      </c>
      <c r="H13" s="6">
        <v>58087.515699999982</v>
      </c>
      <c r="J13" s="3" t="s">
        <v>41</v>
      </c>
      <c r="K13" s="6">
        <v>22987.03799999999</v>
      </c>
      <c r="M13" s="3" t="s">
        <v>41</v>
      </c>
      <c r="N13" s="6">
        <v>22987.03799999999</v>
      </c>
    </row>
    <row r="14" spans="1:14" x14ac:dyDescent="0.35">
      <c r="G14" s="3" t="s">
        <v>32</v>
      </c>
      <c r="H14" s="6">
        <v>121286.04899999996</v>
      </c>
      <c r="J14" s="3" t="s">
        <v>658</v>
      </c>
      <c r="K14" s="6">
        <v>8321.48</v>
      </c>
      <c r="M14" s="3" t="s">
        <v>658</v>
      </c>
      <c r="N14" s="6">
        <v>8321.48</v>
      </c>
    </row>
    <row r="15" spans="1:14" x14ac:dyDescent="0.35">
      <c r="A15" s="3"/>
      <c r="B15" t="s">
        <v>4411</v>
      </c>
      <c r="C15" t="s">
        <v>4412</v>
      </c>
      <c r="D15" t="s">
        <v>4413</v>
      </c>
      <c r="G15" s="3" t="s">
        <v>90</v>
      </c>
      <c r="H15" s="6">
        <v>121817.96749999993</v>
      </c>
      <c r="J15" s="3" t="s">
        <v>2271</v>
      </c>
      <c r="K15" s="6">
        <v>2595.482</v>
      </c>
      <c r="M15" s="3" t="s">
        <v>2271</v>
      </c>
      <c r="N15" s="6">
        <v>2595.482</v>
      </c>
    </row>
    <row r="16" spans="1:14" x14ac:dyDescent="0.35">
      <c r="A16" s="3" t="s">
        <v>4408</v>
      </c>
      <c r="B16" s="6">
        <f>B11</f>
        <v>215387.26920000004</v>
      </c>
      <c r="C16" s="6">
        <f>B10</f>
        <v>198901.43600000019</v>
      </c>
      <c r="D16" s="4">
        <f>(B16-C16)/C16</f>
        <v>8.2884435283814811E-2</v>
      </c>
      <c r="E16" t="str">
        <f>IF(D16&gt;0,"▲","▼")&amp;TEXT(ABS(D16), "0%") &amp; "YoY"</f>
        <v>▲8%YoY</v>
      </c>
      <c r="G16" s="3" t="s">
        <v>4403</v>
      </c>
      <c r="H16" s="6">
        <v>741999.79529999977</v>
      </c>
      <c r="J16" s="3" t="s">
        <v>126</v>
      </c>
      <c r="K16" s="6">
        <v>28274.522000000008</v>
      </c>
      <c r="M16" s="3" t="s">
        <v>126</v>
      </c>
      <c r="N16" s="6">
        <v>28274.522000000008</v>
      </c>
    </row>
    <row r="17" spans="1:14" x14ac:dyDescent="0.35">
      <c r="A17" s="3" t="s">
        <v>4409</v>
      </c>
      <c r="B17" s="6">
        <f>D11</f>
        <v>3018.3912999999957</v>
      </c>
      <c r="C17" s="6">
        <f>D10</f>
        <v>6959.9530999999979</v>
      </c>
      <c r="D17" s="4">
        <f t="shared" ref="D17:D18" si="0">(B17-C17)/C17</f>
        <v>-0.56632016672641128</v>
      </c>
      <c r="E17" t="str">
        <f t="shared" ref="E17:E18" si="1">IF(D17&gt;0,"▲","▼")&amp;TEXT(ABS(D17), "0%") &amp; "YoY"</f>
        <v>▼57%YoY</v>
      </c>
      <c r="J17" s="3" t="s">
        <v>104</v>
      </c>
      <c r="K17" s="6">
        <v>11496.71</v>
      </c>
      <c r="M17" s="3" t="s">
        <v>104</v>
      </c>
      <c r="N17" s="6">
        <v>11496.71</v>
      </c>
    </row>
    <row r="18" spans="1:14" x14ac:dyDescent="0.35">
      <c r="A18" t="s">
        <v>4410</v>
      </c>
      <c r="B18">
        <f>C11</f>
        <v>2437</v>
      </c>
      <c r="C18">
        <f>C10</f>
        <v>2193</v>
      </c>
      <c r="D18" s="4">
        <f t="shared" si="0"/>
        <v>0.11126310989512084</v>
      </c>
      <c r="E18" t="str">
        <f t="shared" si="1"/>
        <v>▲11%YoY</v>
      </c>
      <c r="J18" s="3" t="s">
        <v>792</v>
      </c>
      <c r="K18" s="6">
        <v>2642.3099999999995</v>
      </c>
      <c r="M18" s="3" t="s">
        <v>792</v>
      </c>
      <c r="N18" s="6">
        <v>2642.3099999999995</v>
      </c>
    </row>
    <row r="19" spans="1:14" x14ac:dyDescent="0.35">
      <c r="A19" s="3" t="s">
        <v>4421</v>
      </c>
      <c r="B19">
        <f>E11</f>
        <v>686</v>
      </c>
      <c r="C19">
        <f>E10</f>
        <v>562</v>
      </c>
      <c r="D19" s="4">
        <f>(B19-C19)/C19</f>
        <v>0.2206405693950178</v>
      </c>
      <c r="E19" t="str">
        <f>IF(D19&gt;0,"▲","▼")&amp;TEXT(ABS(D19), "0%") &amp; "YoY"</f>
        <v>▲22%YoY</v>
      </c>
      <c r="G19" s="3" t="s">
        <v>4415</v>
      </c>
      <c r="J19" s="3" t="s">
        <v>3126</v>
      </c>
      <c r="K19" s="6">
        <v>111.12</v>
      </c>
      <c r="M19" s="3" t="s">
        <v>3126</v>
      </c>
      <c r="N19" s="6">
        <v>111.12</v>
      </c>
    </row>
    <row r="20" spans="1:14" x14ac:dyDescent="0.35">
      <c r="G20" s="2" t="s">
        <v>4402</v>
      </c>
      <c r="H20" t="s">
        <v>4401</v>
      </c>
      <c r="J20" s="3" t="s">
        <v>26</v>
      </c>
      <c r="K20" s="6">
        <v>12126.84</v>
      </c>
      <c r="M20" s="3" t="s">
        <v>26</v>
      </c>
      <c r="N20" s="6">
        <v>12126.84</v>
      </c>
    </row>
    <row r="21" spans="1:14" x14ac:dyDescent="0.35">
      <c r="G21" s="3" t="s">
        <v>161</v>
      </c>
      <c r="H21">
        <v>-1944.2130000000002</v>
      </c>
      <c r="J21" s="3" t="s">
        <v>1397</v>
      </c>
      <c r="K21" s="6">
        <v>2963.03</v>
      </c>
      <c r="M21" s="3" t="s">
        <v>1397</v>
      </c>
      <c r="N21" s="6">
        <v>2963.03</v>
      </c>
    </row>
    <row r="22" spans="1:14" x14ac:dyDescent="0.35">
      <c r="A22" s="3" t="s">
        <v>4420</v>
      </c>
      <c r="G22" s="3" t="s">
        <v>289</v>
      </c>
      <c r="H22">
        <v>693.57959999999969</v>
      </c>
      <c r="J22" s="3" t="s">
        <v>1779</v>
      </c>
      <c r="K22" s="6">
        <v>109.48</v>
      </c>
      <c r="M22" s="3" t="s">
        <v>1779</v>
      </c>
      <c r="N22" s="6">
        <v>109.48</v>
      </c>
    </row>
    <row r="23" spans="1:14" x14ac:dyDescent="0.35">
      <c r="A23" s="2" t="s">
        <v>4402</v>
      </c>
      <c r="B23" t="s">
        <v>4417</v>
      </c>
      <c r="D23" s="3" t="s">
        <v>4418</v>
      </c>
      <c r="G23" s="3" t="s">
        <v>187</v>
      </c>
      <c r="H23">
        <v>771.98750000000041</v>
      </c>
      <c r="J23" s="3" t="s">
        <v>1080</v>
      </c>
      <c r="K23" s="6">
        <v>9149.2529999999988</v>
      </c>
      <c r="M23" s="3" t="s">
        <v>1080</v>
      </c>
      <c r="N23" s="6">
        <v>9149.2529999999988</v>
      </c>
    </row>
    <row r="24" spans="1:14" x14ac:dyDescent="0.35">
      <c r="A24" s="3" t="s">
        <v>81</v>
      </c>
      <c r="B24" s="5">
        <v>0.15417256011315417</v>
      </c>
      <c r="D24" s="2" t="s">
        <v>4402</v>
      </c>
      <c r="E24" s="6" t="s">
        <v>4399</v>
      </c>
      <c r="G24" s="3" t="s">
        <v>107</v>
      </c>
      <c r="H24">
        <v>1460.3261000000007</v>
      </c>
      <c r="J24" s="3" t="s">
        <v>425</v>
      </c>
      <c r="K24" s="6">
        <v>10919.063999999997</v>
      </c>
      <c r="M24" s="3" t="s">
        <v>425</v>
      </c>
      <c r="N24" s="6">
        <v>10919.063999999997</v>
      </c>
    </row>
    <row r="25" spans="1:14" x14ac:dyDescent="0.35">
      <c r="A25" s="3" t="s">
        <v>417</v>
      </c>
      <c r="B25" s="5">
        <v>5.6105610561056105E-2</v>
      </c>
      <c r="D25" s="3" t="s">
        <v>95</v>
      </c>
      <c r="E25" s="6">
        <v>23183.214400000001</v>
      </c>
      <c r="G25" s="3" t="s">
        <v>153</v>
      </c>
      <c r="H25">
        <v>2302.2980999999968</v>
      </c>
      <c r="J25" s="3" t="s">
        <v>281</v>
      </c>
      <c r="K25" s="6">
        <v>22321.099999999995</v>
      </c>
      <c r="M25" s="3" t="s">
        <v>281</v>
      </c>
      <c r="N25" s="6">
        <v>22321.099999999995</v>
      </c>
    </row>
    <row r="26" spans="1:14" x14ac:dyDescent="0.35">
      <c r="A26" s="3" t="s">
        <v>20</v>
      </c>
      <c r="B26" s="5">
        <v>0.20132013201320131</v>
      </c>
      <c r="D26" s="3" t="s">
        <v>320</v>
      </c>
      <c r="E26" s="6">
        <v>36357.307999999997</v>
      </c>
      <c r="G26" s="3" t="s">
        <v>55</v>
      </c>
      <c r="H26">
        <v>982.38469999999984</v>
      </c>
      <c r="J26" s="3" t="s">
        <v>158</v>
      </c>
      <c r="K26" s="6">
        <v>7611.35</v>
      </c>
      <c r="M26" s="3" t="s">
        <v>158</v>
      </c>
      <c r="N26" s="6">
        <v>7611.35</v>
      </c>
    </row>
    <row r="27" spans="1:14" x14ac:dyDescent="0.35">
      <c r="A27" s="3" t="s">
        <v>37</v>
      </c>
      <c r="B27" s="5">
        <v>0.5884016973125884</v>
      </c>
      <c r="D27" s="3" t="s">
        <v>61</v>
      </c>
      <c r="E27" s="6">
        <v>36495.541000000012</v>
      </c>
      <c r="G27" s="3" t="s">
        <v>66</v>
      </c>
      <c r="H27">
        <v>1412.6846</v>
      </c>
      <c r="J27" s="3" t="s">
        <v>469</v>
      </c>
      <c r="K27" s="6">
        <v>4317.8499999999995</v>
      </c>
      <c r="M27" s="3" t="s">
        <v>469</v>
      </c>
      <c r="N27" s="6">
        <v>4317.8499999999995</v>
      </c>
    </row>
    <row r="28" spans="1:14" x14ac:dyDescent="0.35">
      <c r="A28" s="3" t="s">
        <v>4403</v>
      </c>
      <c r="B28" s="5">
        <v>1</v>
      </c>
      <c r="D28" s="3" t="s">
        <v>183</v>
      </c>
      <c r="E28" s="6">
        <v>40995.877999999997</v>
      </c>
      <c r="G28" s="3" t="s">
        <v>245</v>
      </c>
      <c r="H28">
        <v>4.0941000000005454</v>
      </c>
      <c r="J28" s="3" t="s">
        <v>556</v>
      </c>
      <c r="K28" s="6">
        <v>2936.45</v>
      </c>
      <c r="M28" s="3" t="s">
        <v>556</v>
      </c>
      <c r="N28" s="6">
        <v>2936.45</v>
      </c>
    </row>
    <row r="29" spans="1:14" x14ac:dyDescent="0.35">
      <c r="D29" s="3" t="s">
        <v>49</v>
      </c>
      <c r="E29" s="6">
        <v>54000.040999999976</v>
      </c>
      <c r="G29" s="3" t="s">
        <v>72</v>
      </c>
      <c r="H29">
        <v>5460.002300000001</v>
      </c>
      <c r="J29" s="3" t="s">
        <v>3692</v>
      </c>
      <c r="K29" s="6">
        <v>63.98</v>
      </c>
      <c r="M29" s="3" t="s">
        <v>3692</v>
      </c>
      <c r="N29" s="6">
        <v>63.98</v>
      </c>
    </row>
    <row r="30" spans="1:14" x14ac:dyDescent="0.35">
      <c r="D30" s="3" t="s">
        <v>165</v>
      </c>
      <c r="E30" s="6">
        <v>75691.049000000014</v>
      </c>
      <c r="G30" s="3" t="s">
        <v>45</v>
      </c>
      <c r="H30">
        <v>-3027.9320999999995</v>
      </c>
      <c r="J30" s="3" t="s">
        <v>832</v>
      </c>
      <c r="K30" s="6">
        <v>1944.7</v>
      </c>
      <c r="M30" s="3" t="s">
        <v>832</v>
      </c>
      <c r="N30" s="6">
        <v>1944.7</v>
      </c>
    </row>
    <row r="31" spans="1:14" x14ac:dyDescent="0.35">
      <c r="D31" s="3" t="s">
        <v>4403</v>
      </c>
      <c r="E31" s="6">
        <v>266723.03139999998</v>
      </c>
      <c r="G31" s="3" t="s">
        <v>32</v>
      </c>
      <c r="H31">
        <v>3920.0007000000023</v>
      </c>
      <c r="J31" s="3" t="s">
        <v>1331</v>
      </c>
      <c r="K31" s="6">
        <v>4635.1720000000005</v>
      </c>
      <c r="M31" s="3" t="s">
        <v>1331</v>
      </c>
      <c r="N31" s="6">
        <v>4635.1720000000005</v>
      </c>
    </row>
    <row r="32" spans="1:14" x14ac:dyDescent="0.35">
      <c r="G32" s="3" t="s">
        <v>90</v>
      </c>
      <c r="H32">
        <v>6416.0602000000035</v>
      </c>
      <c r="J32" s="3" t="s">
        <v>875</v>
      </c>
      <c r="K32" s="6">
        <v>1886.4739999999999</v>
      </c>
      <c r="M32" s="3" t="s">
        <v>875</v>
      </c>
      <c r="N32" s="6">
        <v>1886.4739999999999</v>
      </c>
    </row>
    <row r="33" spans="1:14" x14ac:dyDescent="0.35">
      <c r="A33" t="s">
        <v>4416</v>
      </c>
      <c r="G33" s="3" t="s">
        <v>4403</v>
      </c>
      <c r="H33">
        <v>18451.272800000002</v>
      </c>
      <c r="J33" s="3" t="s">
        <v>354</v>
      </c>
      <c r="K33" s="6">
        <v>6307.0419999999995</v>
      </c>
      <c r="M33" s="3" t="s">
        <v>354</v>
      </c>
      <c r="N33" s="6">
        <v>6307.0419999999995</v>
      </c>
    </row>
    <row r="34" spans="1:14" x14ac:dyDescent="0.35">
      <c r="A34" s="2" t="s">
        <v>4402</v>
      </c>
      <c r="B34" t="s">
        <v>4399</v>
      </c>
      <c r="J34" s="3" t="s">
        <v>1887</v>
      </c>
      <c r="K34" s="6">
        <v>1701.412</v>
      </c>
      <c r="M34" s="3" t="s">
        <v>1887</v>
      </c>
      <c r="N34" s="6">
        <v>1701.412</v>
      </c>
    </row>
    <row r="35" spans="1:14" x14ac:dyDescent="0.35">
      <c r="A35" s="3" t="s">
        <v>53</v>
      </c>
      <c r="B35" s="6">
        <v>91705.164000000048</v>
      </c>
      <c r="J35" s="3" t="s">
        <v>114</v>
      </c>
      <c r="K35" s="6">
        <v>93372.728999999978</v>
      </c>
      <c r="M35" s="3" t="s">
        <v>114</v>
      </c>
      <c r="N35" s="6">
        <v>93372.728999999978</v>
      </c>
    </row>
    <row r="36" spans="1:14" x14ac:dyDescent="0.35">
      <c r="A36" s="3" t="s">
        <v>30</v>
      </c>
      <c r="B36" s="6">
        <v>114879.99629999997</v>
      </c>
      <c r="J36" s="3" t="s">
        <v>1027</v>
      </c>
      <c r="K36" s="6">
        <v>15155.483999999999</v>
      </c>
      <c r="M36" s="3" t="s">
        <v>1027</v>
      </c>
      <c r="N36" s="6">
        <v>15155.483999999999</v>
      </c>
    </row>
    <row r="37" spans="1:14" x14ac:dyDescent="0.35">
      <c r="A37" s="3" t="s">
        <v>43</v>
      </c>
      <c r="B37" s="6">
        <v>206965.53200000009</v>
      </c>
      <c r="J37" s="3" t="s">
        <v>223</v>
      </c>
      <c r="K37" s="6">
        <v>24199.144999999993</v>
      </c>
      <c r="M37" s="3" t="s">
        <v>223</v>
      </c>
      <c r="N37" s="6">
        <v>24199.144999999993</v>
      </c>
    </row>
    <row r="38" spans="1:14" x14ac:dyDescent="0.35">
      <c r="A38" s="3" t="s">
        <v>34</v>
      </c>
      <c r="B38" s="6">
        <v>328449.10300000076</v>
      </c>
      <c r="J38" s="3" t="s">
        <v>1513</v>
      </c>
      <c r="K38" s="6">
        <v>8284.1</v>
      </c>
      <c r="M38" s="3" t="s">
        <v>1513</v>
      </c>
      <c r="N38" s="6">
        <v>8284.1</v>
      </c>
    </row>
    <row r="39" spans="1:14" x14ac:dyDescent="0.35">
      <c r="A39" s="3" t="s">
        <v>4403</v>
      </c>
      <c r="B39" s="6">
        <v>741999.79530000081</v>
      </c>
      <c r="J39" s="3" t="s">
        <v>1508</v>
      </c>
      <c r="K39" s="6">
        <v>6338.1299999999992</v>
      </c>
      <c r="M39" s="3" t="s">
        <v>1508</v>
      </c>
      <c r="N39" s="6">
        <v>6338.1299999999992</v>
      </c>
    </row>
    <row r="40" spans="1:14" x14ac:dyDescent="0.35">
      <c r="J40" s="3" t="s">
        <v>62</v>
      </c>
      <c r="K40" s="6">
        <v>39354.931000000004</v>
      </c>
      <c r="M40" s="3" t="s">
        <v>62</v>
      </c>
      <c r="N40" s="6">
        <v>39354.931000000004</v>
      </c>
    </row>
    <row r="41" spans="1:14" x14ac:dyDescent="0.35">
      <c r="J41" s="3" t="s">
        <v>1636</v>
      </c>
      <c r="K41" s="6">
        <v>5918.7560000000003</v>
      </c>
      <c r="M41" s="3" t="s">
        <v>1636</v>
      </c>
      <c r="N41" s="6">
        <v>5918.7560000000003</v>
      </c>
    </row>
    <row r="42" spans="1:14" x14ac:dyDescent="0.35">
      <c r="J42" s="3" t="s">
        <v>150</v>
      </c>
      <c r="K42" s="6">
        <v>3078.25</v>
      </c>
      <c r="M42" s="3" t="s">
        <v>150</v>
      </c>
      <c r="N42" s="6">
        <v>3078.25</v>
      </c>
    </row>
    <row r="43" spans="1:14" x14ac:dyDescent="0.35">
      <c r="J43" s="3" t="s">
        <v>1817</v>
      </c>
      <c r="K43" s="6">
        <v>324.89999999999998</v>
      </c>
      <c r="M43" s="3" t="s">
        <v>1817</v>
      </c>
      <c r="N43" s="6">
        <v>324.89999999999998</v>
      </c>
    </row>
    <row r="44" spans="1:14" x14ac:dyDescent="0.35">
      <c r="J44" s="3" t="s">
        <v>133</v>
      </c>
      <c r="K44" s="6">
        <v>13506.732</v>
      </c>
      <c r="M44" s="3" t="s">
        <v>133</v>
      </c>
      <c r="N44" s="6">
        <v>13506.732</v>
      </c>
    </row>
    <row r="45" spans="1:14" x14ac:dyDescent="0.35">
      <c r="J45" s="3" t="s">
        <v>86</v>
      </c>
      <c r="K45" s="6">
        <v>60593.291799999992</v>
      </c>
      <c r="M45" s="3" t="s">
        <v>86</v>
      </c>
      <c r="N45" s="6">
        <v>60593.291799999992</v>
      </c>
    </row>
    <row r="46" spans="1:14" x14ac:dyDescent="0.35">
      <c r="J46" s="3" t="s">
        <v>71</v>
      </c>
      <c r="K46" s="6">
        <v>4822.3499999999995</v>
      </c>
      <c r="M46" s="3" t="s">
        <v>71</v>
      </c>
      <c r="N46" s="6">
        <v>4822.3499999999995</v>
      </c>
    </row>
    <row r="47" spans="1:14" x14ac:dyDescent="0.35">
      <c r="J47" s="3" t="s">
        <v>3097</v>
      </c>
      <c r="K47" s="6">
        <v>5120.0999999999995</v>
      </c>
      <c r="M47" s="3" t="s">
        <v>3097</v>
      </c>
      <c r="N47" s="6">
        <v>5120.0999999999995</v>
      </c>
    </row>
    <row r="48" spans="1:14" x14ac:dyDescent="0.35">
      <c r="J48" s="3" t="s">
        <v>707</v>
      </c>
      <c r="K48" s="6">
        <v>25321.949999999993</v>
      </c>
      <c r="M48" s="3" t="s">
        <v>707</v>
      </c>
      <c r="N48" s="6">
        <v>25321.949999999993</v>
      </c>
    </row>
    <row r="49" spans="10:14" x14ac:dyDescent="0.35">
      <c r="J49" s="3" t="s">
        <v>184</v>
      </c>
      <c r="K49" s="6">
        <v>48020.151999999973</v>
      </c>
      <c r="M49" s="3" t="s">
        <v>184</v>
      </c>
      <c r="N49" s="6">
        <v>48020.151999999973</v>
      </c>
    </row>
    <row r="50" spans="10:14" x14ac:dyDescent="0.35">
      <c r="J50" s="3" t="s">
        <v>4277</v>
      </c>
      <c r="K50" s="6">
        <v>673.34400000000005</v>
      </c>
      <c r="M50" s="3" t="s">
        <v>4277</v>
      </c>
      <c r="N50" s="6">
        <v>673.34400000000005</v>
      </c>
    </row>
    <row r="51" spans="10:14" x14ac:dyDescent="0.35">
      <c r="J51" s="3" t="s">
        <v>230</v>
      </c>
      <c r="K51" s="6">
        <v>17256.609999999997</v>
      </c>
      <c r="M51" s="3" t="s">
        <v>230</v>
      </c>
      <c r="N51" s="6">
        <v>17256.609999999997</v>
      </c>
    </row>
    <row r="52" spans="10:14" x14ac:dyDescent="0.35">
      <c r="J52" s="3" t="s">
        <v>3302</v>
      </c>
      <c r="K52" s="6">
        <v>1603.136</v>
      </c>
      <c r="M52" s="3" t="s">
        <v>3302</v>
      </c>
      <c r="N52" s="6">
        <v>1603.136</v>
      </c>
    </row>
    <row r="53" spans="10:14" x14ac:dyDescent="0.35">
      <c r="J53" s="3" t="s">
        <v>4403</v>
      </c>
      <c r="K53" s="6">
        <v>741999.79530000011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8B70-C699-4845-B641-645273AF8F94}">
  <dimension ref="A1:S2122"/>
  <sheetViews>
    <sheetView topLeftCell="E2" workbookViewId="0">
      <selection activeCell="K8" sqref="K8"/>
    </sheetView>
  </sheetViews>
  <sheetFormatPr defaultRowHeight="14.5" x14ac:dyDescent="0.35"/>
  <cols>
    <col min="1" max="1" width="14.453125" bestFit="1" customWidth="1"/>
    <col min="2" max="2" width="12.453125" bestFit="1" customWidth="1"/>
    <col min="3" max="3" width="11.08984375" bestFit="1" customWidth="1"/>
    <col min="4" max="4" width="13.08984375" bestFit="1" customWidth="1"/>
    <col min="5" max="5" width="13.54296875" bestFit="1" customWidth="1"/>
    <col min="6" max="6" width="21.08984375" bestFit="1" customWidth="1"/>
    <col min="7" max="7" width="11.1796875" bestFit="1" customWidth="1"/>
    <col min="8" max="8" width="11.81640625" bestFit="1" customWidth="1"/>
    <col min="9" max="9" width="15.54296875" bestFit="1" customWidth="1"/>
    <col min="10" max="10" width="17.36328125" bestFit="1" customWidth="1"/>
    <col min="12" max="12" width="15.90625" bestFit="1" customWidth="1"/>
    <col min="13" max="13" width="10.54296875" bestFit="1" customWidth="1"/>
    <col min="14" max="14" width="14.26953125" bestFit="1" customWidth="1"/>
    <col min="15" max="15" width="79.81640625" bestFit="1" customWidth="1"/>
    <col min="16" max="16" width="9.81640625" bestFit="1" customWidth="1"/>
    <col min="17" max="18" width="10.453125" bestFit="1" customWidth="1"/>
    <col min="19" max="19" width="8.816406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t="s">
        <v>19</v>
      </c>
      <c r="B2" s="1">
        <v>42682</v>
      </c>
      <c r="C2" s="1">
        <v>42685</v>
      </c>
      <c r="D2" t="s">
        <v>20</v>
      </c>
      <c r="E2" t="s">
        <v>21</v>
      </c>
      <c r="F2" t="s">
        <v>22</v>
      </c>
      <c r="G2" t="s">
        <v>23</v>
      </c>
      <c r="H2" t="s">
        <v>24</v>
      </c>
      <c r="I2" t="s">
        <v>25</v>
      </c>
      <c r="J2" t="s">
        <v>26</v>
      </c>
      <c r="K2" t="s">
        <v>27</v>
      </c>
      <c r="L2" t="s">
        <v>28</v>
      </c>
      <c r="M2" t="s">
        <v>29</v>
      </c>
      <c r="N2" t="s">
        <v>30</v>
      </c>
      <c r="O2" t="s">
        <v>31</v>
      </c>
      <c r="P2">
        <v>261.95999999999998</v>
      </c>
      <c r="Q2">
        <v>2</v>
      </c>
      <c r="R2">
        <v>41.913600000000002</v>
      </c>
      <c r="S2" t="s">
        <v>32</v>
      </c>
    </row>
    <row r="3" spans="1:19" x14ac:dyDescent="0.35">
      <c r="A3" t="s">
        <v>19</v>
      </c>
      <c r="B3" s="1">
        <v>42682</v>
      </c>
      <c r="C3" s="1">
        <v>42685</v>
      </c>
      <c r="D3" t="s">
        <v>20</v>
      </c>
      <c r="E3" t="s">
        <v>21</v>
      </c>
      <c r="F3" t="s">
        <v>22</v>
      </c>
      <c r="G3" t="s">
        <v>23</v>
      </c>
      <c r="H3" t="s">
        <v>24</v>
      </c>
      <c r="I3" t="s">
        <v>25</v>
      </c>
      <c r="J3" t="s">
        <v>26</v>
      </c>
      <c r="K3" t="s">
        <v>27</v>
      </c>
      <c r="L3" t="s">
        <v>33</v>
      </c>
      <c r="M3" t="s">
        <v>29</v>
      </c>
      <c r="N3" t="s">
        <v>34</v>
      </c>
      <c r="O3" t="s">
        <v>35</v>
      </c>
      <c r="P3">
        <v>731.94</v>
      </c>
      <c r="Q3">
        <v>3</v>
      </c>
      <c r="R3">
        <v>219.58199999999999</v>
      </c>
      <c r="S3" t="s">
        <v>32</v>
      </c>
    </row>
    <row r="4" spans="1:19" x14ac:dyDescent="0.35">
      <c r="A4" t="s">
        <v>36</v>
      </c>
      <c r="B4" s="1">
        <v>42288</v>
      </c>
      <c r="C4" s="1">
        <v>42295</v>
      </c>
      <c r="D4" t="s">
        <v>37</v>
      </c>
      <c r="E4" t="s">
        <v>38</v>
      </c>
      <c r="F4" t="s">
        <v>39</v>
      </c>
      <c r="G4" t="s">
        <v>23</v>
      </c>
      <c r="H4" t="s">
        <v>24</v>
      </c>
      <c r="I4" t="s">
        <v>40</v>
      </c>
      <c r="J4" t="s">
        <v>41</v>
      </c>
      <c r="K4" t="s">
        <v>27</v>
      </c>
      <c r="L4" t="s">
        <v>42</v>
      </c>
      <c r="M4" t="s">
        <v>29</v>
      </c>
      <c r="N4" t="s">
        <v>43</v>
      </c>
      <c r="O4" t="s">
        <v>44</v>
      </c>
      <c r="P4">
        <v>957.57749999999999</v>
      </c>
      <c r="Q4">
        <v>5</v>
      </c>
      <c r="R4">
        <v>-383.03100000000001</v>
      </c>
      <c r="S4" t="s">
        <v>45</v>
      </c>
    </row>
    <row r="5" spans="1:19" x14ac:dyDescent="0.35">
      <c r="A5" t="s">
        <v>46</v>
      </c>
      <c r="B5" s="1">
        <v>41799</v>
      </c>
      <c r="C5" s="1">
        <v>41804</v>
      </c>
      <c r="D5" t="s">
        <v>37</v>
      </c>
      <c r="E5" t="s">
        <v>47</v>
      </c>
      <c r="F5" t="s">
        <v>48</v>
      </c>
      <c r="G5" t="s">
        <v>23</v>
      </c>
      <c r="H5" t="s">
        <v>24</v>
      </c>
      <c r="I5" t="s">
        <v>49</v>
      </c>
      <c r="J5" t="s">
        <v>50</v>
      </c>
      <c r="K5" t="s">
        <v>51</v>
      </c>
      <c r="L5" t="s">
        <v>52</v>
      </c>
      <c r="M5" t="s">
        <v>29</v>
      </c>
      <c r="N5" t="s">
        <v>53</v>
      </c>
      <c r="O5" t="s">
        <v>54</v>
      </c>
      <c r="P5">
        <v>48.86</v>
      </c>
      <c r="Q5">
        <v>7</v>
      </c>
      <c r="R5">
        <v>14.1694</v>
      </c>
      <c r="S5" t="s">
        <v>55</v>
      </c>
    </row>
    <row r="6" spans="1:19" x14ac:dyDescent="0.35">
      <c r="A6" t="s">
        <v>46</v>
      </c>
      <c r="B6" s="1">
        <v>41799</v>
      </c>
      <c r="C6" s="1">
        <v>41804</v>
      </c>
      <c r="D6" t="s">
        <v>37</v>
      </c>
      <c r="E6" t="s">
        <v>47</v>
      </c>
      <c r="F6" t="s">
        <v>48</v>
      </c>
      <c r="G6" t="s">
        <v>23</v>
      </c>
      <c r="H6" t="s">
        <v>24</v>
      </c>
      <c r="I6" t="s">
        <v>49</v>
      </c>
      <c r="J6" t="s">
        <v>50</v>
      </c>
      <c r="K6" t="s">
        <v>51</v>
      </c>
      <c r="L6" t="s">
        <v>56</v>
      </c>
      <c r="M6" t="s">
        <v>29</v>
      </c>
      <c r="N6" t="s">
        <v>43</v>
      </c>
      <c r="O6" t="s">
        <v>57</v>
      </c>
      <c r="P6">
        <v>1706.184</v>
      </c>
      <c r="Q6">
        <v>9</v>
      </c>
      <c r="R6">
        <v>85.309200000000004</v>
      </c>
      <c r="S6" t="s">
        <v>55</v>
      </c>
    </row>
    <row r="7" spans="1:19" x14ac:dyDescent="0.35">
      <c r="A7" t="s">
        <v>58</v>
      </c>
      <c r="B7" s="1">
        <v>42932</v>
      </c>
      <c r="C7" s="1">
        <v>42934</v>
      </c>
      <c r="D7" t="s">
        <v>20</v>
      </c>
      <c r="E7" t="s">
        <v>59</v>
      </c>
      <c r="F7" t="s">
        <v>60</v>
      </c>
      <c r="G7" t="s">
        <v>23</v>
      </c>
      <c r="H7" t="s">
        <v>24</v>
      </c>
      <c r="I7" t="s">
        <v>61</v>
      </c>
      <c r="J7" t="s">
        <v>62</v>
      </c>
      <c r="K7" t="s">
        <v>63</v>
      </c>
      <c r="L7" t="s">
        <v>64</v>
      </c>
      <c r="M7" t="s">
        <v>29</v>
      </c>
      <c r="N7" t="s">
        <v>34</v>
      </c>
      <c r="O7" t="s">
        <v>65</v>
      </c>
      <c r="P7">
        <v>71.372</v>
      </c>
      <c r="Q7">
        <v>2</v>
      </c>
      <c r="R7">
        <v>-1.0196000000000001</v>
      </c>
      <c r="S7" t="s">
        <v>66</v>
      </c>
    </row>
    <row r="8" spans="1:19" x14ac:dyDescent="0.35">
      <c r="A8" t="s">
        <v>67</v>
      </c>
      <c r="B8" s="1">
        <v>42272</v>
      </c>
      <c r="C8" s="1">
        <v>42277</v>
      </c>
      <c r="D8" t="s">
        <v>37</v>
      </c>
      <c r="E8" t="s">
        <v>68</v>
      </c>
      <c r="F8" t="s">
        <v>69</v>
      </c>
      <c r="G8" t="s">
        <v>23</v>
      </c>
      <c r="H8" t="s">
        <v>24</v>
      </c>
      <c r="I8" t="s">
        <v>70</v>
      </c>
      <c r="J8" t="s">
        <v>71</v>
      </c>
      <c r="K8" t="s">
        <v>51</v>
      </c>
      <c r="L8" t="s">
        <v>42</v>
      </c>
      <c r="M8" t="s">
        <v>29</v>
      </c>
      <c r="N8" t="s">
        <v>43</v>
      </c>
      <c r="O8" t="s">
        <v>44</v>
      </c>
      <c r="P8">
        <v>1044.6300000000001</v>
      </c>
      <c r="Q8">
        <v>3</v>
      </c>
      <c r="R8">
        <v>240.26490000000001</v>
      </c>
      <c r="S8" t="s">
        <v>72</v>
      </c>
    </row>
    <row r="9" spans="1:19" x14ac:dyDescent="0.35">
      <c r="A9" t="s">
        <v>73</v>
      </c>
      <c r="B9" s="1">
        <v>42264</v>
      </c>
      <c r="C9" s="1">
        <v>42268</v>
      </c>
      <c r="D9" t="s">
        <v>37</v>
      </c>
      <c r="E9" t="s">
        <v>74</v>
      </c>
      <c r="F9" t="s">
        <v>75</v>
      </c>
      <c r="G9" t="s">
        <v>23</v>
      </c>
      <c r="H9" t="s">
        <v>24</v>
      </c>
      <c r="I9" t="s">
        <v>61</v>
      </c>
      <c r="J9" t="s">
        <v>62</v>
      </c>
      <c r="K9" t="s">
        <v>63</v>
      </c>
      <c r="L9" t="s">
        <v>76</v>
      </c>
      <c r="M9" t="s">
        <v>29</v>
      </c>
      <c r="N9" t="s">
        <v>30</v>
      </c>
      <c r="O9" t="s">
        <v>77</v>
      </c>
      <c r="P9">
        <v>3083.43</v>
      </c>
      <c r="Q9">
        <v>7</v>
      </c>
      <c r="R9">
        <v>-1665.0522000000001</v>
      </c>
      <c r="S9" t="s">
        <v>72</v>
      </c>
    </row>
    <row r="10" spans="1:19" x14ac:dyDescent="0.35">
      <c r="A10" t="s">
        <v>73</v>
      </c>
      <c r="B10" s="1">
        <v>42264</v>
      </c>
      <c r="C10" s="1">
        <v>42268</v>
      </c>
      <c r="D10" t="s">
        <v>37</v>
      </c>
      <c r="E10" t="s">
        <v>74</v>
      </c>
      <c r="F10" t="s">
        <v>75</v>
      </c>
      <c r="G10" t="s">
        <v>23</v>
      </c>
      <c r="H10" t="s">
        <v>24</v>
      </c>
      <c r="I10" t="s">
        <v>61</v>
      </c>
      <c r="J10" t="s">
        <v>62</v>
      </c>
      <c r="K10" t="s">
        <v>63</v>
      </c>
      <c r="L10" t="s">
        <v>78</v>
      </c>
      <c r="M10" t="s">
        <v>29</v>
      </c>
      <c r="N10" t="s">
        <v>53</v>
      </c>
      <c r="O10" t="s">
        <v>79</v>
      </c>
      <c r="P10">
        <v>124.2</v>
      </c>
      <c r="Q10">
        <v>3</v>
      </c>
      <c r="R10">
        <v>15.525</v>
      </c>
      <c r="S10" t="s">
        <v>72</v>
      </c>
    </row>
    <row r="11" spans="1:19" x14ac:dyDescent="0.35">
      <c r="A11" t="s">
        <v>80</v>
      </c>
      <c r="B11" s="1">
        <v>42712</v>
      </c>
      <c r="C11" s="1">
        <v>42714</v>
      </c>
      <c r="D11" t="s">
        <v>81</v>
      </c>
      <c r="E11" t="s">
        <v>82</v>
      </c>
      <c r="F11" t="s">
        <v>83</v>
      </c>
      <c r="G11" t="s">
        <v>84</v>
      </c>
      <c r="H11" t="s">
        <v>24</v>
      </c>
      <c r="I11" t="s">
        <v>85</v>
      </c>
      <c r="J11" t="s">
        <v>86</v>
      </c>
      <c r="K11" t="s">
        <v>87</v>
      </c>
      <c r="L11" t="s">
        <v>88</v>
      </c>
      <c r="M11" t="s">
        <v>29</v>
      </c>
      <c r="N11" t="s">
        <v>53</v>
      </c>
      <c r="O11" t="s">
        <v>89</v>
      </c>
      <c r="P11">
        <v>190.92</v>
      </c>
      <c r="Q11">
        <v>5</v>
      </c>
      <c r="R11">
        <v>-147.96299999999999</v>
      </c>
      <c r="S11" t="s">
        <v>90</v>
      </c>
    </row>
    <row r="12" spans="1:19" x14ac:dyDescent="0.35">
      <c r="A12" t="s">
        <v>91</v>
      </c>
      <c r="B12" s="1">
        <v>42365</v>
      </c>
      <c r="C12" s="1">
        <v>42369</v>
      </c>
      <c r="D12" t="s">
        <v>37</v>
      </c>
      <c r="E12" t="s">
        <v>92</v>
      </c>
      <c r="F12" t="s">
        <v>93</v>
      </c>
      <c r="G12" t="s">
        <v>94</v>
      </c>
      <c r="H12" t="s">
        <v>24</v>
      </c>
      <c r="I12" t="s">
        <v>95</v>
      </c>
      <c r="J12" t="s">
        <v>86</v>
      </c>
      <c r="K12" t="s">
        <v>87</v>
      </c>
      <c r="L12" t="s">
        <v>96</v>
      </c>
      <c r="M12" t="s">
        <v>29</v>
      </c>
      <c r="N12" t="s">
        <v>30</v>
      </c>
      <c r="O12" t="s">
        <v>97</v>
      </c>
      <c r="P12">
        <v>532.39919999999995</v>
      </c>
      <c r="Q12">
        <v>3</v>
      </c>
      <c r="R12">
        <v>-46.976399999999998</v>
      </c>
      <c r="S12" t="s">
        <v>90</v>
      </c>
    </row>
    <row r="13" spans="1:19" x14ac:dyDescent="0.35">
      <c r="A13" t="s">
        <v>91</v>
      </c>
      <c r="B13" s="1">
        <v>42365</v>
      </c>
      <c r="C13" s="1">
        <v>42369</v>
      </c>
      <c r="D13" t="s">
        <v>37</v>
      </c>
      <c r="E13" t="s">
        <v>92</v>
      </c>
      <c r="F13" t="s">
        <v>93</v>
      </c>
      <c r="G13" t="s">
        <v>94</v>
      </c>
      <c r="H13" t="s">
        <v>24</v>
      </c>
      <c r="I13" t="s">
        <v>95</v>
      </c>
      <c r="J13" t="s">
        <v>86</v>
      </c>
      <c r="K13" t="s">
        <v>87</v>
      </c>
      <c r="L13" t="s">
        <v>98</v>
      </c>
      <c r="M13" t="s">
        <v>29</v>
      </c>
      <c r="N13" t="s">
        <v>34</v>
      </c>
      <c r="O13" t="s">
        <v>99</v>
      </c>
      <c r="P13">
        <v>212.05799999999999</v>
      </c>
      <c r="Q13">
        <v>3</v>
      </c>
      <c r="R13">
        <v>-15.147</v>
      </c>
      <c r="S13" t="s">
        <v>90</v>
      </c>
    </row>
    <row r="14" spans="1:19" x14ac:dyDescent="0.35">
      <c r="A14" t="s">
        <v>100</v>
      </c>
      <c r="B14" s="1">
        <v>42112</v>
      </c>
      <c r="C14" s="1">
        <v>42116</v>
      </c>
      <c r="D14" t="s">
        <v>37</v>
      </c>
      <c r="E14" t="s">
        <v>101</v>
      </c>
      <c r="F14" t="s">
        <v>102</v>
      </c>
      <c r="G14" t="s">
        <v>23</v>
      </c>
      <c r="H14" t="s">
        <v>24</v>
      </c>
      <c r="I14" t="s">
        <v>103</v>
      </c>
      <c r="J14" t="s">
        <v>104</v>
      </c>
      <c r="K14" t="s">
        <v>87</v>
      </c>
      <c r="L14" t="s">
        <v>105</v>
      </c>
      <c r="M14" t="s">
        <v>29</v>
      </c>
      <c r="N14" t="s">
        <v>53</v>
      </c>
      <c r="O14" t="s">
        <v>106</v>
      </c>
      <c r="P14">
        <v>6.16</v>
      </c>
      <c r="Q14">
        <v>2</v>
      </c>
      <c r="R14">
        <v>2.9567999999999999</v>
      </c>
      <c r="S14" t="s">
        <v>107</v>
      </c>
    </row>
    <row r="15" spans="1:19" x14ac:dyDescent="0.35">
      <c r="A15" t="s">
        <v>100</v>
      </c>
      <c r="B15" s="1">
        <v>42112</v>
      </c>
      <c r="C15" s="1">
        <v>42116</v>
      </c>
      <c r="D15" t="s">
        <v>37</v>
      </c>
      <c r="E15" t="s">
        <v>101</v>
      </c>
      <c r="F15" t="s">
        <v>102</v>
      </c>
      <c r="G15" t="s">
        <v>23</v>
      </c>
      <c r="H15" t="s">
        <v>24</v>
      </c>
      <c r="I15" t="s">
        <v>103</v>
      </c>
      <c r="J15" t="s">
        <v>104</v>
      </c>
      <c r="K15" t="s">
        <v>87</v>
      </c>
      <c r="L15" t="s">
        <v>108</v>
      </c>
      <c r="M15" t="s">
        <v>29</v>
      </c>
      <c r="N15" t="s">
        <v>34</v>
      </c>
      <c r="O15" t="s">
        <v>109</v>
      </c>
      <c r="P15">
        <v>89.99</v>
      </c>
      <c r="Q15">
        <v>1</v>
      </c>
      <c r="R15">
        <v>17.098099999999999</v>
      </c>
      <c r="S15" t="s">
        <v>107</v>
      </c>
    </row>
    <row r="16" spans="1:19" x14ac:dyDescent="0.35">
      <c r="A16" t="s">
        <v>110</v>
      </c>
      <c r="B16" s="1">
        <v>42538</v>
      </c>
      <c r="C16" s="1">
        <v>42539</v>
      </c>
      <c r="D16" t="s">
        <v>81</v>
      </c>
      <c r="E16" t="s">
        <v>111</v>
      </c>
      <c r="F16" t="s">
        <v>112</v>
      </c>
      <c r="G16" t="s">
        <v>23</v>
      </c>
      <c r="H16" t="s">
        <v>24</v>
      </c>
      <c r="I16" t="s">
        <v>113</v>
      </c>
      <c r="J16" t="s">
        <v>114</v>
      </c>
      <c r="K16" t="s">
        <v>63</v>
      </c>
      <c r="L16" t="s">
        <v>115</v>
      </c>
      <c r="M16" t="s">
        <v>29</v>
      </c>
      <c r="N16" t="s">
        <v>34</v>
      </c>
      <c r="O16" t="s">
        <v>116</v>
      </c>
      <c r="P16">
        <v>319.41000000000003</v>
      </c>
      <c r="Q16">
        <v>5</v>
      </c>
      <c r="R16">
        <v>7.0979999999999999</v>
      </c>
      <c r="S16" t="s">
        <v>55</v>
      </c>
    </row>
    <row r="17" spans="1:19" x14ac:dyDescent="0.35">
      <c r="A17" t="s">
        <v>117</v>
      </c>
      <c r="B17" s="1">
        <v>42332</v>
      </c>
      <c r="C17" s="1">
        <v>42338</v>
      </c>
      <c r="D17" t="s">
        <v>37</v>
      </c>
      <c r="E17" t="s">
        <v>118</v>
      </c>
      <c r="F17" t="s">
        <v>119</v>
      </c>
      <c r="G17" t="s">
        <v>23</v>
      </c>
      <c r="H17" t="s">
        <v>24</v>
      </c>
      <c r="I17" t="s">
        <v>49</v>
      </c>
      <c r="J17" t="s">
        <v>50</v>
      </c>
      <c r="K17" t="s">
        <v>51</v>
      </c>
      <c r="L17" t="s">
        <v>120</v>
      </c>
      <c r="M17" t="s">
        <v>29</v>
      </c>
      <c r="N17" t="s">
        <v>53</v>
      </c>
      <c r="O17" t="s">
        <v>121</v>
      </c>
      <c r="P17">
        <v>79.760000000000005</v>
      </c>
      <c r="Q17">
        <v>4</v>
      </c>
      <c r="R17">
        <v>22.332799999999999</v>
      </c>
      <c r="S17" t="s">
        <v>32</v>
      </c>
    </row>
    <row r="18" spans="1:19" x14ac:dyDescent="0.35">
      <c r="A18" t="s">
        <v>122</v>
      </c>
      <c r="B18" s="1">
        <v>42124</v>
      </c>
      <c r="C18" s="1">
        <v>42129</v>
      </c>
      <c r="D18" t="s">
        <v>37</v>
      </c>
      <c r="E18" t="s">
        <v>123</v>
      </c>
      <c r="F18" t="s">
        <v>124</v>
      </c>
      <c r="G18" t="s">
        <v>94</v>
      </c>
      <c r="H18" t="s">
        <v>24</v>
      </c>
      <c r="I18" t="s">
        <v>125</v>
      </c>
      <c r="J18" t="s">
        <v>126</v>
      </c>
      <c r="K18" t="s">
        <v>87</v>
      </c>
      <c r="L18" t="s">
        <v>127</v>
      </c>
      <c r="M18" t="s">
        <v>29</v>
      </c>
      <c r="N18" t="s">
        <v>34</v>
      </c>
      <c r="O18" t="s">
        <v>128</v>
      </c>
      <c r="P18">
        <v>213.11500000000001</v>
      </c>
      <c r="Q18">
        <v>5</v>
      </c>
      <c r="R18">
        <v>-15.2225</v>
      </c>
      <c r="S18" t="s">
        <v>107</v>
      </c>
    </row>
    <row r="19" spans="1:19" x14ac:dyDescent="0.35">
      <c r="A19" t="s">
        <v>129</v>
      </c>
      <c r="B19" s="1">
        <v>42120</v>
      </c>
      <c r="C19" s="1">
        <v>42126</v>
      </c>
      <c r="D19" t="s">
        <v>37</v>
      </c>
      <c r="E19" t="s">
        <v>130</v>
      </c>
      <c r="F19" t="s">
        <v>131</v>
      </c>
      <c r="G19" t="s">
        <v>23</v>
      </c>
      <c r="H19" t="s">
        <v>24</v>
      </c>
      <c r="I19" t="s">
        <v>132</v>
      </c>
      <c r="J19" t="s">
        <v>133</v>
      </c>
      <c r="K19" t="s">
        <v>27</v>
      </c>
      <c r="L19" t="s">
        <v>134</v>
      </c>
      <c r="M19" t="s">
        <v>29</v>
      </c>
      <c r="N19" t="s">
        <v>34</v>
      </c>
      <c r="O19" t="s">
        <v>135</v>
      </c>
      <c r="P19">
        <v>831.93600000000004</v>
      </c>
      <c r="Q19">
        <v>8</v>
      </c>
      <c r="R19">
        <v>-114.3912</v>
      </c>
      <c r="S19" t="s">
        <v>107</v>
      </c>
    </row>
    <row r="20" spans="1:19" x14ac:dyDescent="0.35">
      <c r="A20" t="s">
        <v>129</v>
      </c>
      <c r="B20" s="1">
        <v>42120</v>
      </c>
      <c r="C20" s="1">
        <v>42126</v>
      </c>
      <c r="D20" t="s">
        <v>37</v>
      </c>
      <c r="E20" t="s">
        <v>130</v>
      </c>
      <c r="F20" t="s">
        <v>131</v>
      </c>
      <c r="G20" t="s">
        <v>23</v>
      </c>
      <c r="H20" t="s">
        <v>24</v>
      </c>
      <c r="I20" t="s">
        <v>132</v>
      </c>
      <c r="J20" t="s">
        <v>133</v>
      </c>
      <c r="K20" t="s">
        <v>27</v>
      </c>
      <c r="L20" t="s">
        <v>136</v>
      </c>
      <c r="M20" t="s">
        <v>29</v>
      </c>
      <c r="N20" t="s">
        <v>53</v>
      </c>
      <c r="O20" t="s">
        <v>137</v>
      </c>
      <c r="P20">
        <v>97.04</v>
      </c>
      <c r="Q20">
        <v>2</v>
      </c>
      <c r="R20">
        <v>1.2130000000000001</v>
      </c>
      <c r="S20" t="s">
        <v>107</v>
      </c>
    </row>
    <row r="21" spans="1:19" x14ac:dyDescent="0.35">
      <c r="A21" t="s">
        <v>138</v>
      </c>
      <c r="B21" s="1">
        <v>43078</v>
      </c>
      <c r="C21" s="1">
        <v>43080</v>
      </c>
      <c r="D21" t="s">
        <v>81</v>
      </c>
      <c r="E21" t="s">
        <v>139</v>
      </c>
      <c r="F21" t="s">
        <v>140</v>
      </c>
      <c r="G21" t="s">
        <v>84</v>
      </c>
      <c r="H21" t="s">
        <v>24</v>
      </c>
      <c r="I21" t="s">
        <v>95</v>
      </c>
      <c r="J21" t="s">
        <v>86</v>
      </c>
      <c r="K21" t="s">
        <v>87</v>
      </c>
      <c r="L21" t="s">
        <v>141</v>
      </c>
      <c r="M21" t="s">
        <v>29</v>
      </c>
      <c r="N21" t="s">
        <v>53</v>
      </c>
      <c r="O21" t="s">
        <v>142</v>
      </c>
      <c r="P21">
        <v>9.7080000000000002</v>
      </c>
      <c r="Q21">
        <v>3</v>
      </c>
      <c r="R21">
        <v>-5.8247999999999998</v>
      </c>
      <c r="S21" t="s">
        <v>90</v>
      </c>
    </row>
    <row r="22" spans="1:19" x14ac:dyDescent="0.35">
      <c r="A22" t="s">
        <v>143</v>
      </c>
      <c r="B22" s="1">
        <v>41969</v>
      </c>
      <c r="C22" s="1">
        <v>41974</v>
      </c>
      <c r="D22" t="s">
        <v>20</v>
      </c>
      <c r="E22" t="s">
        <v>130</v>
      </c>
      <c r="F22" t="s">
        <v>131</v>
      </c>
      <c r="G22" t="s">
        <v>23</v>
      </c>
      <c r="H22" t="s">
        <v>24</v>
      </c>
      <c r="I22" t="s">
        <v>95</v>
      </c>
      <c r="J22" t="s">
        <v>86</v>
      </c>
      <c r="K22" t="s">
        <v>87</v>
      </c>
      <c r="L22" t="s">
        <v>144</v>
      </c>
      <c r="M22" t="s">
        <v>29</v>
      </c>
      <c r="N22" t="s">
        <v>53</v>
      </c>
      <c r="O22" t="s">
        <v>145</v>
      </c>
      <c r="P22">
        <v>19.3</v>
      </c>
      <c r="Q22">
        <v>5</v>
      </c>
      <c r="R22">
        <v>-14.475</v>
      </c>
      <c r="S22" t="s">
        <v>32</v>
      </c>
    </row>
    <row r="23" spans="1:19" x14ac:dyDescent="0.35">
      <c r="A23" t="s">
        <v>146</v>
      </c>
      <c r="B23" s="1">
        <v>42883</v>
      </c>
      <c r="C23" s="1">
        <v>42885</v>
      </c>
      <c r="D23" t="s">
        <v>20</v>
      </c>
      <c r="E23" t="s">
        <v>147</v>
      </c>
      <c r="F23" t="s">
        <v>148</v>
      </c>
      <c r="G23" t="s">
        <v>23</v>
      </c>
      <c r="H23" t="s">
        <v>24</v>
      </c>
      <c r="I23" t="s">
        <v>149</v>
      </c>
      <c r="J23" t="s">
        <v>150</v>
      </c>
      <c r="K23" t="s">
        <v>27</v>
      </c>
      <c r="L23" t="s">
        <v>151</v>
      </c>
      <c r="M23" t="s">
        <v>29</v>
      </c>
      <c r="N23" t="s">
        <v>34</v>
      </c>
      <c r="O23" t="s">
        <v>152</v>
      </c>
      <c r="P23">
        <v>301.95999999999998</v>
      </c>
      <c r="Q23">
        <v>2</v>
      </c>
      <c r="R23">
        <v>33.215600000000002</v>
      </c>
      <c r="S23" t="s">
        <v>153</v>
      </c>
    </row>
    <row r="24" spans="1:19" x14ac:dyDescent="0.35">
      <c r="A24" t="s">
        <v>154</v>
      </c>
      <c r="B24" s="1">
        <v>42035</v>
      </c>
      <c r="C24" s="1">
        <v>42040</v>
      </c>
      <c r="D24" t="s">
        <v>20</v>
      </c>
      <c r="E24" t="s">
        <v>155</v>
      </c>
      <c r="F24" t="s">
        <v>156</v>
      </c>
      <c r="G24" t="s">
        <v>23</v>
      </c>
      <c r="H24" t="s">
        <v>24</v>
      </c>
      <c r="I24" t="s">
        <v>157</v>
      </c>
      <c r="J24" t="s">
        <v>158</v>
      </c>
      <c r="K24" t="s">
        <v>87</v>
      </c>
      <c r="L24" t="s">
        <v>159</v>
      </c>
      <c r="M24" t="s">
        <v>29</v>
      </c>
      <c r="N24" t="s">
        <v>53</v>
      </c>
      <c r="O24" t="s">
        <v>160</v>
      </c>
      <c r="P24">
        <v>53.34</v>
      </c>
      <c r="Q24">
        <v>3</v>
      </c>
      <c r="R24">
        <v>16.535399999999999</v>
      </c>
      <c r="S24" t="s">
        <v>161</v>
      </c>
    </row>
    <row r="25" spans="1:19" x14ac:dyDescent="0.35">
      <c r="A25" t="s">
        <v>162</v>
      </c>
      <c r="B25" s="1">
        <v>43048</v>
      </c>
      <c r="C25" s="1">
        <v>43050</v>
      </c>
      <c r="D25" t="s">
        <v>20</v>
      </c>
      <c r="E25" t="s">
        <v>163</v>
      </c>
      <c r="F25" t="s">
        <v>164</v>
      </c>
      <c r="G25" t="s">
        <v>94</v>
      </c>
      <c r="H25" t="s">
        <v>24</v>
      </c>
      <c r="I25" t="s">
        <v>165</v>
      </c>
      <c r="J25" t="s">
        <v>114</v>
      </c>
      <c r="K25" t="s">
        <v>63</v>
      </c>
      <c r="L25" t="s">
        <v>166</v>
      </c>
      <c r="M25" t="s">
        <v>29</v>
      </c>
      <c r="N25" t="s">
        <v>53</v>
      </c>
      <c r="O25" t="s">
        <v>167</v>
      </c>
      <c r="P25">
        <v>96.53</v>
      </c>
      <c r="Q25">
        <v>7</v>
      </c>
      <c r="R25">
        <v>40.5426</v>
      </c>
      <c r="S25" t="s">
        <v>32</v>
      </c>
    </row>
    <row r="26" spans="1:19" x14ac:dyDescent="0.35">
      <c r="A26" t="s">
        <v>168</v>
      </c>
      <c r="B26" s="1">
        <v>42321</v>
      </c>
      <c r="C26" s="1">
        <v>42325</v>
      </c>
      <c r="D26" t="s">
        <v>37</v>
      </c>
      <c r="E26" t="s">
        <v>169</v>
      </c>
      <c r="F26" t="s">
        <v>170</v>
      </c>
      <c r="G26" t="s">
        <v>23</v>
      </c>
      <c r="H26" t="s">
        <v>24</v>
      </c>
      <c r="I26" t="s">
        <v>171</v>
      </c>
      <c r="J26" t="s">
        <v>172</v>
      </c>
      <c r="K26" t="s">
        <v>51</v>
      </c>
      <c r="L26" t="s">
        <v>173</v>
      </c>
      <c r="M26" t="s">
        <v>29</v>
      </c>
      <c r="N26" t="s">
        <v>53</v>
      </c>
      <c r="O26" t="s">
        <v>174</v>
      </c>
      <c r="P26">
        <v>102.36</v>
      </c>
      <c r="Q26">
        <v>3</v>
      </c>
      <c r="R26">
        <v>-3.8384999999999998</v>
      </c>
      <c r="S26" t="s">
        <v>32</v>
      </c>
    </row>
    <row r="27" spans="1:19" x14ac:dyDescent="0.35">
      <c r="A27" t="s">
        <v>175</v>
      </c>
      <c r="B27" s="1">
        <v>43094</v>
      </c>
      <c r="C27" s="1">
        <v>43099</v>
      </c>
      <c r="D27" t="s">
        <v>37</v>
      </c>
      <c r="E27" t="s">
        <v>176</v>
      </c>
      <c r="F27" t="s">
        <v>177</v>
      </c>
      <c r="G27" t="s">
        <v>84</v>
      </c>
      <c r="H27" t="s">
        <v>24</v>
      </c>
      <c r="I27" t="s">
        <v>165</v>
      </c>
      <c r="J27" t="s">
        <v>114</v>
      </c>
      <c r="K27" t="s">
        <v>63</v>
      </c>
      <c r="L27" t="s">
        <v>178</v>
      </c>
      <c r="M27" t="s">
        <v>29</v>
      </c>
      <c r="N27" t="s">
        <v>53</v>
      </c>
      <c r="O27" t="s">
        <v>179</v>
      </c>
      <c r="P27">
        <v>41.96</v>
      </c>
      <c r="Q27">
        <v>2</v>
      </c>
      <c r="R27">
        <v>10.909599999999999</v>
      </c>
      <c r="S27" t="s">
        <v>90</v>
      </c>
    </row>
    <row r="28" spans="1:19" x14ac:dyDescent="0.35">
      <c r="A28" t="s">
        <v>180</v>
      </c>
      <c r="B28" s="1">
        <v>42065</v>
      </c>
      <c r="C28" s="1">
        <v>42069</v>
      </c>
      <c r="D28" t="s">
        <v>37</v>
      </c>
      <c r="E28" t="s">
        <v>181</v>
      </c>
      <c r="F28" t="s">
        <v>182</v>
      </c>
      <c r="G28" t="s">
        <v>23</v>
      </c>
      <c r="H28" t="s">
        <v>24</v>
      </c>
      <c r="I28" t="s">
        <v>183</v>
      </c>
      <c r="J28" t="s">
        <v>184</v>
      </c>
      <c r="K28" t="s">
        <v>51</v>
      </c>
      <c r="L28" t="s">
        <v>185</v>
      </c>
      <c r="M28" t="s">
        <v>29</v>
      </c>
      <c r="N28" t="s">
        <v>43</v>
      </c>
      <c r="O28" t="s">
        <v>186</v>
      </c>
      <c r="P28">
        <v>787.53</v>
      </c>
      <c r="Q28">
        <v>3</v>
      </c>
      <c r="R28">
        <v>165.38130000000001</v>
      </c>
      <c r="S28" t="s">
        <v>187</v>
      </c>
    </row>
    <row r="29" spans="1:19" x14ac:dyDescent="0.35">
      <c r="A29" t="s">
        <v>188</v>
      </c>
      <c r="B29" s="1">
        <v>42533</v>
      </c>
      <c r="C29" s="1">
        <v>42536</v>
      </c>
      <c r="D29" t="s">
        <v>81</v>
      </c>
      <c r="E29" t="s">
        <v>189</v>
      </c>
      <c r="F29" t="s">
        <v>190</v>
      </c>
      <c r="G29" t="s">
        <v>23</v>
      </c>
      <c r="H29" t="s">
        <v>24</v>
      </c>
      <c r="I29" t="s">
        <v>191</v>
      </c>
      <c r="J29" t="s">
        <v>192</v>
      </c>
      <c r="K29" t="s">
        <v>63</v>
      </c>
      <c r="L29" t="s">
        <v>193</v>
      </c>
      <c r="M29" t="s">
        <v>29</v>
      </c>
      <c r="N29" t="s">
        <v>53</v>
      </c>
      <c r="O29" t="s">
        <v>194</v>
      </c>
      <c r="P29">
        <v>47.04</v>
      </c>
      <c r="Q29">
        <v>3</v>
      </c>
      <c r="R29">
        <v>18.345600000000001</v>
      </c>
      <c r="S29" t="s">
        <v>55</v>
      </c>
    </row>
    <row r="30" spans="1:19" x14ac:dyDescent="0.35">
      <c r="A30" t="s">
        <v>195</v>
      </c>
      <c r="B30" s="1">
        <v>41999</v>
      </c>
      <c r="C30" s="1">
        <v>42001</v>
      </c>
      <c r="D30" t="s">
        <v>20</v>
      </c>
      <c r="E30" t="s">
        <v>196</v>
      </c>
      <c r="F30" t="s">
        <v>197</v>
      </c>
      <c r="G30" t="s">
        <v>94</v>
      </c>
      <c r="H30" t="s">
        <v>24</v>
      </c>
      <c r="I30" t="s">
        <v>95</v>
      </c>
      <c r="J30" t="s">
        <v>86</v>
      </c>
      <c r="K30" t="s">
        <v>87</v>
      </c>
      <c r="L30" t="s">
        <v>198</v>
      </c>
      <c r="M30" t="s">
        <v>29</v>
      </c>
      <c r="N30" t="s">
        <v>34</v>
      </c>
      <c r="O30" t="s">
        <v>199</v>
      </c>
      <c r="P30">
        <v>600.55799999999999</v>
      </c>
      <c r="Q30">
        <v>3</v>
      </c>
      <c r="R30">
        <v>-8.5793999999999997</v>
      </c>
      <c r="S30" t="s">
        <v>90</v>
      </c>
    </row>
    <row r="31" spans="1:19" x14ac:dyDescent="0.35">
      <c r="A31" t="s">
        <v>200</v>
      </c>
      <c r="B31" s="1">
        <v>41902</v>
      </c>
      <c r="C31" s="1">
        <v>41907</v>
      </c>
      <c r="D31" t="s">
        <v>37</v>
      </c>
      <c r="E31" t="s">
        <v>201</v>
      </c>
      <c r="F31" t="s">
        <v>202</v>
      </c>
      <c r="G31" t="s">
        <v>23</v>
      </c>
      <c r="H31" t="s">
        <v>24</v>
      </c>
      <c r="I31" t="s">
        <v>203</v>
      </c>
      <c r="J31" t="s">
        <v>126</v>
      </c>
      <c r="K31" t="s">
        <v>87</v>
      </c>
      <c r="L31" t="s">
        <v>204</v>
      </c>
      <c r="M31" t="s">
        <v>29</v>
      </c>
      <c r="N31" t="s">
        <v>43</v>
      </c>
      <c r="O31" t="s">
        <v>205</v>
      </c>
      <c r="P31">
        <v>617.70000000000005</v>
      </c>
      <c r="Q31">
        <v>6</v>
      </c>
      <c r="R31">
        <v>-407.68200000000002</v>
      </c>
      <c r="S31" t="s">
        <v>72</v>
      </c>
    </row>
    <row r="32" spans="1:19" x14ac:dyDescent="0.35">
      <c r="A32" t="s">
        <v>206</v>
      </c>
      <c r="B32" s="1">
        <v>42680</v>
      </c>
      <c r="C32" s="1">
        <v>42684</v>
      </c>
      <c r="D32" t="s">
        <v>20</v>
      </c>
      <c r="E32" t="s">
        <v>207</v>
      </c>
      <c r="F32" t="s">
        <v>208</v>
      </c>
      <c r="G32" t="s">
        <v>94</v>
      </c>
      <c r="H32" t="s">
        <v>24</v>
      </c>
      <c r="I32" t="s">
        <v>49</v>
      </c>
      <c r="J32" t="s">
        <v>50</v>
      </c>
      <c r="K32" t="s">
        <v>51</v>
      </c>
      <c r="L32" t="s">
        <v>127</v>
      </c>
      <c r="M32" t="s">
        <v>29</v>
      </c>
      <c r="N32" t="s">
        <v>34</v>
      </c>
      <c r="O32" t="s">
        <v>209</v>
      </c>
      <c r="P32">
        <v>81.424000000000007</v>
      </c>
      <c r="Q32">
        <v>2</v>
      </c>
      <c r="R32">
        <v>-9.1601999999999997</v>
      </c>
      <c r="S32" t="s">
        <v>32</v>
      </c>
    </row>
    <row r="33" spans="1:19" x14ac:dyDescent="0.35">
      <c r="A33" t="s">
        <v>206</v>
      </c>
      <c r="B33" s="1">
        <v>42680</v>
      </c>
      <c r="C33" s="1">
        <v>42684</v>
      </c>
      <c r="D33" t="s">
        <v>20</v>
      </c>
      <c r="E33" t="s">
        <v>207</v>
      </c>
      <c r="F33" t="s">
        <v>208</v>
      </c>
      <c r="G33" t="s">
        <v>94</v>
      </c>
      <c r="H33" t="s">
        <v>24</v>
      </c>
      <c r="I33" t="s">
        <v>49</v>
      </c>
      <c r="J33" t="s">
        <v>50</v>
      </c>
      <c r="K33" t="s">
        <v>51</v>
      </c>
      <c r="L33" t="s">
        <v>210</v>
      </c>
      <c r="M33" t="s">
        <v>29</v>
      </c>
      <c r="N33" t="s">
        <v>53</v>
      </c>
      <c r="O33" t="s">
        <v>211</v>
      </c>
      <c r="P33">
        <v>238.56</v>
      </c>
      <c r="Q33">
        <v>3</v>
      </c>
      <c r="R33">
        <v>26.241599999999998</v>
      </c>
      <c r="S33" t="s">
        <v>32</v>
      </c>
    </row>
    <row r="34" spans="1:19" x14ac:dyDescent="0.35">
      <c r="A34" t="s">
        <v>212</v>
      </c>
      <c r="B34" s="1">
        <v>42656</v>
      </c>
      <c r="C34" s="1">
        <v>42662</v>
      </c>
      <c r="D34" t="s">
        <v>37</v>
      </c>
      <c r="E34" t="s">
        <v>213</v>
      </c>
      <c r="F34" t="s">
        <v>214</v>
      </c>
      <c r="G34" t="s">
        <v>23</v>
      </c>
      <c r="H34" t="s">
        <v>24</v>
      </c>
      <c r="I34" t="s">
        <v>215</v>
      </c>
      <c r="J34" t="s">
        <v>50</v>
      </c>
      <c r="K34" t="s">
        <v>51</v>
      </c>
      <c r="L34" t="s">
        <v>105</v>
      </c>
      <c r="M34" t="s">
        <v>29</v>
      </c>
      <c r="N34" t="s">
        <v>53</v>
      </c>
      <c r="O34" t="s">
        <v>106</v>
      </c>
      <c r="P34">
        <v>43.12</v>
      </c>
      <c r="Q34">
        <v>14</v>
      </c>
      <c r="R34">
        <v>20.697600000000001</v>
      </c>
      <c r="S34" t="s">
        <v>45</v>
      </c>
    </row>
    <row r="35" spans="1:19" x14ac:dyDescent="0.35">
      <c r="A35" t="s">
        <v>216</v>
      </c>
      <c r="B35" s="1">
        <v>42618</v>
      </c>
      <c r="C35" s="1">
        <v>42620</v>
      </c>
      <c r="D35" t="s">
        <v>20</v>
      </c>
      <c r="E35" t="s">
        <v>217</v>
      </c>
      <c r="F35" t="s">
        <v>218</v>
      </c>
      <c r="G35" t="s">
        <v>84</v>
      </c>
      <c r="H35" t="s">
        <v>24</v>
      </c>
      <c r="I35" t="s">
        <v>61</v>
      </c>
      <c r="J35" t="s">
        <v>62</v>
      </c>
      <c r="K35" t="s">
        <v>63</v>
      </c>
      <c r="L35" t="s">
        <v>78</v>
      </c>
      <c r="M35" t="s">
        <v>29</v>
      </c>
      <c r="N35" t="s">
        <v>53</v>
      </c>
      <c r="O35" t="s">
        <v>79</v>
      </c>
      <c r="P35">
        <v>82.8</v>
      </c>
      <c r="Q35">
        <v>2</v>
      </c>
      <c r="R35">
        <v>10.35</v>
      </c>
      <c r="S35" t="s">
        <v>72</v>
      </c>
    </row>
    <row r="36" spans="1:19" x14ac:dyDescent="0.35">
      <c r="A36" t="s">
        <v>219</v>
      </c>
      <c r="B36" s="1">
        <v>41934</v>
      </c>
      <c r="C36" s="1">
        <v>41940</v>
      </c>
      <c r="D36" t="s">
        <v>37</v>
      </c>
      <c r="E36" t="s">
        <v>220</v>
      </c>
      <c r="F36" t="s">
        <v>221</v>
      </c>
      <c r="G36" t="s">
        <v>94</v>
      </c>
      <c r="H36" t="s">
        <v>24</v>
      </c>
      <c r="I36" t="s">
        <v>222</v>
      </c>
      <c r="J36" t="s">
        <v>223</v>
      </c>
      <c r="K36" t="s">
        <v>63</v>
      </c>
      <c r="L36" t="s">
        <v>224</v>
      </c>
      <c r="M36" t="s">
        <v>29</v>
      </c>
      <c r="N36" t="s">
        <v>53</v>
      </c>
      <c r="O36" t="s">
        <v>225</v>
      </c>
      <c r="P36">
        <v>93.888000000000005</v>
      </c>
      <c r="Q36">
        <v>4</v>
      </c>
      <c r="R36">
        <v>12.909599999999999</v>
      </c>
      <c r="S36" t="s">
        <v>45</v>
      </c>
    </row>
    <row r="37" spans="1:19" x14ac:dyDescent="0.35">
      <c r="A37" t="s">
        <v>226</v>
      </c>
      <c r="B37" s="1">
        <v>42709</v>
      </c>
      <c r="C37" s="1">
        <v>42713</v>
      </c>
      <c r="D37" t="s">
        <v>37</v>
      </c>
      <c r="E37" t="s">
        <v>227</v>
      </c>
      <c r="F37" t="s">
        <v>228</v>
      </c>
      <c r="G37" t="s">
        <v>84</v>
      </c>
      <c r="H37" t="s">
        <v>24</v>
      </c>
      <c r="I37" t="s">
        <v>229</v>
      </c>
      <c r="J37" t="s">
        <v>230</v>
      </c>
      <c r="K37" t="s">
        <v>87</v>
      </c>
      <c r="L37" t="s">
        <v>33</v>
      </c>
      <c r="M37" t="s">
        <v>29</v>
      </c>
      <c r="N37" t="s">
        <v>34</v>
      </c>
      <c r="O37" t="s">
        <v>35</v>
      </c>
      <c r="P37">
        <v>1951.84</v>
      </c>
      <c r="Q37">
        <v>8</v>
      </c>
      <c r="R37">
        <v>585.55200000000002</v>
      </c>
      <c r="S37" t="s">
        <v>90</v>
      </c>
    </row>
    <row r="38" spans="1:19" x14ac:dyDescent="0.35">
      <c r="A38" t="s">
        <v>231</v>
      </c>
      <c r="B38" s="1">
        <v>41699</v>
      </c>
      <c r="C38" s="1">
        <v>41704</v>
      </c>
      <c r="D38" t="s">
        <v>20</v>
      </c>
      <c r="E38" t="s">
        <v>232</v>
      </c>
      <c r="F38" t="s">
        <v>233</v>
      </c>
      <c r="G38" t="s">
        <v>23</v>
      </c>
      <c r="H38" t="s">
        <v>24</v>
      </c>
      <c r="I38" t="s">
        <v>183</v>
      </c>
      <c r="J38" t="s">
        <v>184</v>
      </c>
      <c r="K38" t="s">
        <v>51</v>
      </c>
      <c r="L38" t="s">
        <v>198</v>
      </c>
      <c r="M38" t="s">
        <v>29</v>
      </c>
      <c r="N38" t="s">
        <v>34</v>
      </c>
      <c r="O38" t="s">
        <v>199</v>
      </c>
      <c r="P38">
        <v>457.56799999999998</v>
      </c>
      <c r="Q38">
        <v>2</v>
      </c>
      <c r="R38">
        <v>51.476399999999998</v>
      </c>
      <c r="S38" t="s">
        <v>187</v>
      </c>
    </row>
    <row r="39" spans="1:19" x14ac:dyDescent="0.35">
      <c r="A39" t="s">
        <v>234</v>
      </c>
      <c r="B39" s="1">
        <v>41890</v>
      </c>
      <c r="C39" s="1">
        <v>41894</v>
      </c>
      <c r="D39" t="s">
        <v>37</v>
      </c>
      <c r="E39" t="s">
        <v>235</v>
      </c>
      <c r="F39" t="s">
        <v>236</v>
      </c>
      <c r="G39" t="s">
        <v>23</v>
      </c>
      <c r="H39" t="s">
        <v>24</v>
      </c>
      <c r="I39" t="s">
        <v>237</v>
      </c>
      <c r="J39" t="s">
        <v>86</v>
      </c>
      <c r="K39" t="s">
        <v>87</v>
      </c>
      <c r="L39" t="s">
        <v>238</v>
      </c>
      <c r="M39" t="s">
        <v>29</v>
      </c>
      <c r="N39" t="s">
        <v>34</v>
      </c>
      <c r="O39" t="s">
        <v>239</v>
      </c>
      <c r="P39">
        <v>1740.06</v>
      </c>
      <c r="Q39">
        <v>9</v>
      </c>
      <c r="R39">
        <v>-24.858000000000001</v>
      </c>
      <c r="S39" t="s">
        <v>72</v>
      </c>
    </row>
    <row r="40" spans="1:19" x14ac:dyDescent="0.35">
      <c r="A40" t="s">
        <v>240</v>
      </c>
      <c r="B40" s="1">
        <v>41856</v>
      </c>
      <c r="C40" s="1">
        <v>41860</v>
      </c>
      <c r="D40" t="s">
        <v>37</v>
      </c>
      <c r="E40" t="s">
        <v>241</v>
      </c>
      <c r="F40" t="s">
        <v>242</v>
      </c>
      <c r="G40" t="s">
        <v>23</v>
      </c>
      <c r="H40" t="s">
        <v>24</v>
      </c>
      <c r="I40" t="s">
        <v>49</v>
      </c>
      <c r="J40" t="s">
        <v>50</v>
      </c>
      <c r="K40" t="s">
        <v>51</v>
      </c>
      <c r="L40" t="s">
        <v>243</v>
      </c>
      <c r="M40" t="s">
        <v>29</v>
      </c>
      <c r="N40" t="s">
        <v>34</v>
      </c>
      <c r="O40" t="s">
        <v>244</v>
      </c>
      <c r="P40">
        <v>340.14400000000001</v>
      </c>
      <c r="Q40">
        <v>7</v>
      </c>
      <c r="R40">
        <v>21.259</v>
      </c>
      <c r="S40" t="s">
        <v>245</v>
      </c>
    </row>
    <row r="41" spans="1:19" x14ac:dyDescent="0.35">
      <c r="A41" t="s">
        <v>246</v>
      </c>
      <c r="B41" s="1">
        <v>42329</v>
      </c>
      <c r="C41" s="1">
        <v>42331</v>
      </c>
      <c r="D41" t="s">
        <v>20</v>
      </c>
      <c r="E41" t="s">
        <v>130</v>
      </c>
      <c r="F41" t="s">
        <v>131</v>
      </c>
      <c r="G41" t="s">
        <v>23</v>
      </c>
      <c r="H41" t="s">
        <v>24</v>
      </c>
      <c r="I41" t="s">
        <v>222</v>
      </c>
      <c r="J41" t="s">
        <v>223</v>
      </c>
      <c r="K41" t="s">
        <v>63</v>
      </c>
      <c r="L41" t="s">
        <v>247</v>
      </c>
      <c r="M41" t="s">
        <v>29</v>
      </c>
      <c r="N41" t="s">
        <v>34</v>
      </c>
      <c r="O41" t="s">
        <v>248</v>
      </c>
      <c r="P41">
        <v>396.80200000000002</v>
      </c>
      <c r="Q41">
        <v>7</v>
      </c>
      <c r="R41">
        <v>-11.337199999999999</v>
      </c>
      <c r="S41" t="s">
        <v>32</v>
      </c>
    </row>
    <row r="42" spans="1:19" x14ac:dyDescent="0.35">
      <c r="A42" t="s">
        <v>249</v>
      </c>
      <c r="B42" s="1">
        <v>42289</v>
      </c>
      <c r="C42" s="1">
        <v>42291</v>
      </c>
      <c r="D42" t="s">
        <v>81</v>
      </c>
      <c r="E42" t="s">
        <v>250</v>
      </c>
      <c r="F42" t="s">
        <v>251</v>
      </c>
      <c r="G42" t="s">
        <v>94</v>
      </c>
      <c r="H42" t="s">
        <v>24</v>
      </c>
      <c r="I42" t="s">
        <v>165</v>
      </c>
      <c r="J42" t="s">
        <v>114</v>
      </c>
      <c r="K42" t="s">
        <v>63</v>
      </c>
      <c r="L42" t="s">
        <v>252</v>
      </c>
      <c r="M42" t="s">
        <v>29</v>
      </c>
      <c r="N42" t="s">
        <v>30</v>
      </c>
      <c r="O42" t="s">
        <v>253</v>
      </c>
      <c r="P42">
        <v>899.13599999999997</v>
      </c>
      <c r="Q42">
        <v>4</v>
      </c>
      <c r="R42">
        <v>112.392</v>
      </c>
      <c r="S42" t="s">
        <v>45</v>
      </c>
    </row>
    <row r="43" spans="1:19" x14ac:dyDescent="0.35">
      <c r="A43" t="s">
        <v>249</v>
      </c>
      <c r="B43" s="1">
        <v>42289</v>
      </c>
      <c r="C43" s="1">
        <v>42291</v>
      </c>
      <c r="D43" t="s">
        <v>81</v>
      </c>
      <c r="E43" t="s">
        <v>250</v>
      </c>
      <c r="F43" t="s">
        <v>251</v>
      </c>
      <c r="G43" t="s">
        <v>94</v>
      </c>
      <c r="H43" t="s">
        <v>24</v>
      </c>
      <c r="I43" t="s">
        <v>165</v>
      </c>
      <c r="J43" t="s">
        <v>114</v>
      </c>
      <c r="K43" t="s">
        <v>63</v>
      </c>
      <c r="L43" t="s">
        <v>96</v>
      </c>
      <c r="M43" t="s">
        <v>29</v>
      </c>
      <c r="N43" t="s">
        <v>30</v>
      </c>
      <c r="O43" t="s">
        <v>97</v>
      </c>
      <c r="P43">
        <v>626.35199999999998</v>
      </c>
      <c r="Q43">
        <v>3</v>
      </c>
      <c r="R43">
        <v>46.976399999999998</v>
      </c>
      <c r="S43" t="s">
        <v>45</v>
      </c>
    </row>
    <row r="44" spans="1:19" x14ac:dyDescent="0.35">
      <c r="A44" t="s">
        <v>254</v>
      </c>
      <c r="B44" s="1">
        <v>41854</v>
      </c>
      <c r="C44" s="1">
        <v>41856</v>
      </c>
      <c r="D44" t="s">
        <v>81</v>
      </c>
      <c r="E44" t="s">
        <v>255</v>
      </c>
      <c r="F44" t="s">
        <v>256</v>
      </c>
      <c r="G44" t="s">
        <v>23</v>
      </c>
      <c r="H44" t="s">
        <v>24</v>
      </c>
      <c r="I44" t="s">
        <v>257</v>
      </c>
      <c r="J44" t="s">
        <v>172</v>
      </c>
      <c r="K44" t="s">
        <v>51</v>
      </c>
      <c r="L44" t="s">
        <v>258</v>
      </c>
      <c r="M44" t="s">
        <v>29</v>
      </c>
      <c r="N44" t="s">
        <v>43</v>
      </c>
      <c r="O44" t="s">
        <v>259</v>
      </c>
      <c r="P44">
        <v>218.75</v>
      </c>
      <c r="Q44">
        <v>2</v>
      </c>
      <c r="R44">
        <v>-161.875</v>
      </c>
      <c r="S44" t="s">
        <v>245</v>
      </c>
    </row>
    <row r="45" spans="1:19" x14ac:dyDescent="0.35">
      <c r="A45" t="s">
        <v>260</v>
      </c>
      <c r="B45" s="1">
        <v>42889</v>
      </c>
      <c r="C45" s="1">
        <v>42893</v>
      </c>
      <c r="D45" t="s">
        <v>37</v>
      </c>
      <c r="E45" t="s">
        <v>261</v>
      </c>
      <c r="F45" t="s">
        <v>262</v>
      </c>
      <c r="G45" t="s">
        <v>84</v>
      </c>
      <c r="H45" t="s">
        <v>24</v>
      </c>
      <c r="I45" t="s">
        <v>229</v>
      </c>
      <c r="J45" t="s">
        <v>133</v>
      </c>
      <c r="K45" t="s">
        <v>27</v>
      </c>
      <c r="L45" t="s">
        <v>263</v>
      </c>
      <c r="M45" t="s">
        <v>29</v>
      </c>
      <c r="N45" t="s">
        <v>53</v>
      </c>
      <c r="O45" t="s">
        <v>264</v>
      </c>
      <c r="P45">
        <v>35.167999999999999</v>
      </c>
      <c r="Q45">
        <v>7</v>
      </c>
      <c r="R45">
        <v>9.6712000000000007</v>
      </c>
      <c r="S45" t="s">
        <v>55</v>
      </c>
    </row>
    <row r="46" spans="1:19" x14ac:dyDescent="0.35">
      <c r="A46" t="s">
        <v>265</v>
      </c>
      <c r="B46" s="1">
        <v>42006</v>
      </c>
      <c r="C46" s="1">
        <v>42013</v>
      </c>
      <c r="D46" t="s">
        <v>37</v>
      </c>
      <c r="E46" t="s">
        <v>266</v>
      </c>
      <c r="F46" t="s">
        <v>267</v>
      </c>
      <c r="G46" t="s">
        <v>84</v>
      </c>
      <c r="H46" t="s">
        <v>24</v>
      </c>
      <c r="I46" t="s">
        <v>268</v>
      </c>
      <c r="J46" t="s">
        <v>223</v>
      </c>
      <c r="K46" t="s">
        <v>63</v>
      </c>
      <c r="L46" t="s">
        <v>269</v>
      </c>
      <c r="M46" t="s">
        <v>29</v>
      </c>
      <c r="N46" t="s">
        <v>30</v>
      </c>
      <c r="O46" t="s">
        <v>270</v>
      </c>
      <c r="P46">
        <v>452.45</v>
      </c>
      <c r="Q46">
        <v>5</v>
      </c>
      <c r="R46">
        <v>-244.32300000000001</v>
      </c>
      <c r="S46" t="s">
        <v>161</v>
      </c>
    </row>
    <row r="47" spans="1:19" x14ac:dyDescent="0.35">
      <c r="A47" t="s">
        <v>271</v>
      </c>
      <c r="B47" s="1">
        <v>42362</v>
      </c>
      <c r="C47" s="1">
        <v>42365</v>
      </c>
      <c r="D47" t="s">
        <v>81</v>
      </c>
      <c r="E47" t="s">
        <v>272</v>
      </c>
      <c r="F47" t="s">
        <v>273</v>
      </c>
      <c r="G47" t="s">
        <v>23</v>
      </c>
      <c r="H47" t="s">
        <v>24</v>
      </c>
      <c r="I47" t="s">
        <v>274</v>
      </c>
      <c r="J47" t="s">
        <v>223</v>
      </c>
      <c r="K47" t="s">
        <v>63</v>
      </c>
      <c r="L47" t="s">
        <v>275</v>
      </c>
      <c r="M47" t="s">
        <v>29</v>
      </c>
      <c r="N47" t="s">
        <v>53</v>
      </c>
      <c r="O47" t="s">
        <v>276</v>
      </c>
      <c r="P47">
        <v>72.703999999999994</v>
      </c>
      <c r="Q47">
        <v>4</v>
      </c>
      <c r="R47">
        <v>19.084800000000001</v>
      </c>
      <c r="S47" t="s">
        <v>90</v>
      </c>
    </row>
    <row r="48" spans="1:19" x14ac:dyDescent="0.35">
      <c r="A48" t="s">
        <v>277</v>
      </c>
      <c r="B48" s="1">
        <v>42225</v>
      </c>
      <c r="C48" s="1">
        <v>42232</v>
      </c>
      <c r="D48" t="s">
        <v>37</v>
      </c>
      <c r="E48" t="s">
        <v>278</v>
      </c>
      <c r="F48" t="s">
        <v>279</v>
      </c>
      <c r="G48" t="s">
        <v>84</v>
      </c>
      <c r="H48" t="s">
        <v>24</v>
      </c>
      <c r="I48" t="s">
        <v>280</v>
      </c>
      <c r="J48" t="s">
        <v>281</v>
      </c>
      <c r="K48" t="s">
        <v>87</v>
      </c>
      <c r="L48" t="s">
        <v>282</v>
      </c>
      <c r="M48" t="s">
        <v>29</v>
      </c>
      <c r="N48" t="s">
        <v>43</v>
      </c>
      <c r="O48" t="s">
        <v>283</v>
      </c>
      <c r="P48">
        <v>622.45000000000005</v>
      </c>
      <c r="Q48">
        <v>5</v>
      </c>
      <c r="R48">
        <v>136.93899999999999</v>
      </c>
      <c r="S48" t="s">
        <v>245</v>
      </c>
    </row>
    <row r="49" spans="1:19" x14ac:dyDescent="0.35">
      <c r="A49" t="s">
        <v>284</v>
      </c>
      <c r="B49" s="1">
        <v>42063</v>
      </c>
      <c r="C49" s="1">
        <v>42067</v>
      </c>
      <c r="D49" t="s">
        <v>37</v>
      </c>
      <c r="E49" t="s">
        <v>285</v>
      </c>
      <c r="F49" t="s">
        <v>286</v>
      </c>
      <c r="G49" t="s">
        <v>23</v>
      </c>
      <c r="H49" t="s">
        <v>24</v>
      </c>
      <c r="I49" t="s">
        <v>149</v>
      </c>
      <c r="J49" t="s">
        <v>133</v>
      </c>
      <c r="K49" t="s">
        <v>27</v>
      </c>
      <c r="L49" t="s">
        <v>287</v>
      </c>
      <c r="M49" t="s">
        <v>29</v>
      </c>
      <c r="N49" t="s">
        <v>34</v>
      </c>
      <c r="O49" t="s">
        <v>288</v>
      </c>
      <c r="P49">
        <v>161.56800000000001</v>
      </c>
      <c r="Q49">
        <v>2</v>
      </c>
      <c r="R49">
        <v>-28.2744</v>
      </c>
      <c r="S49" t="s">
        <v>289</v>
      </c>
    </row>
    <row r="50" spans="1:19" x14ac:dyDescent="0.35">
      <c r="A50" t="s">
        <v>284</v>
      </c>
      <c r="B50" s="1">
        <v>42063</v>
      </c>
      <c r="C50" s="1">
        <v>42067</v>
      </c>
      <c r="D50" t="s">
        <v>37</v>
      </c>
      <c r="E50" t="s">
        <v>285</v>
      </c>
      <c r="F50" t="s">
        <v>286</v>
      </c>
      <c r="G50" t="s">
        <v>23</v>
      </c>
      <c r="H50" t="s">
        <v>24</v>
      </c>
      <c r="I50" t="s">
        <v>149</v>
      </c>
      <c r="J50" t="s">
        <v>133</v>
      </c>
      <c r="K50" t="s">
        <v>27</v>
      </c>
      <c r="L50" t="s">
        <v>290</v>
      </c>
      <c r="M50" t="s">
        <v>29</v>
      </c>
      <c r="N50" t="s">
        <v>34</v>
      </c>
      <c r="O50" t="s">
        <v>291</v>
      </c>
      <c r="P50">
        <v>389.69600000000003</v>
      </c>
      <c r="Q50">
        <v>8</v>
      </c>
      <c r="R50">
        <v>43.840800000000002</v>
      </c>
      <c r="S50" t="s">
        <v>289</v>
      </c>
    </row>
    <row r="51" spans="1:19" x14ac:dyDescent="0.35">
      <c r="A51" t="s">
        <v>292</v>
      </c>
      <c r="B51" s="1">
        <v>42832</v>
      </c>
      <c r="C51" s="1">
        <v>42837</v>
      </c>
      <c r="D51" t="s">
        <v>37</v>
      </c>
      <c r="E51" t="s">
        <v>293</v>
      </c>
      <c r="F51" t="s">
        <v>294</v>
      </c>
      <c r="G51" t="s">
        <v>94</v>
      </c>
      <c r="H51" t="s">
        <v>24</v>
      </c>
      <c r="I51" t="s">
        <v>295</v>
      </c>
      <c r="J51" t="s">
        <v>41</v>
      </c>
      <c r="K51" t="s">
        <v>27</v>
      </c>
      <c r="L51" t="s">
        <v>296</v>
      </c>
      <c r="M51" t="s">
        <v>29</v>
      </c>
      <c r="N51" t="s">
        <v>43</v>
      </c>
      <c r="O51" t="s">
        <v>297</v>
      </c>
      <c r="P51">
        <v>233.86</v>
      </c>
      <c r="Q51">
        <v>2</v>
      </c>
      <c r="R51">
        <v>-102.048</v>
      </c>
      <c r="S51" t="s">
        <v>107</v>
      </c>
    </row>
    <row r="52" spans="1:19" x14ac:dyDescent="0.35">
      <c r="A52" t="s">
        <v>292</v>
      </c>
      <c r="B52" s="1">
        <v>42832</v>
      </c>
      <c r="C52" s="1">
        <v>42837</v>
      </c>
      <c r="D52" t="s">
        <v>37</v>
      </c>
      <c r="E52" t="s">
        <v>293</v>
      </c>
      <c r="F52" t="s">
        <v>294</v>
      </c>
      <c r="G52" t="s">
        <v>94</v>
      </c>
      <c r="H52" t="s">
        <v>24</v>
      </c>
      <c r="I52" t="s">
        <v>295</v>
      </c>
      <c r="J52" t="s">
        <v>41</v>
      </c>
      <c r="K52" t="s">
        <v>27</v>
      </c>
      <c r="L52" t="s">
        <v>298</v>
      </c>
      <c r="M52" t="s">
        <v>29</v>
      </c>
      <c r="N52" t="s">
        <v>43</v>
      </c>
      <c r="O52" t="s">
        <v>299</v>
      </c>
      <c r="P52">
        <v>620.61450000000002</v>
      </c>
      <c r="Q52">
        <v>3</v>
      </c>
      <c r="R52">
        <v>-248.2458</v>
      </c>
      <c r="S52" t="s">
        <v>107</v>
      </c>
    </row>
    <row r="53" spans="1:19" x14ac:dyDescent="0.35">
      <c r="A53" t="s">
        <v>292</v>
      </c>
      <c r="B53" s="1">
        <v>42832</v>
      </c>
      <c r="C53" s="1">
        <v>42837</v>
      </c>
      <c r="D53" t="s">
        <v>37</v>
      </c>
      <c r="E53" t="s">
        <v>293</v>
      </c>
      <c r="F53" t="s">
        <v>294</v>
      </c>
      <c r="G53" t="s">
        <v>94</v>
      </c>
      <c r="H53" t="s">
        <v>24</v>
      </c>
      <c r="I53" t="s">
        <v>295</v>
      </c>
      <c r="J53" t="s">
        <v>41</v>
      </c>
      <c r="K53" t="s">
        <v>27</v>
      </c>
      <c r="L53" t="s">
        <v>300</v>
      </c>
      <c r="M53" t="s">
        <v>29</v>
      </c>
      <c r="N53" t="s">
        <v>53</v>
      </c>
      <c r="O53" t="s">
        <v>301</v>
      </c>
      <c r="P53">
        <v>258.072</v>
      </c>
      <c r="Q53">
        <v>3</v>
      </c>
      <c r="R53">
        <v>0</v>
      </c>
      <c r="S53" t="s">
        <v>107</v>
      </c>
    </row>
    <row r="54" spans="1:19" x14ac:dyDescent="0.35">
      <c r="A54" t="s">
        <v>302</v>
      </c>
      <c r="B54" s="1">
        <v>42525</v>
      </c>
      <c r="C54" s="1">
        <v>42530</v>
      </c>
      <c r="D54" t="s">
        <v>20</v>
      </c>
      <c r="E54" t="s">
        <v>303</v>
      </c>
      <c r="F54" t="s">
        <v>304</v>
      </c>
      <c r="G54" t="s">
        <v>23</v>
      </c>
      <c r="H54" t="s">
        <v>24</v>
      </c>
      <c r="I54" t="s">
        <v>125</v>
      </c>
      <c r="J54" t="s">
        <v>126</v>
      </c>
      <c r="K54" t="s">
        <v>87</v>
      </c>
      <c r="L54" t="s">
        <v>305</v>
      </c>
      <c r="M54" t="s">
        <v>29</v>
      </c>
      <c r="N54" t="s">
        <v>53</v>
      </c>
      <c r="O54" t="s">
        <v>306</v>
      </c>
      <c r="P54">
        <v>419.68</v>
      </c>
      <c r="Q54">
        <v>5</v>
      </c>
      <c r="R54">
        <v>-356.72800000000001</v>
      </c>
      <c r="S54" t="s">
        <v>55</v>
      </c>
    </row>
    <row r="55" spans="1:19" x14ac:dyDescent="0.35">
      <c r="A55" t="s">
        <v>302</v>
      </c>
      <c r="B55" s="1">
        <v>42525</v>
      </c>
      <c r="C55" s="1">
        <v>42530</v>
      </c>
      <c r="D55" t="s">
        <v>20</v>
      </c>
      <c r="E55" t="s">
        <v>303</v>
      </c>
      <c r="F55" t="s">
        <v>304</v>
      </c>
      <c r="G55" t="s">
        <v>23</v>
      </c>
      <c r="H55" t="s">
        <v>24</v>
      </c>
      <c r="I55" t="s">
        <v>125</v>
      </c>
      <c r="J55" t="s">
        <v>126</v>
      </c>
      <c r="K55" t="s">
        <v>87</v>
      </c>
      <c r="L55" t="s">
        <v>307</v>
      </c>
      <c r="M55" t="s">
        <v>29</v>
      </c>
      <c r="N55" t="s">
        <v>53</v>
      </c>
      <c r="O55" t="s">
        <v>308</v>
      </c>
      <c r="P55">
        <v>11.688000000000001</v>
      </c>
      <c r="Q55">
        <v>3</v>
      </c>
      <c r="R55">
        <v>-4.6752000000000002</v>
      </c>
      <c r="S55" t="s">
        <v>55</v>
      </c>
    </row>
    <row r="56" spans="1:19" x14ac:dyDescent="0.35">
      <c r="A56" t="s">
        <v>302</v>
      </c>
      <c r="B56" s="1">
        <v>42525</v>
      </c>
      <c r="C56" s="1">
        <v>42530</v>
      </c>
      <c r="D56" t="s">
        <v>20</v>
      </c>
      <c r="E56" t="s">
        <v>303</v>
      </c>
      <c r="F56" t="s">
        <v>304</v>
      </c>
      <c r="G56" t="s">
        <v>23</v>
      </c>
      <c r="H56" t="s">
        <v>24</v>
      </c>
      <c r="I56" t="s">
        <v>125</v>
      </c>
      <c r="J56" t="s">
        <v>126</v>
      </c>
      <c r="K56" t="s">
        <v>87</v>
      </c>
      <c r="L56" t="s">
        <v>309</v>
      </c>
      <c r="M56" t="s">
        <v>29</v>
      </c>
      <c r="N56" t="s">
        <v>43</v>
      </c>
      <c r="O56" t="s">
        <v>310</v>
      </c>
      <c r="P56">
        <v>177.22499999999999</v>
      </c>
      <c r="Q56">
        <v>5</v>
      </c>
      <c r="R56">
        <v>-120.51300000000001</v>
      </c>
      <c r="S56" t="s">
        <v>55</v>
      </c>
    </row>
    <row r="57" spans="1:19" x14ac:dyDescent="0.35">
      <c r="A57" t="s">
        <v>302</v>
      </c>
      <c r="B57" s="1">
        <v>42525</v>
      </c>
      <c r="C57" s="1">
        <v>42530</v>
      </c>
      <c r="D57" t="s">
        <v>20</v>
      </c>
      <c r="E57" t="s">
        <v>303</v>
      </c>
      <c r="F57" t="s">
        <v>304</v>
      </c>
      <c r="G57" t="s">
        <v>23</v>
      </c>
      <c r="H57" t="s">
        <v>24</v>
      </c>
      <c r="I57" t="s">
        <v>125</v>
      </c>
      <c r="J57" t="s">
        <v>126</v>
      </c>
      <c r="K57" t="s">
        <v>87</v>
      </c>
      <c r="L57" t="s">
        <v>311</v>
      </c>
      <c r="M57" t="s">
        <v>29</v>
      </c>
      <c r="N57" t="s">
        <v>53</v>
      </c>
      <c r="O57" t="s">
        <v>312</v>
      </c>
      <c r="P57">
        <v>4.0439999999999996</v>
      </c>
      <c r="Q57">
        <v>3</v>
      </c>
      <c r="R57">
        <v>-2.8308</v>
      </c>
      <c r="S57" t="s">
        <v>55</v>
      </c>
    </row>
    <row r="58" spans="1:19" x14ac:dyDescent="0.35">
      <c r="A58" t="s">
        <v>313</v>
      </c>
      <c r="B58" s="1">
        <v>41791</v>
      </c>
      <c r="C58" s="1">
        <v>41796</v>
      </c>
      <c r="D58" t="s">
        <v>20</v>
      </c>
      <c r="E58" t="s">
        <v>314</v>
      </c>
      <c r="F58" t="s">
        <v>315</v>
      </c>
      <c r="G58" t="s">
        <v>94</v>
      </c>
      <c r="H58" t="s">
        <v>24</v>
      </c>
      <c r="I58" t="s">
        <v>316</v>
      </c>
      <c r="J58" t="s">
        <v>158</v>
      </c>
      <c r="K58" t="s">
        <v>87</v>
      </c>
      <c r="L58" t="s">
        <v>198</v>
      </c>
      <c r="M58" t="s">
        <v>29</v>
      </c>
      <c r="N58" t="s">
        <v>34</v>
      </c>
      <c r="O58" t="s">
        <v>199</v>
      </c>
      <c r="P58">
        <v>2001.86</v>
      </c>
      <c r="Q58">
        <v>7</v>
      </c>
      <c r="R58">
        <v>580.5394</v>
      </c>
      <c r="S58" t="s">
        <v>55</v>
      </c>
    </row>
    <row r="59" spans="1:19" x14ac:dyDescent="0.35">
      <c r="A59" t="s">
        <v>317</v>
      </c>
      <c r="B59" s="1">
        <v>42714</v>
      </c>
      <c r="C59" s="1">
        <v>42719</v>
      </c>
      <c r="D59" t="s">
        <v>20</v>
      </c>
      <c r="E59" t="s">
        <v>318</v>
      </c>
      <c r="F59" t="s">
        <v>319</v>
      </c>
      <c r="G59" t="s">
        <v>23</v>
      </c>
      <c r="H59" t="s">
        <v>24</v>
      </c>
      <c r="I59" t="s">
        <v>320</v>
      </c>
      <c r="J59" t="s">
        <v>50</v>
      </c>
      <c r="K59" t="s">
        <v>51</v>
      </c>
      <c r="L59" t="s">
        <v>321</v>
      </c>
      <c r="M59" t="s">
        <v>29</v>
      </c>
      <c r="N59" t="s">
        <v>34</v>
      </c>
      <c r="O59" t="s">
        <v>322</v>
      </c>
      <c r="P59">
        <v>321.56799999999998</v>
      </c>
      <c r="Q59">
        <v>2</v>
      </c>
      <c r="R59">
        <v>28.1372</v>
      </c>
      <c r="S59" t="s">
        <v>90</v>
      </c>
    </row>
    <row r="60" spans="1:19" x14ac:dyDescent="0.35">
      <c r="A60" t="s">
        <v>323</v>
      </c>
      <c r="B60" s="1">
        <v>42336</v>
      </c>
      <c r="C60" s="1">
        <v>42342</v>
      </c>
      <c r="D60" t="s">
        <v>37</v>
      </c>
      <c r="E60" t="s">
        <v>324</v>
      </c>
      <c r="F60" t="s">
        <v>325</v>
      </c>
      <c r="G60" t="s">
        <v>84</v>
      </c>
      <c r="H60" t="s">
        <v>24</v>
      </c>
      <c r="I60" t="s">
        <v>125</v>
      </c>
      <c r="J60" t="s">
        <v>126</v>
      </c>
      <c r="K60" t="s">
        <v>87</v>
      </c>
      <c r="L60" t="s">
        <v>311</v>
      </c>
      <c r="M60" t="s">
        <v>29</v>
      </c>
      <c r="N60" t="s">
        <v>53</v>
      </c>
      <c r="O60" t="s">
        <v>312</v>
      </c>
      <c r="P60">
        <v>12.132</v>
      </c>
      <c r="Q60">
        <v>9</v>
      </c>
      <c r="R60">
        <v>-8.4923999999999999</v>
      </c>
      <c r="S60" t="s">
        <v>32</v>
      </c>
    </row>
    <row r="61" spans="1:19" x14ac:dyDescent="0.35">
      <c r="A61" t="s">
        <v>326</v>
      </c>
      <c r="B61" s="1">
        <v>42215</v>
      </c>
      <c r="C61" s="1">
        <v>42216</v>
      </c>
      <c r="D61" t="s">
        <v>81</v>
      </c>
      <c r="E61" t="s">
        <v>327</v>
      </c>
      <c r="F61" t="s">
        <v>328</v>
      </c>
      <c r="G61" t="s">
        <v>23</v>
      </c>
      <c r="H61" t="s">
        <v>24</v>
      </c>
      <c r="I61" t="s">
        <v>320</v>
      </c>
      <c r="J61" t="s">
        <v>50</v>
      </c>
      <c r="K61" t="s">
        <v>51</v>
      </c>
      <c r="L61" t="s">
        <v>329</v>
      </c>
      <c r="M61" t="s">
        <v>29</v>
      </c>
      <c r="N61" t="s">
        <v>53</v>
      </c>
      <c r="O61" t="s">
        <v>330</v>
      </c>
      <c r="P61">
        <v>5.28</v>
      </c>
      <c r="Q61">
        <v>3</v>
      </c>
      <c r="R61">
        <v>2.3231999999999999</v>
      </c>
      <c r="S61" t="s">
        <v>66</v>
      </c>
    </row>
    <row r="62" spans="1:19" x14ac:dyDescent="0.35">
      <c r="A62" t="s">
        <v>331</v>
      </c>
      <c r="B62" s="1">
        <v>42310</v>
      </c>
      <c r="C62" s="1">
        <v>42314</v>
      </c>
      <c r="D62" t="s">
        <v>37</v>
      </c>
      <c r="E62" t="s">
        <v>332</v>
      </c>
      <c r="F62" t="s">
        <v>333</v>
      </c>
      <c r="G62" t="s">
        <v>23</v>
      </c>
      <c r="H62" t="s">
        <v>24</v>
      </c>
      <c r="I62" t="s">
        <v>49</v>
      </c>
      <c r="J62" t="s">
        <v>50</v>
      </c>
      <c r="K62" t="s">
        <v>51</v>
      </c>
      <c r="L62" t="s">
        <v>334</v>
      </c>
      <c r="M62" t="s">
        <v>29</v>
      </c>
      <c r="N62" t="s">
        <v>43</v>
      </c>
      <c r="O62" t="s">
        <v>335</v>
      </c>
      <c r="P62">
        <v>1038.8399999999999</v>
      </c>
      <c r="Q62">
        <v>5</v>
      </c>
      <c r="R62">
        <v>51.942</v>
      </c>
      <c r="S62" t="s">
        <v>32</v>
      </c>
    </row>
    <row r="63" spans="1:19" x14ac:dyDescent="0.35">
      <c r="A63" t="s">
        <v>336</v>
      </c>
      <c r="B63" s="1">
        <v>42694</v>
      </c>
      <c r="C63" s="1">
        <v>42698</v>
      </c>
      <c r="D63" t="s">
        <v>20</v>
      </c>
      <c r="E63" t="s">
        <v>337</v>
      </c>
      <c r="F63" t="s">
        <v>338</v>
      </c>
      <c r="G63" t="s">
        <v>94</v>
      </c>
      <c r="H63" t="s">
        <v>24</v>
      </c>
      <c r="I63" t="s">
        <v>339</v>
      </c>
      <c r="J63" t="s">
        <v>223</v>
      </c>
      <c r="K63" t="s">
        <v>63</v>
      </c>
      <c r="L63" t="s">
        <v>340</v>
      </c>
      <c r="M63" t="s">
        <v>29</v>
      </c>
      <c r="N63" t="s">
        <v>30</v>
      </c>
      <c r="O63" t="s">
        <v>341</v>
      </c>
      <c r="P63">
        <v>86.97</v>
      </c>
      <c r="Q63">
        <v>3</v>
      </c>
      <c r="R63">
        <v>-48.703200000000002</v>
      </c>
      <c r="S63" t="s">
        <v>32</v>
      </c>
    </row>
    <row r="64" spans="1:19" x14ac:dyDescent="0.35">
      <c r="A64" t="s">
        <v>342</v>
      </c>
      <c r="B64" s="1">
        <v>41999</v>
      </c>
      <c r="C64" s="1">
        <v>42001</v>
      </c>
      <c r="D64" t="s">
        <v>81</v>
      </c>
      <c r="E64" t="s">
        <v>343</v>
      </c>
      <c r="F64" t="s">
        <v>344</v>
      </c>
      <c r="G64" t="s">
        <v>84</v>
      </c>
      <c r="H64" t="s">
        <v>24</v>
      </c>
      <c r="I64" t="s">
        <v>345</v>
      </c>
      <c r="J64" t="s">
        <v>172</v>
      </c>
      <c r="K64" t="s">
        <v>51</v>
      </c>
      <c r="L64" t="s">
        <v>346</v>
      </c>
      <c r="M64" t="s">
        <v>29</v>
      </c>
      <c r="N64" t="s">
        <v>53</v>
      </c>
      <c r="O64" t="s">
        <v>347</v>
      </c>
      <c r="P64">
        <v>300.416</v>
      </c>
      <c r="Q64">
        <v>8</v>
      </c>
      <c r="R64">
        <v>78.859200000000001</v>
      </c>
      <c r="S64" t="s">
        <v>90</v>
      </c>
    </row>
    <row r="65" spans="1:19" x14ac:dyDescent="0.35">
      <c r="A65" t="s">
        <v>342</v>
      </c>
      <c r="B65" s="1">
        <v>41999</v>
      </c>
      <c r="C65" s="1">
        <v>42001</v>
      </c>
      <c r="D65" t="s">
        <v>81</v>
      </c>
      <c r="E65" t="s">
        <v>343</v>
      </c>
      <c r="F65" t="s">
        <v>344</v>
      </c>
      <c r="G65" t="s">
        <v>84</v>
      </c>
      <c r="H65" t="s">
        <v>24</v>
      </c>
      <c r="I65" t="s">
        <v>345</v>
      </c>
      <c r="J65" t="s">
        <v>172</v>
      </c>
      <c r="K65" t="s">
        <v>51</v>
      </c>
      <c r="L65" t="s">
        <v>348</v>
      </c>
      <c r="M65" t="s">
        <v>29</v>
      </c>
      <c r="N65" t="s">
        <v>34</v>
      </c>
      <c r="O65" t="s">
        <v>349</v>
      </c>
      <c r="P65">
        <v>230.352</v>
      </c>
      <c r="Q65">
        <v>3</v>
      </c>
      <c r="R65">
        <v>20.155799999999999</v>
      </c>
      <c r="S65" t="s">
        <v>90</v>
      </c>
    </row>
    <row r="66" spans="1:19" x14ac:dyDescent="0.35">
      <c r="A66" t="s">
        <v>342</v>
      </c>
      <c r="B66" s="1">
        <v>41999</v>
      </c>
      <c r="C66" s="1">
        <v>42001</v>
      </c>
      <c r="D66" t="s">
        <v>81</v>
      </c>
      <c r="E66" t="s">
        <v>343</v>
      </c>
      <c r="F66" t="s">
        <v>344</v>
      </c>
      <c r="G66" t="s">
        <v>84</v>
      </c>
      <c r="H66" t="s">
        <v>24</v>
      </c>
      <c r="I66" t="s">
        <v>345</v>
      </c>
      <c r="J66" t="s">
        <v>172</v>
      </c>
      <c r="K66" t="s">
        <v>51</v>
      </c>
      <c r="L66" t="s">
        <v>350</v>
      </c>
      <c r="M66" t="s">
        <v>29</v>
      </c>
      <c r="N66" t="s">
        <v>53</v>
      </c>
      <c r="O66" t="s">
        <v>351</v>
      </c>
      <c r="P66">
        <v>218.352</v>
      </c>
      <c r="Q66">
        <v>3</v>
      </c>
      <c r="R66">
        <v>-24.564599999999999</v>
      </c>
      <c r="S66" t="s">
        <v>90</v>
      </c>
    </row>
    <row r="67" spans="1:19" x14ac:dyDescent="0.35">
      <c r="A67" t="s">
        <v>352</v>
      </c>
      <c r="B67" s="1">
        <v>42671</v>
      </c>
      <c r="C67" s="1">
        <v>42677</v>
      </c>
      <c r="D67" t="s">
        <v>37</v>
      </c>
      <c r="E67" t="s">
        <v>217</v>
      </c>
      <c r="F67" t="s">
        <v>218</v>
      </c>
      <c r="G67" t="s">
        <v>84</v>
      </c>
      <c r="H67" t="s">
        <v>24</v>
      </c>
      <c r="I67" t="s">
        <v>353</v>
      </c>
      <c r="J67" t="s">
        <v>354</v>
      </c>
      <c r="K67" t="s">
        <v>63</v>
      </c>
      <c r="L67" t="s">
        <v>355</v>
      </c>
      <c r="M67" t="s">
        <v>29</v>
      </c>
      <c r="N67" t="s">
        <v>53</v>
      </c>
      <c r="O67" t="s">
        <v>356</v>
      </c>
      <c r="P67">
        <v>77.599999999999994</v>
      </c>
      <c r="Q67">
        <v>4</v>
      </c>
      <c r="R67">
        <v>38.024000000000001</v>
      </c>
      <c r="S67" t="s">
        <v>45</v>
      </c>
    </row>
    <row r="68" spans="1:19" x14ac:dyDescent="0.35">
      <c r="A68" t="s">
        <v>357</v>
      </c>
      <c r="B68" s="1">
        <v>43058</v>
      </c>
      <c r="C68" s="1">
        <v>43062</v>
      </c>
      <c r="D68" t="s">
        <v>37</v>
      </c>
      <c r="E68" t="s">
        <v>358</v>
      </c>
      <c r="F68" t="s">
        <v>359</v>
      </c>
      <c r="G68" t="s">
        <v>23</v>
      </c>
      <c r="H68" t="s">
        <v>24</v>
      </c>
      <c r="I68" t="s">
        <v>125</v>
      </c>
      <c r="J68" t="s">
        <v>126</v>
      </c>
      <c r="K68" t="s">
        <v>87</v>
      </c>
      <c r="L68" t="s">
        <v>360</v>
      </c>
      <c r="M68" t="s">
        <v>29</v>
      </c>
      <c r="N68" t="s">
        <v>43</v>
      </c>
      <c r="O68" t="s">
        <v>361</v>
      </c>
      <c r="P68">
        <v>219.07499999999999</v>
      </c>
      <c r="Q68">
        <v>3</v>
      </c>
      <c r="R68">
        <v>-131.44499999999999</v>
      </c>
      <c r="S68" t="s">
        <v>32</v>
      </c>
    </row>
    <row r="69" spans="1:19" x14ac:dyDescent="0.35">
      <c r="A69" t="s">
        <v>362</v>
      </c>
      <c r="B69" s="1">
        <v>42128</v>
      </c>
      <c r="C69" s="1">
        <v>42133</v>
      </c>
      <c r="D69" t="s">
        <v>20</v>
      </c>
      <c r="E69" t="s">
        <v>363</v>
      </c>
      <c r="F69" t="s">
        <v>364</v>
      </c>
      <c r="G69" t="s">
        <v>84</v>
      </c>
      <c r="H69" t="s">
        <v>24</v>
      </c>
      <c r="I69" t="s">
        <v>165</v>
      </c>
      <c r="J69" t="s">
        <v>114</v>
      </c>
      <c r="K69" t="s">
        <v>63</v>
      </c>
      <c r="L69" t="s">
        <v>365</v>
      </c>
      <c r="M69" t="s">
        <v>29</v>
      </c>
      <c r="N69" t="s">
        <v>53</v>
      </c>
      <c r="O69" t="s">
        <v>366</v>
      </c>
      <c r="P69">
        <v>26.8</v>
      </c>
      <c r="Q69">
        <v>2</v>
      </c>
      <c r="R69">
        <v>12.864000000000001</v>
      </c>
      <c r="S69" t="s">
        <v>153</v>
      </c>
    </row>
    <row r="70" spans="1:19" x14ac:dyDescent="0.35">
      <c r="A70" t="s">
        <v>367</v>
      </c>
      <c r="B70" s="1">
        <v>42625</v>
      </c>
      <c r="C70" s="1">
        <v>42627</v>
      </c>
      <c r="D70" t="s">
        <v>20</v>
      </c>
      <c r="E70" t="s">
        <v>368</v>
      </c>
      <c r="F70" t="s">
        <v>369</v>
      </c>
      <c r="G70" t="s">
        <v>84</v>
      </c>
      <c r="H70" t="s">
        <v>24</v>
      </c>
      <c r="I70" t="s">
        <v>370</v>
      </c>
      <c r="J70" t="s">
        <v>172</v>
      </c>
      <c r="K70" t="s">
        <v>51</v>
      </c>
      <c r="L70" t="s">
        <v>371</v>
      </c>
      <c r="M70" t="s">
        <v>29</v>
      </c>
      <c r="N70" t="s">
        <v>53</v>
      </c>
      <c r="O70" t="s">
        <v>372</v>
      </c>
      <c r="P70">
        <v>15.135999999999999</v>
      </c>
      <c r="Q70">
        <v>4</v>
      </c>
      <c r="R70">
        <v>3.5948000000000002</v>
      </c>
      <c r="S70" t="s">
        <v>72</v>
      </c>
    </row>
    <row r="71" spans="1:19" x14ac:dyDescent="0.35">
      <c r="A71" t="s">
        <v>367</v>
      </c>
      <c r="B71" s="1">
        <v>42625</v>
      </c>
      <c r="C71" s="1">
        <v>42627</v>
      </c>
      <c r="D71" t="s">
        <v>20</v>
      </c>
      <c r="E71" t="s">
        <v>368</v>
      </c>
      <c r="F71" t="s">
        <v>369</v>
      </c>
      <c r="G71" t="s">
        <v>84</v>
      </c>
      <c r="H71" t="s">
        <v>24</v>
      </c>
      <c r="I71" t="s">
        <v>370</v>
      </c>
      <c r="J71" t="s">
        <v>172</v>
      </c>
      <c r="K71" t="s">
        <v>51</v>
      </c>
      <c r="L71" t="s">
        <v>373</v>
      </c>
      <c r="M71" t="s">
        <v>29</v>
      </c>
      <c r="N71" t="s">
        <v>34</v>
      </c>
      <c r="O71" t="s">
        <v>374</v>
      </c>
      <c r="P71">
        <v>466.76799999999997</v>
      </c>
      <c r="Q71">
        <v>2</v>
      </c>
      <c r="R71">
        <v>52.511400000000002</v>
      </c>
      <c r="S71" t="s">
        <v>72</v>
      </c>
    </row>
    <row r="72" spans="1:19" x14ac:dyDescent="0.35">
      <c r="A72" t="s">
        <v>367</v>
      </c>
      <c r="B72" s="1">
        <v>42625</v>
      </c>
      <c r="C72" s="1">
        <v>42627</v>
      </c>
      <c r="D72" t="s">
        <v>20</v>
      </c>
      <c r="E72" t="s">
        <v>368</v>
      </c>
      <c r="F72" t="s">
        <v>369</v>
      </c>
      <c r="G72" t="s">
        <v>84</v>
      </c>
      <c r="H72" t="s">
        <v>24</v>
      </c>
      <c r="I72" t="s">
        <v>370</v>
      </c>
      <c r="J72" t="s">
        <v>172</v>
      </c>
      <c r="K72" t="s">
        <v>51</v>
      </c>
      <c r="L72" t="s">
        <v>375</v>
      </c>
      <c r="M72" t="s">
        <v>29</v>
      </c>
      <c r="N72" t="s">
        <v>53</v>
      </c>
      <c r="O72" t="s">
        <v>376</v>
      </c>
      <c r="P72">
        <v>15.231999999999999</v>
      </c>
      <c r="Q72">
        <v>1</v>
      </c>
      <c r="R72">
        <v>1.7136</v>
      </c>
      <c r="S72" t="s">
        <v>72</v>
      </c>
    </row>
    <row r="73" spans="1:19" x14ac:dyDescent="0.35">
      <c r="A73" t="s">
        <v>377</v>
      </c>
      <c r="B73" s="1">
        <v>41909</v>
      </c>
      <c r="C73" s="1">
        <v>41915</v>
      </c>
      <c r="D73" t="s">
        <v>37</v>
      </c>
      <c r="E73" t="s">
        <v>378</v>
      </c>
      <c r="F73" t="s">
        <v>379</v>
      </c>
      <c r="G73" t="s">
        <v>84</v>
      </c>
      <c r="H73" t="s">
        <v>24</v>
      </c>
      <c r="I73" t="s">
        <v>380</v>
      </c>
      <c r="J73" t="s">
        <v>354</v>
      </c>
      <c r="K73" t="s">
        <v>63</v>
      </c>
      <c r="L73" t="s">
        <v>381</v>
      </c>
      <c r="M73" t="s">
        <v>29</v>
      </c>
      <c r="N73" t="s">
        <v>53</v>
      </c>
      <c r="O73" t="s">
        <v>382</v>
      </c>
      <c r="P73">
        <v>87.54</v>
      </c>
      <c r="Q73">
        <v>3</v>
      </c>
      <c r="R73">
        <v>37.642200000000003</v>
      </c>
      <c r="S73" t="s">
        <v>72</v>
      </c>
    </row>
    <row r="74" spans="1:19" x14ac:dyDescent="0.35">
      <c r="A74" t="s">
        <v>383</v>
      </c>
      <c r="B74" s="1">
        <v>41947</v>
      </c>
      <c r="C74" s="1">
        <v>41952</v>
      </c>
      <c r="D74" t="s">
        <v>37</v>
      </c>
      <c r="E74" t="s">
        <v>384</v>
      </c>
      <c r="F74" t="s">
        <v>385</v>
      </c>
      <c r="G74" t="s">
        <v>94</v>
      </c>
      <c r="H74" t="s">
        <v>24</v>
      </c>
      <c r="I74" t="s">
        <v>165</v>
      </c>
      <c r="J74" t="s">
        <v>114</v>
      </c>
      <c r="K74" t="s">
        <v>63</v>
      </c>
      <c r="L74" t="s">
        <v>386</v>
      </c>
      <c r="M74" t="s">
        <v>29</v>
      </c>
      <c r="N74" t="s">
        <v>34</v>
      </c>
      <c r="O74" t="s">
        <v>387</v>
      </c>
      <c r="P74">
        <v>135.88200000000001</v>
      </c>
      <c r="Q74">
        <v>1</v>
      </c>
      <c r="R74">
        <v>24.1568</v>
      </c>
      <c r="S74" t="s">
        <v>32</v>
      </c>
    </row>
    <row r="75" spans="1:19" x14ac:dyDescent="0.35">
      <c r="A75" t="s">
        <v>388</v>
      </c>
      <c r="B75" s="1">
        <v>43042</v>
      </c>
      <c r="C75" s="1">
        <v>43044</v>
      </c>
      <c r="D75" t="s">
        <v>20</v>
      </c>
      <c r="E75" t="s">
        <v>389</v>
      </c>
      <c r="F75" t="s">
        <v>390</v>
      </c>
      <c r="G75" t="s">
        <v>84</v>
      </c>
      <c r="H75" t="s">
        <v>24</v>
      </c>
      <c r="I75" t="s">
        <v>391</v>
      </c>
      <c r="J75" t="s">
        <v>133</v>
      </c>
      <c r="K75" t="s">
        <v>27</v>
      </c>
      <c r="L75" t="s">
        <v>392</v>
      </c>
      <c r="M75" t="s">
        <v>29</v>
      </c>
      <c r="N75" t="s">
        <v>53</v>
      </c>
      <c r="O75" t="s">
        <v>393</v>
      </c>
      <c r="P75">
        <v>15.992000000000001</v>
      </c>
      <c r="Q75">
        <v>1</v>
      </c>
      <c r="R75">
        <v>0.99950000000000006</v>
      </c>
      <c r="S75" t="s">
        <v>32</v>
      </c>
    </row>
    <row r="76" spans="1:19" x14ac:dyDescent="0.35">
      <c r="A76" t="s">
        <v>394</v>
      </c>
      <c r="B76" s="1">
        <v>42612</v>
      </c>
      <c r="C76" s="1">
        <v>42614</v>
      </c>
      <c r="D76" t="s">
        <v>81</v>
      </c>
      <c r="E76" t="s">
        <v>395</v>
      </c>
      <c r="F76" t="s">
        <v>396</v>
      </c>
      <c r="G76" t="s">
        <v>23</v>
      </c>
      <c r="H76" t="s">
        <v>24</v>
      </c>
      <c r="I76" t="s">
        <v>61</v>
      </c>
      <c r="J76" t="s">
        <v>62</v>
      </c>
      <c r="K76" t="s">
        <v>63</v>
      </c>
      <c r="L76" t="s">
        <v>397</v>
      </c>
      <c r="M76" t="s">
        <v>29</v>
      </c>
      <c r="N76" t="s">
        <v>34</v>
      </c>
      <c r="O76" t="s">
        <v>398</v>
      </c>
      <c r="P76">
        <v>786.74400000000003</v>
      </c>
      <c r="Q76">
        <v>4</v>
      </c>
      <c r="R76">
        <v>-258.5016</v>
      </c>
      <c r="S76" t="s">
        <v>245</v>
      </c>
    </row>
    <row r="77" spans="1:19" x14ac:dyDescent="0.35">
      <c r="A77" t="s">
        <v>399</v>
      </c>
      <c r="B77" s="1">
        <v>41832</v>
      </c>
      <c r="C77" s="1">
        <v>41837</v>
      </c>
      <c r="D77" t="s">
        <v>37</v>
      </c>
      <c r="E77" t="s">
        <v>400</v>
      </c>
      <c r="F77" t="s">
        <v>401</v>
      </c>
      <c r="G77" t="s">
        <v>84</v>
      </c>
      <c r="H77" t="s">
        <v>24</v>
      </c>
      <c r="I77" t="s">
        <v>320</v>
      </c>
      <c r="J77" t="s">
        <v>50</v>
      </c>
      <c r="K77" t="s">
        <v>51</v>
      </c>
      <c r="L77" t="s">
        <v>402</v>
      </c>
      <c r="M77" t="s">
        <v>29</v>
      </c>
      <c r="N77" t="s">
        <v>43</v>
      </c>
      <c r="O77" t="s">
        <v>403</v>
      </c>
      <c r="P77">
        <v>698.35199999999998</v>
      </c>
      <c r="Q77">
        <v>3</v>
      </c>
      <c r="R77">
        <v>-17.4588</v>
      </c>
      <c r="S77" t="s">
        <v>66</v>
      </c>
    </row>
    <row r="78" spans="1:19" x14ac:dyDescent="0.35">
      <c r="A78" t="s">
        <v>404</v>
      </c>
      <c r="B78" s="1">
        <v>42468</v>
      </c>
      <c r="C78" s="1">
        <v>42473</v>
      </c>
      <c r="D78" t="s">
        <v>37</v>
      </c>
      <c r="E78" t="s">
        <v>405</v>
      </c>
      <c r="F78" t="s">
        <v>406</v>
      </c>
      <c r="G78" t="s">
        <v>23</v>
      </c>
      <c r="H78" t="s">
        <v>24</v>
      </c>
      <c r="I78" t="s">
        <v>165</v>
      </c>
      <c r="J78" t="s">
        <v>114</v>
      </c>
      <c r="K78" t="s">
        <v>63</v>
      </c>
      <c r="L78" t="s">
        <v>407</v>
      </c>
      <c r="M78" t="s">
        <v>29</v>
      </c>
      <c r="N78" t="s">
        <v>30</v>
      </c>
      <c r="O78" t="s">
        <v>408</v>
      </c>
      <c r="P78">
        <v>388.70400000000001</v>
      </c>
      <c r="Q78">
        <v>6</v>
      </c>
      <c r="R78">
        <v>-4.8587999999999996</v>
      </c>
      <c r="S78" t="s">
        <v>107</v>
      </c>
    </row>
    <row r="79" spans="1:19" x14ac:dyDescent="0.35">
      <c r="A79" t="s">
        <v>409</v>
      </c>
      <c r="B79" s="1">
        <v>43003</v>
      </c>
      <c r="C79" s="1">
        <v>43009</v>
      </c>
      <c r="D79" t="s">
        <v>37</v>
      </c>
      <c r="E79" t="s">
        <v>410</v>
      </c>
      <c r="F79" t="s">
        <v>411</v>
      </c>
      <c r="G79" t="s">
        <v>23</v>
      </c>
      <c r="H79" t="s">
        <v>24</v>
      </c>
      <c r="I79" t="s">
        <v>165</v>
      </c>
      <c r="J79" t="s">
        <v>114</v>
      </c>
      <c r="K79" t="s">
        <v>63</v>
      </c>
      <c r="L79" t="s">
        <v>412</v>
      </c>
      <c r="M79" t="s">
        <v>29</v>
      </c>
      <c r="N79" t="s">
        <v>34</v>
      </c>
      <c r="O79" t="s">
        <v>413</v>
      </c>
      <c r="P79">
        <v>488.64600000000002</v>
      </c>
      <c r="Q79">
        <v>3</v>
      </c>
      <c r="R79">
        <v>86.870400000000004</v>
      </c>
      <c r="S79" t="s">
        <v>72</v>
      </c>
    </row>
    <row r="80" spans="1:19" x14ac:dyDescent="0.35">
      <c r="A80" t="s">
        <v>409</v>
      </c>
      <c r="B80" s="1">
        <v>43003</v>
      </c>
      <c r="C80" s="1">
        <v>43009</v>
      </c>
      <c r="D80" t="s">
        <v>37</v>
      </c>
      <c r="E80" t="s">
        <v>410</v>
      </c>
      <c r="F80" t="s">
        <v>411</v>
      </c>
      <c r="G80" t="s">
        <v>23</v>
      </c>
      <c r="H80" t="s">
        <v>24</v>
      </c>
      <c r="I80" t="s">
        <v>165</v>
      </c>
      <c r="J80" t="s">
        <v>114</v>
      </c>
      <c r="K80" t="s">
        <v>63</v>
      </c>
      <c r="L80" t="s">
        <v>414</v>
      </c>
      <c r="M80" t="s">
        <v>29</v>
      </c>
      <c r="N80" t="s">
        <v>53</v>
      </c>
      <c r="O80" t="s">
        <v>415</v>
      </c>
      <c r="P80">
        <v>47.12</v>
      </c>
      <c r="Q80">
        <v>8</v>
      </c>
      <c r="R80">
        <v>20.732800000000001</v>
      </c>
      <c r="S80" t="s">
        <v>72</v>
      </c>
    </row>
    <row r="81" spans="1:19" x14ac:dyDescent="0.35">
      <c r="A81" t="s">
        <v>416</v>
      </c>
      <c r="B81" s="1">
        <v>42664</v>
      </c>
      <c r="C81" s="1">
        <v>42664</v>
      </c>
      <c r="D81" t="s">
        <v>417</v>
      </c>
      <c r="E81" t="s">
        <v>418</v>
      </c>
      <c r="F81" t="s">
        <v>419</v>
      </c>
      <c r="G81" t="s">
        <v>84</v>
      </c>
      <c r="H81" t="s">
        <v>24</v>
      </c>
      <c r="I81" t="s">
        <v>420</v>
      </c>
      <c r="J81" t="s">
        <v>421</v>
      </c>
      <c r="K81" t="s">
        <v>63</v>
      </c>
      <c r="L81" t="s">
        <v>96</v>
      </c>
      <c r="M81" t="s">
        <v>29</v>
      </c>
      <c r="N81" t="s">
        <v>30</v>
      </c>
      <c r="O81" t="s">
        <v>97</v>
      </c>
      <c r="P81">
        <v>1043.92</v>
      </c>
      <c r="Q81">
        <v>4</v>
      </c>
      <c r="R81">
        <v>271.41919999999999</v>
      </c>
      <c r="S81" t="s">
        <v>45</v>
      </c>
    </row>
    <row r="82" spans="1:19" x14ac:dyDescent="0.35">
      <c r="A82" t="s">
        <v>422</v>
      </c>
      <c r="B82" s="1">
        <v>42974</v>
      </c>
      <c r="C82" s="1">
        <v>42979</v>
      </c>
      <c r="D82" t="s">
        <v>37</v>
      </c>
      <c r="E82" t="s">
        <v>423</v>
      </c>
      <c r="F82" t="s">
        <v>424</v>
      </c>
      <c r="G82" t="s">
        <v>84</v>
      </c>
      <c r="H82" t="s">
        <v>24</v>
      </c>
      <c r="I82" t="s">
        <v>229</v>
      </c>
      <c r="J82" t="s">
        <v>425</v>
      </c>
      <c r="K82" t="s">
        <v>63</v>
      </c>
      <c r="L82" t="s">
        <v>426</v>
      </c>
      <c r="M82" t="s">
        <v>29</v>
      </c>
      <c r="N82" t="s">
        <v>43</v>
      </c>
      <c r="O82" t="s">
        <v>427</v>
      </c>
      <c r="P82">
        <v>1488.424</v>
      </c>
      <c r="Q82">
        <v>7</v>
      </c>
      <c r="R82">
        <v>-297.6848</v>
      </c>
      <c r="S82" t="s">
        <v>245</v>
      </c>
    </row>
    <row r="83" spans="1:19" x14ac:dyDescent="0.35">
      <c r="A83" t="s">
        <v>428</v>
      </c>
      <c r="B83" s="1">
        <v>42335</v>
      </c>
      <c r="C83" s="1">
        <v>42340</v>
      </c>
      <c r="D83" t="s">
        <v>37</v>
      </c>
      <c r="E83" t="s">
        <v>429</v>
      </c>
      <c r="F83" t="s">
        <v>430</v>
      </c>
      <c r="G83" t="s">
        <v>23</v>
      </c>
      <c r="H83" t="s">
        <v>24</v>
      </c>
      <c r="I83" t="s">
        <v>431</v>
      </c>
      <c r="J83" t="s">
        <v>41</v>
      </c>
      <c r="K83" t="s">
        <v>27</v>
      </c>
      <c r="L83" t="s">
        <v>432</v>
      </c>
      <c r="M83" t="s">
        <v>29</v>
      </c>
      <c r="N83" t="s">
        <v>43</v>
      </c>
      <c r="O83" t="s">
        <v>433</v>
      </c>
      <c r="P83">
        <v>375.45749999999998</v>
      </c>
      <c r="Q83">
        <v>3</v>
      </c>
      <c r="R83">
        <v>-157.0095</v>
      </c>
      <c r="S83" t="s">
        <v>32</v>
      </c>
    </row>
    <row r="84" spans="1:19" x14ac:dyDescent="0.35">
      <c r="A84" t="s">
        <v>434</v>
      </c>
      <c r="B84" s="1">
        <v>42341</v>
      </c>
      <c r="C84" s="1">
        <v>42345</v>
      </c>
      <c r="D84" t="s">
        <v>37</v>
      </c>
      <c r="E84" t="s">
        <v>435</v>
      </c>
      <c r="F84" t="s">
        <v>436</v>
      </c>
      <c r="G84" t="s">
        <v>84</v>
      </c>
      <c r="H84" t="s">
        <v>24</v>
      </c>
      <c r="I84" t="s">
        <v>61</v>
      </c>
      <c r="J84" t="s">
        <v>62</v>
      </c>
      <c r="K84" t="s">
        <v>63</v>
      </c>
      <c r="L84" t="s">
        <v>437</v>
      </c>
      <c r="M84" t="s">
        <v>29</v>
      </c>
      <c r="N84" t="s">
        <v>53</v>
      </c>
      <c r="O84" t="s">
        <v>438</v>
      </c>
      <c r="P84">
        <v>2.96</v>
      </c>
      <c r="Q84">
        <v>1</v>
      </c>
      <c r="R84">
        <v>0.77700000000000002</v>
      </c>
      <c r="S84" t="s">
        <v>90</v>
      </c>
    </row>
    <row r="85" spans="1:19" x14ac:dyDescent="0.35">
      <c r="A85" t="s">
        <v>439</v>
      </c>
      <c r="B85" s="1">
        <v>42621</v>
      </c>
      <c r="C85" s="1">
        <v>42623</v>
      </c>
      <c r="D85" t="s">
        <v>20</v>
      </c>
      <c r="E85" t="s">
        <v>440</v>
      </c>
      <c r="F85" t="s">
        <v>441</v>
      </c>
      <c r="G85" t="s">
        <v>23</v>
      </c>
      <c r="H85" t="s">
        <v>24</v>
      </c>
      <c r="I85" t="s">
        <v>95</v>
      </c>
      <c r="J85" t="s">
        <v>86</v>
      </c>
      <c r="K85" t="s">
        <v>87</v>
      </c>
      <c r="L85" t="s">
        <v>76</v>
      </c>
      <c r="M85" t="s">
        <v>29</v>
      </c>
      <c r="N85" t="s">
        <v>30</v>
      </c>
      <c r="O85" t="s">
        <v>77</v>
      </c>
      <c r="P85">
        <v>2396.2656000000002</v>
      </c>
      <c r="Q85">
        <v>4</v>
      </c>
      <c r="R85">
        <v>-317.15280000000001</v>
      </c>
      <c r="S85" t="s">
        <v>72</v>
      </c>
    </row>
    <row r="86" spans="1:19" x14ac:dyDescent="0.35">
      <c r="A86" t="s">
        <v>442</v>
      </c>
      <c r="B86" s="1">
        <v>43077</v>
      </c>
      <c r="C86" s="1">
        <v>43081</v>
      </c>
      <c r="D86" t="s">
        <v>37</v>
      </c>
      <c r="E86" t="s">
        <v>443</v>
      </c>
      <c r="F86" t="s">
        <v>444</v>
      </c>
      <c r="G86" t="s">
        <v>23</v>
      </c>
      <c r="H86" t="s">
        <v>24</v>
      </c>
      <c r="I86" t="s">
        <v>320</v>
      </c>
      <c r="J86" t="s">
        <v>50</v>
      </c>
      <c r="K86" t="s">
        <v>51</v>
      </c>
      <c r="L86" t="s">
        <v>445</v>
      </c>
      <c r="M86" t="s">
        <v>29</v>
      </c>
      <c r="N86" t="s">
        <v>43</v>
      </c>
      <c r="O86" t="s">
        <v>446</v>
      </c>
      <c r="P86">
        <v>1004.024</v>
      </c>
      <c r="Q86">
        <v>7</v>
      </c>
      <c r="R86">
        <v>-112.95269999999999</v>
      </c>
      <c r="S86" t="s">
        <v>90</v>
      </c>
    </row>
    <row r="87" spans="1:19" x14ac:dyDescent="0.35">
      <c r="A87" t="s">
        <v>442</v>
      </c>
      <c r="B87" s="1">
        <v>43077</v>
      </c>
      <c r="C87" s="1">
        <v>43081</v>
      </c>
      <c r="D87" t="s">
        <v>37</v>
      </c>
      <c r="E87" t="s">
        <v>443</v>
      </c>
      <c r="F87" t="s">
        <v>444</v>
      </c>
      <c r="G87" t="s">
        <v>23</v>
      </c>
      <c r="H87" t="s">
        <v>24</v>
      </c>
      <c r="I87" t="s">
        <v>320</v>
      </c>
      <c r="J87" t="s">
        <v>50</v>
      </c>
      <c r="K87" t="s">
        <v>51</v>
      </c>
      <c r="L87" t="s">
        <v>447</v>
      </c>
      <c r="M87" t="s">
        <v>29</v>
      </c>
      <c r="N87" t="s">
        <v>30</v>
      </c>
      <c r="O87" t="s">
        <v>448</v>
      </c>
      <c r="P87">
        <v>1336.829</v>
      </c>
      <c r="Q87">
        <v>13</v>
      </c>
      <c r="R87">
        <v>31.454799999999999</v>
      </c>
      <c r="S87" t="s">
        <v>90</v>
      </c>
    </row>
    <row r="88" spans="1:19" x14ac:dyDescent="0.35">
      <c r="A88" t="s">
        <v>442</v>
      </c>
      <c r="B88" s="1">
        <v>43077</v>
      </c>
      <c r="C88" s="1">
        <v>43081</v>
      </c>
      <c r="D88" t="s">
        <v>37</v>
      </c>
      <c r="E88" t="s">
        <v>443</v>
      </c>
      <c r="F88" t="s">
        <v>444</v>
      </c>
      <c r="G88" t="s">
        <v>23</v>
      </c>
      <c r="H88" t="s">
        <v>24</v>
      </c>
      <c r="I88" t="s">
        <v>320</v>
      </c>
      <c r="J88" t="s">
        <v>50</v>
      </c>
      <c r="K88" t="s">
        <v>51</v>
      </c>
      <c r="L88" t="s">
        <v>449</v>
      </c>
      <c r="M88" t="s">
        <v>29</v>
      </c>
      <c r="N88" t="s">
        <v>34</v>
      </c>
      <c r="O88" t="s">
        <v>450</v>
      </c>
      <c r="P88">
        <v>113.568</v>
      </c>
      <c r="Q88">
        <v>2</v>
      </c>
      <c r="R88">
        <v>-18.454799999999999</v>
      </c>
      <c r="S88" t="s">
        <v>90</v>
      </c>
    </row>
    <row r="89" spans="1:19" x14ac:dyDescent="0.35">
      <c r="A89" t="s">
        <v>451</v>
      </c>
      <c r="B89" s="1">
        <v>43042</v>
      </c>
      <c r="C89" s="1">
        <v>43046</v>
      </c>
      <c r="D89" t="s">
        <v>37</v>
      </c>
      <c r="E89" t="s">
        <v>452</v>
      </c>
      <c r="F89" t="s">
        <v>453</v>
      </c>
      <c r="G89" t="s">
        <v>84</v>
      </c>
      <c r="H89" t="s">
        <v>24</v>
      </c>
      <c r="I89" t="s">
        <v>183</v>
      </c>
      <c r="J89" t="s">
        <v>184</v>
      </c>
      <c r="K89" t="s">
        <v>51</v>
      </c>
      <c r="L89" t="s">
        <v>348</v>
      </c>
      <c r="M89" t="s">
        <v>29</v>
      </c>
      <c r="N89" t="s">
        <v>34</v>
      </c>
      <c r="O89" t="s">
        <v>349</v>
      </c>
      <c r="P89">
        <v>307.13600000000002</v>
      </c>
      <c r="Q89">
        <v>4</v>
      </c>
      <c r="R89">
        <v>26.874400000000001</v>
      </c>
      <c r="S89" t="s">
        <v>32</v>
      </c>
    </row>
    <row r="90" spans="1:19" x14ac:dyDescent="0.35">
      <c r="A90" t="s">
        <v>454</v>
      </c>
      <c r="B90" s="1">
        <v>42474</v>
      </c>
      <c r="C90" s="1">
        <v>42478</v>
      </c>
      <c r="D90" t="s">
        <v>37</v>
      </c>
      <c r="E90" t="s">
        <v>455</v>
      </c>
      <c r="F90" t="s">
        <v>456</v>
      </c>
      <c r="G90" t="s">
        <v>23</v>
      </c>
      <c r="H90" t="s">
        <v>24</v>
      </c>
      <c r="I90" t="s">
        <v>49</v>
      </c>
      <c r="J90" t="s">
        <v>50</v>
      </c>
      <c r="K90" t="s">
        <v>51</v>
      </c>
      <c r="L90" t="s">
        <v>457</v>
      </c>
      <c r="M90" t="s">
        <v>29</v>
      </c>
      <c r="N90" t="s">
        <v>34</v>
      </c>
      <c r="O90" t="s">
        <v>458</v>
      </c>
      <c r="P90">
        <v>383.8</v>
      </c>
      <c r="Q90">
        <v>5</v>
      </c>
      <c r="R90">
        <v>38.380000000000003</v>
      </c>
      <c r="S90" t="s">
        <v>107</v>
      </c>
    </row>
    <row r="91" spans="1:19" x14ac:dyDescent="0.35">
      <c r="A91" t="s">
        <v>459</v>
      </c>
      <c r="B91" s="1">
        <v>43027</v>
      </c>
      <c r="C91" s="1">
        <v>43031</v>
      </c>
      <c r="D91" t="s">
        <v>37</v>
      </c>
      <c r="E91" t="s">
        <v>460</v>
      </c>
      <c r="F91" t="s">
        <v>461</v>
      </c>
      <c r="G91" t="s">
        <v>84</v>
      </c>
      <c r="H91" t="s">
        <v>24</v>
      </c>
      <c r="I91" t="s">
        <v>462</v>
      </c>
      <c r="J91" t="s">
        <v>425</v>
      </c>
      <c r="K91" t="s">
        <v>63</v>
      </c>
      <c r="L91" t="s">
        <v>463</v>
      </c>
      <c r="M91" t="s">
        <v>29</v>
      </c>
      <c r="N91" t="s">
        <v>53</v>
      </c>
      <c r="O91" t="s">
        <v>464</v>
      </c>
      <c r="P91">
        <v>56.56</v>
      </c>
      <c r="Q91">
        <v>4</v>
      </c>
      <c r="R91">
        <v>14.7056</v>
      </c>
      <c r="S91" t="s">
        <v>45</v>
      </c>
    </row>
    <row r="92" spans="1:19" x14ac:dyDescent="0.35">
      <c r="A92" t="s">
        <v>465</v>
      </c>
      <c r="B92" s="1">
        <v>42968</v>
      </c>
      <c r="C92" s="1">
        <v>42970</v>
      </c>
      <c r="D92" t="s">
        <v>20</v>
      </c>
      <c r="E92" t="s">
        <v>466</v>
      </c>
      <c r="F92" t="s">
        <v>467</v>
      </c>
      <c r="G92" t="s">
        <v>23</v>
      </c>
      <c r="H92" t="s">
        <v>24</v>
      </c>
      <c r="I92" t="s">
        <v>468</v>
      </c>
      <c r="J92" t="s">
        <v>469</v>
      </c>
      <c r="K92" t="s">
        <v>27</v>
      </c>
      <c r="L92" t="s">
        <v>470</v>
      </c>
      <c r="M92" t="s">
        <v>29</v>
      </c>
      <c r="N92" t="s">
        <v>34</v>
      </c>
      <c r="O92" t="s">
        <v>471</v>
      </c>
      <c r="P92">
        <v>866.4</v>
      </c>
      <c r="Q92">
        <v>4</v>
      </c>
      <c r="R92">
        <v>225.26400000000001</v>
      </c>
      <c r="S92" t="s">
        <v>245</v>
      </c>
    </row>
    <row r="93" spans="1:19" x14ac:dyDescent="0.35">
      <c r="A93" t="s">
        <v>472</v>
      </c>
      <c r="B93" s="1">
        <v>43062</v>
      </c>
      <c r="C93" s="1">
        <v>43065</v>
      </c>
      <c r="D93" t="s">
        <v>20</v>
      </c>
      <c r="E93" t="s">
        <v>473</v>
      </c>
      <c r="F93" t="s">
        <v>474</v>
      </c>
      <c r="G93" t="s">
        <v>84</v>
      </c>
      <c r="H93" t="s">
        <v>24</v>
      </c>
      <c r="I93" t="s">
        <v>475</v>
      </c>
      <c r="J93" t="s">
        <v>281</v>
      </c>
      <c r="K93" t="s">
        <v>87</v>
      </c>
      <c r="L93" t="s">
        <v>476</v>
      </c>
      <c r="M93" t="s">
        <v>29</v>
      </c>
      <c r="N93" t="s">
        <v>53</v>
      </c>
      <c r="O93" t="s">
        <v>477</v>
      </c>
      <c r="P93">
        <v>28.4</v>
      </c>
      <c r="Q93">
        <v>2</v>
      </c>
      <c r="R93">
        <v>11.076000000000001</v>
      </c>
      <c r="S93" t="s">
        <v>32</v>
      </c>
    </row>
    <row r="94" spans="1:19" x14ac:dyDescent="0.35">
      <c r="A94" t="s">
        <v>478</v>
      </c>
      <c r="B94" s="1">
        <v>42755</v>
      </c>
      <c r="C94" s="1">
        <v>42758</v>
      </c>
      <c r="D94" t="s">
        <v>20</v>
      </c>
      <c r="E94" t="s">
        <v>176</v>
      </c>
      <c r="F94" t="s">
        <v>177</v>
      </c>
      <c r="G94" t="s">
        <v>84</v>
      </c>
      <c r="H94" t="s">
        <v>24</v>
      </c>
      <c r="I94" t="s">
        <v>165</v>
      </c>
      <c r="J94" t="s">
        <v>114</v>
      </c>
      <c r="K94" t="s">
        <v>63</v>
      </c>
      <c r="L94" t="s">
        <v>479</v>
      </c>
      <c r="M94" t="s">
        <v>29</v>
      </c>
      <c r="N94" t="s">
        <v>34</v>
      </c>
      <c r="O94" t="s">
        <v>480</v>
      </c>
      <c r="P94">
        <v>207.846</v>
      </c>
      <c r="Q94">
        <v>3</v>
      </c>
      <c r="R94">
        <v>2.3094000000000001</v>
      </c>
      <c r="S94" t="s">
        <v>161</v>
      </c>
    </row>
    <row r="95" spans="1:19" x14ac:dyDescent="0.35">
      <c r="A95" t="s">
        <v>481</v>
      </c>
      <c r="B95" s="1">
        <v>42618</v>
      </c>
      <c r="C95" s="1">
        <v>42620</v>
      </c>
      <c r="D95" t="s">
        <v>20</v>
      </c>
      <c r="E95" t="s">
        <v>482</v>
      </c>
      <c r="F95" t="s">
        <v>483</v>
      </c>
      <c r="G95" t="s">
        <v>23</v>
      </c>
      <c r="H95" t="s">
        <v>24</v>
      </c>
      <c r="I95" t="s">
        <v>280</v>
      </c>
      <c r="J95" t="s">
        <v>281</v>
      </c>
      <c r="K95" t="s">
        <v>87</v>
      </c>
      <c r="L95" t="s">
        <v>484</v>
      </c>
      <c r="M95" t="s">
        <v>29</v>
      </c>
      <c r="N95" t="s">
        <v>53</v>
      </c>
      <c r="O95" t="s">
        <v>485</v>
      </c>
      <c r="P95">
        <v>12.22</v>
      </c>
      <c r="Q95">
        <v>1</v>
      </c>
      <c r="R95">
        <v>3.6659999999999999</v>
      </c>
      <c r="S95" t="s">
        <v>72</v>
      </c>
    </row>
    <row r="96" spans="1:19" x14ac:dyDescent="0.35">
      <c r="A96" t="s">
        <v>481</v>
      </c>
      <c r="B96" s="1">
        <v>42618</v>
      </c>
      <c r="C96" s="1">
        <v>42620</v>
      </c>
      <c r="D96" t="s">
        <v>20</v>
      </c>
      <c r="E96" t="s">
        <v>482</v>
      </c>
      <c r="F96" t="s">
        <v>483</v>
      </c>
      <c r="G96" t="s">
        <v>23</v>
      </c>
      <c r="H96" t="s">
        <v>24</v>
      </c>
      <c r="I96" t="s">
        <v>280</v>
      </c>
      <c r="J96" t="s">
        <v>281</v>
      </c>
      <c r="K96" t="s">
        <v>87</v>
      </c>
      <c r="L96" t="s">
        <v>486</v>
      </c>
      <c r="M96" t="s">
        <v>29</v>
      </c>
      <c r="N96" t="s">
        <v>34</v>
      </c>
      <c r="O96" t="s">
        <v>487</v>
      </c>
      <c r="P96">
        <v>242.94</v>
      </c>
      <c r="Q96">
        <v>3</v>
      </c>
      <c r="R96">
        <v>29.152799999999999</v>
      </c>
      <c r="S96" t="s">
        <v>72</v>
      </c>
    </row>
    <row r="97" spans="1:19" x14ac:dyDescent="0.35">
      <c r="A97" t="s">
        <v>488</v>
      </c>
      <c r="B97" s="1">
        <v>42814</v>
      </c>
      <c r="C97" s="1">
        <v>42819</v>
      </c>
      <c r="D97" t="s">
        <v>20</v>
      </c>
      <c r="E97" t="s">
        <v>489</v>
      </c>
      <c r="F97" t="s">
        <v>490</v>
      </c>
      <c r="G97" t="s">
        <v>23</v>
      </c>
      <c r="H97" t="s">
        <v>24</v>
      </c>
      <c r="I97" t="s">
        <v>339</v>
      </c>
      <c r="J97" t="s">
        <v>104</v>
      </c>
      <c r="K97" t="s">
        <v>87</v>
      </c>
      <c r="L97" t="s">
        <v>491</v>
      </c>
      <c r="M97" t="s">
        <v>29</v>
      </c>
      <c r="N97" t="s">
        <v>53</v>
      </c>
      <c r="O97" t="s">
        <v>492</v>
      </c>
      <c r="P97">
        <v>2.91</v>
      </c>
      <c r="Q97">
        <v>1</v>
      </c>
      <c r="R97">
        <v>1.3676999999999999</v>
      </c>
      <c r="S97" t="s">
        <v>187</v>
      </c>
    </row>
    <row r="98" spans="1:19" x14ac:dyDescent="0.35">
      <c r="A98" t="s">
        <v>493</v>
      </c>
      <c r="B98" s="1">
        <v>43028</v>
      </c>
      <c r="C98" s="1">
        <v>43032</v>
      </c>
      <c r="D98" t="s">
        <v>37</v>
      </c>
      <c r="E98" t="s">
        <v>494</v>
      </c>
      <c r="F98" t="s">
        <v>495</v>
      </c>
      <c r="G98" t="s">
        <v>84</v>
      </c>
      <c r="H98" t="s">
        <v>24</v>
      </c>
      <c r="I98" t="s">
        <v>496</v>
      </c>
      <c r="J98" t="s">
        <v>223</v>
      </c>
      <c r="K98" t="s">
        <v>63</v>
      </c>
      <c r="L98" t="s">
        <v>56</v>
      </c>
      <c r="M98" t="s">
        <v>29</v>
      </c>
      <c r="N98" t="s">
        <v>43</v>
      </c>
      <c r="O98" t="s">
        <v>57</v>
      </c>
      <c r="P98">
        <v>284.36399999999998</v>
      </c>
      <c r="Q98">
        <v>2</v>
      </c>
      <c r="R98">
        <v>-75.830399999999997</v>
      </c>
      <c r="S98" t="s">
        <v>45</v>
      </c>
    </row>
    <row r="99" spans="1:19" x14ac:dyDescent="0.35">
      <c r="A99" t="s">
        <v>497</v>
      </c>
      <c r="B99" s="1">
        <v>41682</v>
      </c>
      <c r="C99" s="1">
        <v>41688</v>
      </c>
      <c r="D99" t="s">
        <v>37</v>
      </c>
      <c r="E99" t="s">
        <v>498</v>
      </c>
      <c r="F99" t="s">
        <v>499</v>
      </c>
      <c r="G99" t="s">
        <v>23</v>
      </c>
      <c r="H99" t="s">
        <v>24</v>
      </c>
      <c r="I99" t="s">
        <v>500</v>
      </c>
      <c r="J99" t="s">
        <v>50</v>
      </c>
      <c r="K99" t="s">
        <v>51</v>
      </c>
      <c r="L99" t="s">
        <v>501</v>
      </c>
      <c r="M99" t="s">
        <v>29</v>
      </c>
      <c r="N99" t="s">
        <v>34</v>
      </c>
      <c r="O99" t="s">
        <v>502</v>
      </c>
      <c r="P99">
        <v>129.56800000000001</v>
      </c>
      <c r="Q99">
        <v>2</v>
      </c>
      <c r="R99">
        <v>-24.294</v>
      </c>
      <c r="S99" t="s">
        <v>289</v>
      </c>
    </row>
    <row r="100" spans="1:19" x14ac:dyDescent="0.35">
      <c r="A100" t="s">
        <v>503</v>
      </c>
      <c r="B100" s="1">
        <v>42639</v>
      </c>
      <c r="C100" s="1">
        <v>42644</v>
      </c>
      <c r="D100" t="s">
        <v>37</v>
      </c>
      <c r="E100" t="s">
        <v>466</v>
      </c>
      <c r="F100" t="s">
        <v>467</v>
      </c>
      <c r="G100" t="s">
        <v>23</v>
      </c>
      <c r="H100" t="s">
        <v>24</v>
      </c>
      <c r="I100" t="s">
        <v>504</v>
      </c>
      <c r="J100" t="s">
        <v>126</v>
      </c>
      <c r="K100" t="s">
        <v>87</v>
      </c>
      <c r="L100" t="s">
        <v>505</v>
      </c>
      <c r="M100" t="s">
        <v>29</v>
      </c>
      <c r="N100" t="s">
        <v>34</v>
      </c>
      <c r="O100" t="s">
        <v>506</v>
      </c>
      <c r="P100">
        <v>747.55799999999999</v>
      </c>
      <c r="Q100">
        <v>3</v>
      </c>
      <c r="R100">
        <v>-96.114599999999996</v>
      </c>
      <c r="S100" t="s">
        <v>72</v>
      </c>
    </row>
    <row r="101" spans="1:19" x14ac:dyDescent="0.35">
      <c r="A101" t="s">
        <v>507</v>
      </c>
      <c r="B101" s="1">
        <v>42482</v>
      </c>
      <c r="C101" s="1">
        <v>42489</v>
      </c>
      <c r="D101" t="s">
        <v>37</v>
      </c>
      <c r="E101" t="s">
        <v>508</v>
      </c>
      <c r="F101" t="s">
        <v>509</v>
      </c>
      <c r="G101" t="s">
        <v>94</v>
      </c>
      <c r="H101" t="s">
        <v>24</v>
      </c>
      <c r="I101" t="s">
        <v>510</v>
      </c>
      <c r="J101" t="s">
        <v>511</v>
      </c>
      <c r="K101" t="s">
        <v>51</v>
      </c>
      <c r="L101" t="s">
        <v>414</v>
      </c>
      <c r="M101" t="s">
        <v>29</v>
      </c>
      <c r="N101" t="s">
        <v>53</v>
      </c>
      <c r="O101" t="s">
        <v>415</v>
      </c>
      <c r="P101">
        <v>23.56</v>
      </c>
      <c r="Q101">
        <v>5</v>
      </c>
      <c r="R101">
        <v>7.0679999999999996</v>
      </c>
      <c r="S101" t="s">
        <v>107</v>
      </c>
    </row>
    <row r="102" spans="1:19" x14ac:dyDescent="0.35">
      <c r="A102" t="s">
        <v>507</v>
      </c>
      <c r="B102" s="1">
        <v>42482</v>
      </c>
      <c r="C102" s="1">
        <v>42489</v>
      </c>
      <c r="D102" t="s">
        <v>37</v>
      </c>
      <c r="E102" t="s">
        <v>508</v>
      </c>
      <c r="F102" t="s">
        <v>509</v>
      </c>
      <c r="G102" t="s">
        <v>94</v>
      </c>
      <c r="H102" t="s">
        <v>24</v>
      </c>
      <c r="I102" t="s">
        <v>510</v>
      </c>
      <c r="J102" t="s">
        <v>511</v>
      </c>
      <c r="K102" t="s">
        <v>51</v>
      </c>
      <c r="L102" t="s">
        <v>512</v>
      </c>
      <c r="M102" t="s">
        <v>29</v>
      </c>
      <c r="N102" t="s">
        <v>43</v>
      </c>
      <c r="O102" t="s">
        <v>513</v>
      </c>
      <c r="P102">
        <v>1272.6300000000001</v>
      </c>
      <c r="Q102">
        <v>6</v>
      </c>
      <c r="R102">
        <v>-814.48320000000001</v>
      </c>
      <c r="S102" t="s">
        <v>107</v>
      </c>
    </row>
    <row r="103" spans="1:19" x14ac:dyDescent="0.35">
      <c r="A103" t="s">
        <v>514</v>
      </c>
      <c r="B103" s="1">
        <v>42021</v>
      </c>
      <c r="C103" s="1">
        <v>42028</v>
      </c>
      <c r="D103" t="s">
        <v>37</v>
      </c>
      <c r="E103" t="s">
        <v>515</v>
      </c>
      <c r="F103" t="s">
        <v>516</v>
      </c>
      <c r="G103" t="s">
        <v>94</v>
      </c>
      <c r="H103" t="s">
        <v>24</v>
      </c>
      <c r="I103" t="s">
        <v>517</v>
      </c>
      <c r="J103" t="s">
        <v>126</v>
      </c>
      <c r="K103" t="s">
        <v>87</v>
      </c>
      <c r="L103" t="s">
        <v>350</v>
      </c>
      <c r="M103" t="s">
        <v>29</v>
      </c>
      <c r="N103" t="s">
        <v>53</v>
      </c>
      <c r="O103" t="s">
        <v>351</v>
      </c>
      <c r="P103">
        <v>254.744</v>
      </c>
      <c r="Q103">
        <v>7</v>
      </c>
      <c r="R103">
        <v>-312.06139999999999</v>
      </c>
      <c r="S103" t="s">
        <v>161</v>
      </c>
    </row>
    <row r="104" spans="1:19" x14ac:dyDescent="0.35">
      <c r="A104" t="s">
        <v>518</v>
      </c>
      <c r="B104" s="1">
        <v>42825</v>
      </c>
      <c r="C104" s="1">
        <v>42829</v>
      </c>
      <c r="D104" t="s">
        <v>37</v>
      </c>
      <c r="E104" t="s">
        <v>278</v>
      </c>
      <c r="F104" t="s">
        <v>279</v>
      </c>
      <c r="G104" t="s">
        <v>84</v>
      </c>
      <c r="H104" t="s">
        <v>24</v>
      </c>
      <c r="I104" t="s">
        <v>519</v>
      </c>
      <c r="J104" t="s">
        <v>86</v>
      </c>
      <c r="K104" t="s">
        <v>87</v>
      </c>
      <c r="L104" t="s">
        <v>520</v>
      </c>
      <c r="M104" t="s">
        <v>29</v>
      </c>
      <c r="N104" t="s">
        <v>30</v>
      </c>
      <c r="O104" t="s">
        <v>521</v>
      </c>
      <c r="P104">
        <v>205.33279999999999</v>
      </c>
      <c r="Q104">
        <v>2</v>
      </c>
      <c r="R104">
        <v>-36.235199999999999</v>
      </c>
      <c r="S104" t="s">
        <v>187</v>
      </c>
    </row>
    <row r="105" spans="1:19" x14ac:dyDescent="0.35">
      <c r="A105" t="s">
        <v>522</v>
      </c>
      <c r="B105" s="1">
        <v>41952</v>
      </c>
      <c r="C105" s="1">
        <v>41954</v>
      </c>
      <c r="D105" t="s">
        <v>20</v>
      </c>
      <c r="E105" t="s">
        <v>523</v>
      </c>
      <c r="F105" t="s">
        <v>524</v>
      </c>
      <c r="G105" t="s">
        <v>23</v>
      </c>
      <c r="H105" t="s">
        <v>24</v>
      </c>
      <c r="I105" t="s">
        <v>320</v>
      </c>
      <c r="J105" t="s">
        <v>50</v>
      </c>
      <c r="K105" t="s">
        <v>51</v>
      </c>
      <c r="L105" t="s">
        <v>525</v>
      </c>
      <c r="M105" t="s">
        <v>29</v>
      </c>
      <c r="N105" t="s">
        <v>30</v>
      </c>
      <c r="O105" t="s">
        <v>526</v>
      </c>
      <c r="P105">
        <v>222.666</v>
      </c>
      <c r="Q105">
        <v>2</v>
      </c>
      <c r="R105">
        <v>10.478400000000001</v>
      </c>
      <c r="S105" t="s">
        <v>32</v>
      </c>
    </row>
    <row r="106" spans="1:19" x14ac:dyDescent="0.35">
      <c r="A106" t="s">
        <v>527</v>
      </c>
      <c r="B106" s="1">
        <v>42670</v>
      </c>
      <c r="C106" s="1">
        <v>42676</v>
      </c>
      <c r="D106" t="s">
        <v>37</v>
      </c>
      <c r="E106" t="s">
        <v>528</v>
      </c>
      <c r="F106" t="s">
        <v>529</v>
      </c>
      <c r="G106" t="s">
        <v>23</v>
      </c>
      <c r="H106" t="s">
        <v>24</v>
      </c>
      <c r="I106" t="s">
        <v>113</v>
      </c>
      <c r="J106" t="s">
        <v>114</v>
      </c>
      <c r="K106" t="s">
        <v>63</v>
      </c>
      <c r="L106" t="s">
        <v>365</v>
      </c>
      <c r="M106" t="s">
        <v>29</v>
      </c>
      <c r="N106" t="s">
        <v>53</v>
      </c>
      <c r="O106" t="s">
        <v>366</v>
      </c>
      <c r="P106">
        <v>40.200000000000003</v>
      </c>
      <c r="Q106">
        <v>3</v>
      </c>
      <c r="R106">
        <v>19.295999999999999</v>
      </c>
      <c r="S106" t="s">
        <v>45</v>
      </c>
    </row>
    <row r="107" spans="1:19" x14ac:dyDescent="0.35">
      <c r="A107" t="s">
        <v>530</v>
      </c>
      <c r="B107" s="1">
        <v>42896</v>
      </c>
      <c r="C107" s="1">
        <v>42899</v>
      </c>
      <c r="D107" t="s">
        <v>81</v>
      </c>
      <c r="E107" t="s">
        <v>531</v>
      </c>
      <c r="F107" t="s">
        <v>532</v>
      </c>
      <c r="G107" t="s">
        <v>94</v>
      </c>
      <c r="H107" t="s">
        <v>24</v>
      </c>
      <c r="I107" t="s">
        <v>49</v>
      </c>
      <c r="J107" t="s">
        <v>50</v>
      </c>
      <c r="K107" t="s">
        <v>51</v>
      </c>
      <c r="L107" t="s">
        <v>533</v>
      </c>
      <c r="M107" t="s">
        <v>29</v>
      </c>
      <c r="N107" t="s">
        <v>30</v>
      </c>
      <c r="O107" t="s">
        <v>534</v>
      </c>
      <c r="P107">
        <v>514.16499999999996</v>
      </c>
      <c r="Q107">
        <v>5</v>
      </c>
      <c r="R107">
        <v>-30.245000000000001</v>
      </c>
      <c r="S107" t="s">
        <v>55</v>
      </c>
    </row>
    <row r="108" spans="1:19" x14ac:dyDescent="0.35">
      <c r="A108" t="s">
        <v>535</v>
      </c>
      <c r="B108" s="1">
        <v>42447</v>
      </c>
      <c r="C108" s="1">
        <v>42450</v>
      </c>
      <c r="D108" t="s">
        <v>20</v>
      </c>
      <c r="E108" t="s">
        <v>536</v>
      </c>
      <c r="F108" t="s">
        <v>537</v>
      </c>
      <c r="G108" t="s">
        <v>23</v>
      </c>
      <c r="H108" t="s">
        <v>24</v>
      </c>
      <c r="I108" t="s">
        <v>132</v>
      </c>
      <c r="J108" t="s">
        <v>133</v>
      </c>
      <c r="K108" t="s">
        <v>27</v>
      </c>
      <c r="L108" t="s">
        <v>538</v>
      </c>
      <c r="M108" t="s">
        <v>29</v>
      </c>
      <c r="N108" t="s">
        <v>43</v>
      </c>
      <c r="O108" t="s">
        <v>539</v>
      </c>
      <c r="P108">
        <v>189.88200000000001</v>
      </c>
      <c r="Q108">
        <v>3</v>
      </c>
      <c r="R108">
        <v>-94.941000000000003</v>
      </c>
      <c r="S108" t="s">
        <v>187</v>
      </c>
    </row>
    <row r="109" spans="1:19" x14ac:dyDescent="0.35">
      <c r="A109" t="s">
        <v>540</v>
      </c>
      <c r="B109" s="1">
        <v>42576</v>
      </c>
      <c r="C109" s="1">
        <v>42582</v>
      </c>
      <c r="D109" t="s">
        <v>37</v>
      </c>
      <c r="E109" t="s">
        <v>498</v>
      </c>
      <c r="F109" t="s">
        <v>499</v>
      </c>
      <c r="G109" t="s">
        <v>23</v>
      </c>
      <c r="H109" t="s">
        <v>24</v>
      </c>
      <c r="I109" t="s">
        <v>541</v>
      </c>
      <c r="J109" t="s">
        <v>50</v>
      </c>
      <c r="K109" t="s">
        <v>51</v>
      </c>
      <c r="L109" t="s">
        <v>542</v>
      </c>
      <c r="M109" t="s">
        <v>29</v>
      </c>
      <c r="N109" t="s">
        <v>53</v>
      </c>
      <c r="O109" t="s">
        <v>543</v>
      </c>
      <c r="P109">
        <v>255.76</v>
      </c>
      <c r="Q109">
        <v>4</v>
      </c>
      <c r="R109">
        <v>81.843199999999996</v>
      </c>
      <c r="S109" t="s">
        <v>66</v>
      </c>
    </row>
    <row r="110" spans="1:19" x14ac:dyDescent="0.35">
      <c r="A110" t="s">
        <v>540</v>
      </c>
      <c r="B110" s="1">
        <v>42576</v>
      </c>
      <c r="C110" s="1">
        <v>42582</v>
      </c>
      <c r="D110" t="s">
        <v>37</v>
      </c>
      <c r="E110" t="s">
        <v>498</v>
      </c>
      <c r="F110" t="s">
        <v>499</v>
      </c>
      <c r="G110" t="s">
        <v>23</v>
      </c>
      <c r="H110" t="s">
        <v>24</v>
      </c>
      <c r="I110" t="s">
        <v>541</v>
      </c>
      <c r="J110" t="s">
        <v>50</v>
      </c>
      <c r="K110" t="s">
        <v>51</v>
      </c>
      <c r="L110" t="s">
        <v>386</v>
      </c>
      <c r="M110" t="s">
        <v>29</v>
      </c>
      <c r="N110" t="s">
        <v>34</v>
      </c>
      <c r="O110" t="s">
        <v>387</v>
      </c>
      <c r="P110">
        <v>241.56800000000001</v>
      </c>
      <c r="Q110">
        <v>2</v>
      </c>
      <c r="R110">
        <v>18.117599999999999</v>
      </c>
      <c r="S110" t="s">
        <v>66</v>
      </c>
    </row>
    <row r="111" spans="1:19" x14ac:dyDescent="0.35">
      <c r="A111" t="s">
        <v>540</v>
      </c>
      <c r="B111" s="1">
        <v>42576</v>
      </c>
      <c r="C111" s="1">
        <v>42582</v>
      </c>
      <c r="D111" t="s">
        <v>37</v>
      </c>
      <c r="E111" t="s">
        <v>498</v>
      </c>
      <c r="F111" t="s">
        <v>499</v>
      </c>
      <c r="G111" t="s">
        <v>23</v>
      </c>
      <c r="H111" t="s">
        <v>24</v>
      </c>
      <c r="I111" t="s">
        <v>541</v>
      </c>
      <c r="J111" t="s">
        <v>50</v>
      </c>
      <c r="K111" t="s">
        <v>51</v>
      </c>
      <c r="L111" t="s">
        <v>544</v>
      </c>
      <c r="M111" t="s">
        <v>29</v>
      </c>
      <c r="N111" t="s">
        <v>53</v>
      </c>
      <c r="O111" t="s">
        <v>545</v>
      </c>
      <c r="P111">
        <v>69.3</v>
      </c>
      <c r="Q111">
        <v>9</v>
      </c>
      <c r="R111">
        <v>22.869</v>
      </c>
      <c r="S111" t="s">
        <v>66</v>
      </c>
    </row>
    <row r="112" spans="1:19" x14ac:dyDescent="0.35">
      <c r="A112" t="s">
        <v>546</v>
      </c>
      <c r="B112" s="1">
        <v>42520</v>
      </c>
      <c r="C112" s="1">
        <v>42525</v>
      </c>
      <c r="D112" t="s">
        <v>37</v>
      </c>
      <c r="E112" t="s">
        <v>547</v>
      </c>
      <c r="F112" t="s">
        <v>548</v>
      </c>
      <c r="G112" t="s">
        <v>84</v>
      </c>
      <c r="H112" t="s">
        <v>24</v>
      </c>
      <c r="I112" t="s">
        <v>549</v>
      </c>
      <c r="J112" t="s">
        <v>172</v>
      </c>
      <c r="K112" t="s">
        <v>51</v>
      </c>
      <c r="L112" t="s">
        <v>550</v>
      </c>
      <c r="M112" t="s">
        <v>29</v>
      </c>
      <c r="N112" t="s">
        <v>34</v>
      </c>
      <c r="O112" t="s">
        <v>551</v>
      </c>
      <c r="P112">
        <v>801.56799999999998</v>
      </c>
      <c r="Q112">
        <v>2</v>
      </c>
      <c r="R112">
        <v>50.097999999999999</v>
      </c>
      <c r="S112" t="s">
        <v>153</v>
      </c>
    </row>
    <row r="113" spans="1:19" x14ac:dyDescent="0.35">
      <c r="A113" t="s">
        <v>552</v>
      </c>
      <c r="B113" s="1">
        <v>43065</v>
      </c>
      <c r="C113" s="1">
        <v>43066</v>
      </c>
      <c r="D113" t="s">
        <v>81</v>
      </c>
      <c r="E113" t="s">
        <v>553</v>
      </c>
      <c r="F113" t="s">
        <v>554</v>
      </c>
      <c r="G113" t="s">
        <v>23</v>
      </c>
      <c r="H113" t="s">
        <v>24</v>
      </c>
      <c r="I113" t="s">
        <v>555</v>
      </c>
      <c r="J113" t="s">
        <v>556</v>
      </c>
      <c r="K113" t="s">
        <v>87</v>
      </c>
      <c r="L113" t="s">
        <v>557</v>
      </c>
      <c r="M113" t="s">
        <v>29</v>
      </c>
      <c r="N113" t="s">
        <v>53</v>
      </c>
      <c r="O113" t="s">
        <v>558</v>
      </c>
      <c r="P113">
        <v>126.3</v>
      </c>
      <c r="Q113">
        <v>3</v>
      </c>
      <c r="R113">
        <v>40.415999999999997</v>
      </c>
      <c r="S113" t="s">
        <v>32</v>
      </c>
    </row>
    <row r="114" spans="1:19" x14ac:dyDescent="0.35">
      <c r="A114" t="s">
        <v>559</v>
      </c>
      <c r="B114" s="1">
        <v>42758</v>
      </c>
      <c r="C114" s="1">
        <v>42760</v>
      </c>
      <c r="D114" t="s">
        <v>81</v>
      </c>
      <c r="E114" t="s">
        <v>560</v>
      </c>
      <c r="F114" t="s">
        <v>561</v>
      </c>
      <c r="G114" t="s">
        <v>84</v>
      </c>
      <c r="H114" t="s">
        <v>24</v>
      </c>
      <c r="I114" t="s">
        <v>280</v>
      </c>
      <c r="J114" t="s">
        <v>281</v>
      </c>
      <c r="K114" t="s">
        <v>87</v>
      </c>
      <c r="L114" t="s">
        <v>538</v>
      </c>
      <c r="M114" t="s">
        <v>29</v>
      </c>
      <c r="N114" t="s">
        <v>43</v>
      </c>
      <c r="O114" t="s">
        <v>539</v>
      </c>
      <c r="P114">
        <v>210.98</v>
      </c>
      <c r="Q114">
        <v>2</v>
      </c>
      <c r="R114">
        <v>21.097999999999999</v>
      </c>
      <c r="S114" t="s">
        <v>161</v>
      </c>
    </row>
    <row r="115" spans="1:19" x14ac:dyDescent="0.35">
      <c r="A115" t="s">
        <v>562</v>
      </c>
      <c r="B115" s="1">
        <v>43029</v>
      </c>
      <c r="C115" s="1">
        <v>43034</v>
      </c>
      <c r="D115" t="s">
        <v>37</v>
      </c>
      <c r="E115" t="s">
        <v>563</v>
      </c>
      <c r="F115" t="s">
        <v>564</v>
      </c>
      <c r="G115" t="s">
        <v>94</v>
      </c>
      <c r="H115" t="s">
        <v>24</v>
      </c>
      <c r="I115" t="s">
        <v>565</v>
      </c>
      <c r="J115" t="s">
        <v>41</v>
      </c>
      <c r="K115" t="s">
        <v>27</v>
      </c>
      <c r="L115" t="s">
        <v>566</v>
      </c>
      <c r="M115" t="s">
        <v>29</v>
      </c>
      <c r="N115" t="s">
        <v>34</v>
      </c>
      <c r="O115" t="s">
        <v>567</v>
      </c>
      <c r="P115">
        <v>683.952</v>
      </c>
      <c r="Q115">
        <v>3</v>
      </c>
      <c r="R115">
        <v>42.747</v>
      </c>
      <c r="S115" t="s">
        <v>45</v>
      </c>
    </row>
    <row r="116" spans="1:19" x14ac:dyDescent="0.35">
      <c r="A116" t="s">
        <v>562</v>
      </c>
      <c r="B116" s="1">
        <v>43029</v>
      </c>
      <c r="C116" s="1">
        <v>43034</v>
      </c>
      <c r="D116" t="s">
        <v>37</v>
      </c>
      <c r="E116" t="s">
        <v>563</v>
      </c>
      <c r="F116" t="s">
        <v>564</v>
      </c>
      <c r="G116" t="s">
        <v>94</v>
      </c>
      <c r="H116" t="s">
        <v>24</v>
      </c>
      <c r="I116" t="s">
        <v>565</v>
      </c>
      <c r="J116" t="s">
        <v>41</v>
      </c>
      <c r="K116" t="s">
        <v>27</v>
      </c>
      <c r="L116" t="s">
        <v>375</v>
      </c>
      <c r="M116" t="s">
        <v>29</v>
      </c>
      <c r="N116" t="s">
        <v>53</v>
      </c>
      <c r="O116" t="s">
        <v>376</v>
      </c>
      <c r="P116">
        <v>45.695999999999998</v>
      </c>
      <c r="Q116">
        <v>3</v>
      </c>
      <c r="R116">
        <v>5.1407999999999996</v>
      </c>
      <c r="S116" t="s">
        <v>45</v>
      </c>
    </row>
    <row r="117" spans="1:19" x14ac:dyDescent="0.35">
      <c r="A117" t="s">
        <v>568</v>
      </c>
      <c r="B117" s="1">
        <v>42315</v>
      </c>
      <c r="C117" s="1">
        <v>42317</v>
      </c>
      <c r="D117" t="s">
        <v>20</v>
      </c>
      <c r="E117" t="s">
        <v>569</v>
      </c>
      <c r="F117" t="s">
        <v>570</v>
      </c>
      <c r="G117" t="s">
        <v>84</v>
      </c>
      <c r="H117" t="s">
        <v>24</v>
      </c>
      <c r="I117" t="s">
        <v>49</v>
      </c>
      <c r="J117" t="s">
        <v>50</v>
      </c>
      <c r="K117" t="s">
        <v>51</v>
      </c>
      <c r="L117" t="s">
        <v>571</v>
      </c>
      <c r="M117" t="s">
        <v>29</v>
      </c>
      <c r="N117" t="s">
        <v>34</v>
      </c>
      <c r="O117" t="s">
        <v>572</v>
      </c>
      <c r="P117">
        <v>190.72</v>
      </c>
      <c r="Q117">
        <v>1</v>
      </c>
      <c r="R117">
        <v>11.92</v>
      </c>
      <c r="S117" t="s">
        <v>32</v>
      </c>
    </row>
    <row r="118" spans="1:19" x14ac:dyDescent="0.35">
      <c r="A118" t="s">
        <v>573</v>
      </c>
      <c r="B118" s="1">
        <v>42985</v>
      </c>
      <c r="C118" s="1">
        <v>42989</v>
      </c>
      <c r="D118" t="s">
        <v>37</v>
      </c>
      <c r="E118" t="s">
        <v>574</v>
      </c>
      <c r="F118" t="s">
        <v>575</v>
      </c>
      <c r="G118" t="s">
        <v>23</v>
      </c>
      <c r="H118" t="s">
        <v>24</v>
      </c>
      <c r="I118" t="s">
        <v>49</v>
      </c>
      <c r="J118" t="s">
        <v>50</v>
      </c>
      <c r="K118" t="s">
        <v>51</v>
      </c>
      <c r="L118" t="s">
        <v>576</v>
      </c>
      <c r="M118" t="s">
        <v>29</v>
      </c>
      <c r="N118" t="s">
        <v>53</v>
      </c>
      <c r="O118" t="s">
        <v>577</v>
      </c>
      <c r="P118">
        <v>47.94</v>
      </c>
      <c r="Q118">
        <v>3</v>
      </c>
      <c r="R118">
        <v>2.3969999999999998</v>
      </c>
      <c r="S118" t="s">
        <v>72</v>
      </c>
    </row>
    <row r="119" spans="1:19" x14ac:dyDescent="0.35">
      <c r="A119" t="s">
        <v>578</v>
      </c>
      <c r="B119" s="1">
        <v>42345</v>
      </c>
      <c r="C119" s="1">
        <v>42349</v>
      </c>
      <c r="D119" t="s">
        <v>37</v>
      </c>
      <c r="E119" t="s">
        <v>579</v>
      </c>
      <c r="F119" t="s">
        <v>580</v>
      </c>
      <c r="G119" t="s">
        <v>23</v>
      </c>
      <c r="H119" t="s">
        <v>24</v>
      </c>
      <c r="I119" t="s">
        <v>25</v>
      </c>
      <c r="J119" t="s">
        <v>26</v>
      </c>
      <c r="K119" t="s">
        <v>27</v>
      </c>
      <c r="L119" t="s">
        <v>581</v>
      </c>
      <c r="M119" t="s">
        <v>29</v>
      </c>
      <c r="N119" t="s">
        <v>34</v>
      </c>
      <c r="O119" t="s">
        <v>582</v>
      </c>
      <c r="P119">
        <v>283.92</v>
      </c>
      <c r="Q119">
        <v>4</v>
      </c>
      <c r="R119">
        <v>70.98</v>
      </c>
      <c r="S119" t="s">
        <v>90</v>
      </c>
    </row>
    <row r="120" spans="1:19" x14ac:dyDescent="0.35">
      <c r="A120" t="s">
        <v>583</v>
      </c>
      <c r="B120" s="1">
        <v>41770</v>
      </c>
      <c r="C120" s="1">
        <v>41775</v>
      </c>
      <c r="D120" t="s">
        <v>37</v>
      </c>
      <c r="E120" t="s">
        <v>584</v>
      </c>
      <c r="F120" t="s">
        <v>585</v>
      </c>
      <c r="G120" t="s">
        <v>23</v>
      </c>
      <c r="H120" t="s">
        <v>24</v>
      </c>
      <c r="I120" t="s">
        <v>586</v>
      </c>
      <c r="J120" t="s">
        <v>86</v>
      </c>
      <c r="K120" t="s">
        <v>87</v>
      </c>
      <c r="L120" t="s">
        <v>587</v>
      </c>
      <c r="M120" t="s">
        <v>29</v>
      </c>
      <c r="N120" t="s">
        <v>53</v>
      </c>
      <c r="O120" t="s">
        <v>588</v>
      </c>
      <c r="P120">
        <v>66.111999999999995</v>
      </c>
      <c r="Q120">
        <v>4</v>
      </c>
      <c r="R120">
        <v>-84.2928</v>
      </c>
      <c r="S120" t="s">
        <v>153</v>
      </c>
    </row>
    <row r="121" spans="1:19" x14ac:dyDescent="0.35">
      <c r="A121" t="s">
        <v>589</v>
      </c>
      <c r="B121" s="1">
        <v>42475</v>
      </c>
      <c r="C121" s="1">
        <v>42477</v>
      </c>
      <c r="D121" t="s">
        <v>20</v>
      </c>
      <c r="E121" t="s">
        <v>590</v>
      </c>
      <c r="F121" t="s">
        <v>591</v>
      </c>
      <c r="G121" t="s">
        <v>23</v>
      </c>
      <c r="H121" t="s">
        <v>24</v>
      </c>
      <c r="I121" t="s">
        <v>320</v>
      </c>
      <c r="J121" t="s">
        <v>50</v>
      </c>
      <c r="K121" t="s">
        <v>51</v>
      </c>
      <c r="L121" t="s">
        <v>592</v>
      </c>
      <c r="M121" t="s">
        <v>29</v>
      </c>
      <c r="N121" t="s">
        <v>34</v>
      </c>
      <c r="O121" t="s">
        <v>593</v>
      </c>
      <c r="P121">
        <v>1121.568</v>
      </c>
      <c r="Q121">
        <v>2</v>
      </c>
      <c r="R121">
        <v>0</v>
      </c>
      <c r="S121" t="s">
        <v>107</v>
      </c>
    </row>
    <row r="122" spans="1:19" x14ac:dyDescent="0.35">
      <c r="A122" t="s">
        <v>594</v>
      </c>
      <c r="B122" s="1">
        <v>42989</v>
      </c>
      <c r="C122" s="1">
        <v>42990</v>
      </c>
      <c r="D122" t="s">
        <v>81</v>
      </c>
      <c r="E122" t="s">
        <v>595</v>
      </c>
      <c r="F122" t="s">
        <v>596</v>
      </c>
      <c r="G122" t="s">
        <v>23</v>
      </c>
      <c r="H122" t="s">
        <v>24</v>
      </c>
      <c r="I122" t="s">
        <v>597</v>
      </c>
      <c r="J122" t="s">
        <v>41</v>
      </c>
      <c r="K122" t="s">
        <v>27</v>
      </c>
      <c r="L122" t="s">
        <v>598</v>
      </c>
      <c r="M122" t="s">
        <v>29</v>
      </c>
      <c r="N122" t="s">
        <v>53</v>
      </c>
      <c r="O122" t="s">
        <v>599</v>
      </c>
      <c r="P122">
        <v>34.503999999999998</v>
      </c>
      <c r="Q122">
        <v>1</v>
      </c>
      <c r="R122">
        <v>6.0381999999999998</v>
      </c>
      <c r="S122" t="s">
        <v>72</v>
      </c>
    </row>
    <row r="123" spans="1:19" x14ac:dyDescent="0.35">
      <c r="A123" t="s">
        <v>600</v>
      </c>
      <c r="B123" s="1">
        <v>42531</v>
      </c>
      <c r="C123" s="1">
        <v>42536</v>
      </c>
      <c r="D123" t="s">
        <v>37</v>
      </c>
      <c r="E123" t="s">
        <v>601</v>
      </c>
      <c r="F123" t="s">
        <v>602</v>
      </c>
      <c r="G123" t="s">
        <v>23</v>
      </c>
      <c r="H123" t="s">
        <v>24</v>
      </c>
      <c r="I123" t="s">
        <v>49</v>
      </c>
      <c r="J123" t="s">
        <v>50</v>
      </c>
      <c r="K123" t="s">
        <v>51</v>
      </c>
      <c r="L123" t="s">
        <v>603</v>
      </c>
      <c r="M123" t="s">
        <v>29</v>
      </c>
      <c r="N123" t="s">
        <v>43</v>
      </c>
      <c r="O123" t="s">
        <v>604</v>
      </c>
      <c r="P123">
        <v>1335.68</v>
      </c>
      <c r="Q123">
        <v>4</v>
      </c>
      <c r="R123">
        <v>-217.048</v>
      </c>
      <c r="S123" t="s">
        <v>55</v>
      </c>
    </row>
    <row r="124" spans="1:19" x14ac:dyDescent="0.35">
      <c r="A124" t="s">
        <v>605</v>
      </c>
      <c r="B124" s="1">
        <v>43059</v>
      </c>
      <c r="C124" s="1">
        <v>43061</v>
      </c>
      <c r="D124" t="s">
        <v>20</v>
      </c>
      <c r="E124" t="s">
        <v>606</v>
      </c>
      <c r="F124" t="s">
        <v>607</v>
      </c>
      <c r="G124" t="s">
        <v>23</v>
      </c>
      <c r="H124" t="s">
        <v>24</v>
      </c>
      <c r="I124" t="s">
        <v>320</v>
      </c>
      <c r="J124" t="s">
        <v>50</v>
      </c>
      <c r="K124" t="s">
        <v>51</v>
      </c>
      <c r="L124" t="s">
        <v>476</v>
      </c>
      <c r="M124" t="s">
        <v>29</v>
      </c>
      <c r="N124" t="s">
        <v>53</v>
      </c>
      <c r="O124" t="s">
        <v>477</v>
      </c>
      <c r="P124">
        <v>42.6</v>
      </c>
      <c r="Q124">
        <v>3</v>
      </c>
      <c r="R124">
        <v>16.614000000000001</v>
      </c>
      <c r="S124" t="s">
        <v>32</v>
      </c>
    </row>
    <row r="125" spans="1:19" x14ac:dyDescent="0.35">
      <c r="A125" t="s">
        <v>608</v>
      </c>
      <c r="B125" s="1">
        <v>41896</v>
      </c>
      <c r="C125" s="1">
        <v>41900</v>
      </c>
      <c r="D125" t="s">
        <v>20</v>
      </c>
      <c r="E125" t="s">
        <v>609</v>
      </c>
      <c r="F125" t="s">
        <v>610</v>
      </c>
      <c r="G125" t="s">
        <v>23</v>
      </c>
      <c r="H125" t="s">
        <v>24</v>
      </c>
      <c r="I125" t="s">
        <v>295</v>
      </c>
      <c r="J125" t="s">
        <v>41</v>
      </c>
      <c r="K125" t="s">
        <v>27</v>
      </c>
      <c r="L125" t="s">
        <v>611</v>
      </c>
      <c r="M125" t="s">
        <v>29</v>
      </c>
      <c r="N125" t="s">
        <v>53</v>
      </c>
      <c r="O125" t="s">
        <v>612</v>
      </c>
      <c r="P125">
        <v>13.128</v>
      </c>
      <c r="Q125">
        <v>3</v>
      </c>
      <c r="R125">
        <v>3.7743000000000002</v>
      </c>
      <c r="S125" t="s">
        <v>72</v>
      </c>
    </row>
    <row r="126" spans="1:19" x14ac:dyDescent="0.35">
      <c r="A126" t="s">
        <v>613</v>
      </c>
      <c r="B126" s="1">
        <v>43009</v>
      </c>
      <c r="C126" s="1">
        <v>43016</v>
      </c>
      <c r="D126" t="s">
        <v>37</v>
      </c>
      <c r="E126" t="s">
        <v>614</v>
      </c>
      <c r="F126" t="s">
        <v>615</v>
      </c>
      <c r="G126" t="s">
        <v>84</v>
      </c>
      <c r="H126" t="s">
        <v>24</v>
      </c>
      <c r="I126" t="s">
        <v>183</v>
      </c>
      <c r="J126" t="s">
        <v>184</v>
      </c>
      <c r="K126" t="s">
        <v>51</v>
      </c>
      <c r="L126" t="s">
        <v>616</v>
      </c>
      <c r="M126" t="s">
        <v>29</v>
      </c>
      <c r="N126" t="s">
        <v>34</v>
      </c>
      <c r="O126" t="s">
        <v>617</v>
      </c>
      <c r="P126">
        <v>451.15199999999999</v>
      </c>
      <c r="Q126">
        <v>3</v>
      </c>
      <c r="R126">
        <v>0</v>
      </c>
      <c r="S126" t="s">
        <v>45</v>
      </c>
    </row>
    <row r="127" spans="1:19" x14ac:dyDescent="0.35">
      <c r="A127" t="s">
        <v>618</v>
      </c>
      <c r="B127" s="1">
        <v>42936</v>
      </c>
      <c r="C127" s="1">
        <v>42942</v>
      </c>
      <c r="D127" t="s">
        <v>37</v>
      </c>
      <c r="E127" t="s">
        <v>619</v>
      </c>
      <c r="F127" t="s">
        <v>620</v>
      </c>
      <c r="G127" t="s">
        <v>23</v>
      </c>
      <c r="H127" t="s">
        <v>24</v>
      </c>
      <c r="I127" t="s">
        <v>125</v>
      </c>
      <c r="J127" t="s">
        <v>126</v>
      </c>
      <c r="K127" t="s">
        <v>87</v>
      </c>
      <c r="L127" t="s">
        <v>621</v>
      </c>
      <c r="M127" t="s">
        <v>29</v>
      </c>
      <c r="N127" t="s">
        <v>53</v>
      </c>
      <c r="O127" t="s">
        <v>622</v>
      </c>
      <c r="P127">
        <v>8.7919999999999998</v>
      </c>
      <c r="Q127">
        <v>1</v>
      </c>
      <c r="R127">
        <v>-5.7148000000000003</v>
      </c>
      <c r="S127" t="s">
        <v>66</v>
      </c>
    </row>
    <row r="128" spans="1:19" x14ac:dyDescent="0.35">
      <c r="A128" t="s">
        <v>623</v>
      </c>
      <c r="B128" s="1">
        <v>42188</v>
      </c>
      <c r="C128" s="1">
        <v>42194</v>
      </c>
      <c r="D128" t="s">
        <v>37</v>
      </c>
      <c r="E128" t="s">
        <v>624</v>
      </c>
      <c r="F128" t="s">
        <v>625</v>
      </c>
      <c r="G128" t="s">
        <v>23</v>
      </c>
      <c r="H128" t="s">
        <v>24</v>
      </c>
      <c r="I128" t="s">
        <v>626</v>
      </c>
      <c r="J128" t="s">
        <v>26</v>
      </c>
      <c r="K128" t="s">
        <v>27</v>
      </c>
      <c r="L128" t="s">
        <v>449</v>
      </c>
      <c r="M128" t="s">
        <v>29</v>
      </c>
      <c r="N128" t="s">
        <v>34</v>
      </c>
      <c r="O128" t="s">
        <v>450</v>
      </c>
      <c r="P128">
        <v>70.98</v>
      </c>
      <c r="Q128">
        <v>1</v>
      </c>
      <c r="R128">
        <v>4.9686000000000003</v>
      </c>
      <c r="S128" t="s">
        <v>66</v>
      </c>
    </row>
    <row r="129" spans="1:19" x14ac:dyDescent="0.35">
      <c r="A129" t="s">
        <v>627</v>
      </c>
      <c r="B129" s="1">
        <v>41859</v>
      </c>
      <c r="C129" s="1">
        <v>41866</v>
      </c>
      <c r="D129" t="s">
        <v>37</v>
      </c>
      <c r="E129" t="s">
        <v>628</v>
      </c>
      <c r="F129" t="s">
        <v>629</v>
      </c>
      <c r="G129" t="s">
        <v>23</v>
      </c>
      <c r="H129" t="s">
        <v>24</v>
      </c>
      <c r="I129" t="s">
        <v>630</v>
      </c>
      <c r="J129" t="s">
        <v>50</v>
      </c>
      <c r="K129" t="s">
        <v>51</v>
      </c>
      <c r="L129" t="s">
        <v>631</v>
      </c>
      <c r="M129" t="s">
        <v>29</v>
      </c>
      <c r="N129" t="s">
        <v>53</v>
      </c>
      <c r="O129" t="s">
        <v>632</v>
      </c>
      <c r="P129">
        <v>327.76</v>
      </c>
      <c r="Q129">
        <v>8</v>
      </c>
      <c r="R129">
        <v>91.772800000000004</v>
      </c>
      <c r="S129" t="s">
        <v>245</v>
      </c>
    </row>
    <row r="130" spans="1:19" x14ac:dyDescent="0.35">
      <c r="A130" t="s">
        <v>633</v>
      </c>
      <c r="B130" s="1">
        <v>41713</v>
      </c>
      <c r="C130" s="1">
        <v>41717</v>
      </c>
      <c r="D130" t="s">
        <v>37</v>
      </c>
      <c r="E130" t="s">
        <v>634</v>
      </c>
      <c r="F130" t="s">
        <v>635</v>
      </c>
      <c r="G130" t="s">
        <v>23</v>
      </c>
      <c r="H130" t="s">
        <v>24</v>
      </c>
      <c r="I130" t="s">
        <v>295</v>
      </c>
      <c r="J130" t="s">
        <v>41</v>
      </c>
      <c r="K130" t="s">
        <v>27</v>
      </c>
      <c r="L130" t="s">
        <v>375</v>
      </c>
      <c r="M130" t="s">
        <v>29</v>
      </c>
      <c r="N130" t="s">
        <v>53</v>
      </c>
      <c r="O130" t="s">
        <v>376</v>
      </c>
      <c r="P130">
        <v>45.695999999999998</v>
      </c>
      <c r="Q130">
        <v>3</v>
      </c>
      <c r="R130">
        <v>5.1407999999999996</v>
      </c>
      <c r="S130" t="s">
        <v>187</v>
      </c>
    </row>
    <row r="131" spans="1:19" x14ac:dyDescent="0.35">
      <c r="A131" t="s">
        <v>636</v>
      </c>
      <c r="B131" s="1">
        <v>42965</v>
      </c>
      <c r="C131" s="1">
        <v>42970</v>
      </c>
      <c r="D131" t="s">
        <v>20</v>
      </c>
      <c r="E131" t="s">
        <v>637</v>
      </c>
      <c r="F131" t="s">
        <v>638</v>
      </c>
      <c r="G131" t="s">
        <v>84</v>
      </c>
      <c r="H131" t="s">
        <v>24</v>
      </c>
      <c r="I131" t="s">
        <v>165</v>
      </c>
      <c r="J131" t="s">
        <v>114</v>
      </c>
      <c r="K131" t="s">
        <v>63</v>
      </c>
      <c r="L131" t="s">
        <v>639</v>
      </c>
      <c r="M131" t="s">
        <v>29</v>
      </c>
      <c r="N131" t="s">
        <v>53</v>
      </c>
      <c r="O131" t="s">
        <v>640</v>
      </c>
      <c r="P131">
        <v>40.479999999999997</v>
      </c>
      <c r="Q131">
        <v>2</v>
      </c>
      <c r="R131">
        <v>15.7872</v>
      </c>
      <c r="S131" t="s">
        <v>245</v>
      </c>
    </row>
    <row r="132" spans="1:19" x14ac:dyDescent="0.35">
      <c r="A132" t="s">
        <v>636</v>
      </c>
      <c r="B132" s="1">
        <v>42965</v>
      </c>
      <c r="C132" s="1">
        <v>42970</v>
      </c>
      <c r="D132" t="s">
        <v>20</v>
      </c>
      <c r="E132" t="s">
        <v>637</v>
      </c>
      <c r="F132" t="s">
        <v>638</v>
      </c>
      <c r="G132" t="s">
        <v>84</v>
      </c>
      <c r="H132" t="s">
        <v>24</v>
      </c>
      <c r="I132" t="s">
        <v>165</v>
      </c>
      <c r="J132" t="s">
        <v>114</v>
      </c>
      <c r="K132" t="s">
        <v>63</v>
      </c>
      <c r="L132" t="s">
        <v>641</v>
      </c>
      <c r="M132" t="s">
        <v>29</v>
      </c>
      <c r="N132" t="s">
        <v>53</v>
      </c>
      <c r="O132" t="s">
        <v>642</v>
      </c>
      <c r="P132">
        <v>9.94</v>
      </c>
      <c r="Q132">
        <v>2</v>
      </c>
      <c r="R132">
        <v>3.0813999999999999</v>
      </c>
      <c r="S132" t="s">
        <v>245</v>
      </c>
    </row>
    <row r="133" spans="1:19" x14ac:dyDescent="0.35">
      <c r="A133" t="s">
        <v>636</v>
      </c>
      <c r="B133" s="1">
        <v>42965</v>
      </c>
      <c r="C133" s="1">
        <v>42970</v>
      </c>
      <c r="D133" t="s">
        <v>20</v>
      </c>
      <c r="E133" t="s">
        <v>637</v>
      </c>
      <c r="F133" t="s">
        <v>638</v>
      </c>
      <c r="G133" t="s">
        <v>84</v>
      </c>
      <c r="H133" t="s">
        <v>24</v>
      </c>
      <c r="I133" t="s">
        <v>165</v>
      </c>
      <c r="J133" t="s">
        <v>114</v>
      </c>
      <c r="K133" t="s">
        <v>63</v>
      </c>
      <c r="L133" t="s">
        <v>224</v>
      </c>
      <c r="M133" t="s">
        <v>29</v>
      </c>
      <c r="N133" t="s">
        <v>53</v>
      </c>
      <c r="O133" t="s">
        <v>225</v>
      </c>
      <c r="P133">
        <v>88.02</v>
      </c>
      <c r="Q133">
        <v>3</v>
      </c>
      <c r="R133">
        <v>27.286200000000001</v>
      </c>
      <c r="S133" t="s">
        <v>245</v>
      </c>
    </row>
    <row r="134" spans="1:19" x14ac:dyDescent="0.35">
      <c r="A134" t="s">
        <v>643</v>
      </c>
      <c r="B134" s="1">
        <v>42337</v>
      </c>
      <c r="C134" s="1">
        <v>42341</v>
      </c>
      <c r="D134" t="s">
        <v>37</v>
      </c>
      <c r="E134" t="s">
        <v>644</v>
      </c>
      <c r="F134" t="s">
        <v>645</v>
      </c>
      <c r="G134" t="s">
        <v>84</v>
      </c>
      <c r="H134" t="s">
        <v>24</v>
      </c>
      <c r="I134" t="s">
        <v>646</v>
      </c>
      <c r="J134" t="s">
        <v>281</v>
      </c>
      <c r="K134" t="s">
        <v>87</v>
      </c>
      <c r="L134" t="s">
        <v>647</v>
      </c>
      <c r="M134" t="s">
        <v>29</v>
      </c>
      <c r="N134" t="s">
        <v>34</v>
      </c>
      <c r="O134" t="s">
        <v>648</v>
      </c>
      <c r="P134">
        <v>301.95999999999998</v>
      </c>
      <c r="Q134">
        <v>2</v>
      </c>
      <c r="R134">
        <v>87.568399999999997</v>
      </c>
      <c r="S134" t="s">
        <v>32</v>
      </c>
    </row>
    <row r="135" spans="1:19" x14ac:dyDescent="0.35">
      <c r="A135" t="s">
        <v>649</v>
      </c>
      <c r="B135" s="1">
        <v>42993</v>
      </c>
      <c r="C135" s="1">
        <v>42997</v>
      </c>
      <c r="D135" t="s">
        <v>37</v>
      </c>
      <c r="E135" t="s">
        <v>650</v>
      </c>
      <c r="F135" t="s">
        <v>651</v>
      </c>
      <c r="G135" t="s">
        <v>94</v>
      </c>
      <c r="H135" t="s">
        <v>24</v>
      </c>
      <c r="I135" t="s">
        <v>165</v>
      </c>
      <c r="J135" t="s">
        <v>114</v>
      </c>
      <c r="K135" t="s">
        <v>63</v>
      </c>
      <c r="L135" t="s">
        <v>652</v>
      </c>
      <c r="M135" t="s">
        <v>29</v>
      </c>
      <c r="N135" t="s">
        <v>53</v>
      </c>
      <c r="O135" t="s">
        <v>653</v>
      </c>
      <c r="P135">
        <v>35.56</v>
      </c>
      <c r="Q135">
        <v>7</v>
      </c>
      <c r="R135">
        <v>12.090400000000001</v>
      </c>
      <c r="S135" t="s">
        <v>72</v>
      </c>
    </row>
    <row r="136" spans="1:19" x14ac:dyDescent="0.35">
      <c r="A136" t="s">
        <v>654</v>
      </c>
      <c r="B136" s="1">
        <v>42281</v>
      </c>
      <c r="C136" s="1">
        <v>42286</v>
      </c>
      <c r="D136" t="s">
        <v>20</v>
      </c>
      <c r="E136" t="s">
        <v>655</v>
      </c>
      <c r="F136" t="s">
        <v>656</v>
      </c>
      <c r="G136" t="s">
        <v>84</v>
      </c>
      <c r="H136" t="s">
        <v>24</v>
      </c>
      <c r="I136" t="s">
        <v>657</v>
      </c>
      <c r="J136" t="s">
        <v>658</v>
      </c>
      <c r="K136" t="s">
        <v>27</v>
      </c>
      <c r="L136" t="s">
        <v>659</v>
      </c>
      <c r="M136" t="s">
        <v>29</v>
      </c>
      <c r="N136" t="s">
        <v>34</v>
      </c>
      <c r="O136" t="s">
        <v>660</v>
      </c>
      <c r="P136">
        <v>392.94</v>
      </c>
      <c r="Q136">
        <v>3</v>
      </c>
      <c r="R136">
        <v>43.223399999999998</v>
      </c>
      <c r="S136" t="s">
        <v>45</v>
      </c>
    </row>
    <row r="137" spans="1:19" x14ac:dyDescent="0.35">
      <c r="A137" t="s">
        <v>661</v>
      </c>
      <c r="B137" s="1">
        <v>42510</v>
      </c>
      <c r="C137" s="1">
        <v>42515</v>
      </c>
      <c r="D137" t="s">
        <v>37</v>
      </c>
      <c r="E137" t="s">
        <v>662</v>
      </c>
      <c r="F137" t="s">
        <v>663</v>
      </c>
      <c r="G137" t="s">
        <v>94</v>
      </c>
      <c r="H137" t="s">
        <v>24</v>
      </c>
      <c r="I137" t="s">
        <v>664</v>
      </c>
      <c r="J137" t="s">
        <v>50</v>
      </c>
      <c r="K137" t="s">
        <v>51</v>
      </c>
      <c r="L137" t="s">
        <v>305</v>
      </c>
      <c r="M137" t="s">
        <v>29</v>
      </c>
      <c r="N137" t="s">
        <v>53</v>
      </c>
      <c r="O137" t="s">
        <v>306</v>
      </c>
      <c r="P137">
        <v>1049.2</v>
      </c>
      <c r="Q137">
        <v>5</v>
      </c>
      <c r="R137">
        <v>272.79199999999997</v>
      </c>
      <c r="S137" t="s">
        <v>153</v>
      </c>
    </row>
    <row r="138" spans="1:19" x14ac:dyDescent="0.35">
      <c r="A138" t="s">
        <v>665</v>
      </c>
      <c r="B138" s="1">
        <v>42722</v>
      </c>
      <c r="C138" s="1">
        <v>42726</v>
      </c>
      <c r="D138" t="s">
        <v>37</v>
      </c>
      <c r="E138" t="s">
        <v>666</v>
      </c>
      <c r="F138" t="s">
        <v>667</v>
      </c>
      <c r="G138" t="s">
        <v>84</v>
      </c>
      <c r="H138" t="s">
        <v>24</v>
      </c>
      <c r="I138" t="s">
        <v>157</v>
      </c>
      <c r="J138" t="s">
        <v>158</v>
      </c>
      <c r="K138" t="s">
        <v>87</v>
      </c>
      <c r="L138" t="s">
        <v>668</v>
      </c>
      <c r="M138" t="s">
        <v>29</v>
      </c>
      <c r="N138" t="s">
        <v>53</v>
      </c>
      <c r="O138" t="s">
        <v>669</v>
      </c>
      <c r="P138">
        <v>18.84</v>
      </c>
      <c r="Q138">
        <v>3</v>
      </c>
      <c r="R138">
        <v>6.0288000000000004</v>
      </c>
      <c r="S138" t="s">
        <v>90</v>
      </c>
    </row>
    <row r="139" spans="1:19" x14ac:dyDescent="0.35">
      <c r="A139" t="s">
        <v>670</v>
      </c>
      <c r="B139" s="1">
        <v>42715</v>
      </c>
      <c r="C139" s="1">
        <v>42720</v>
      </c>
      <c r="D139" t="s">
        <v>20</v>
      </c>
      <c r="E139" t="s">
        <v>671</v>
      </c>
      <c r="F139" t="s">
        <v>672</v>
      </c>
      <c r="G139" t="s">
        <v>84</v>
      </c>
      <c r="H139" t="s">
        <v>24</v>
      </c>
      <c r="I139" t="s">
        <v>673</v>
      </c>
      <c r="J139" t="s">
        <v>184</v>
      </c>
      <c r="K139" t="s">
        <v>51</v>
      </c>
      <c r="L139" t="s">
        <v>437</v>
      </c>
      <c r="M139" t="s">
        <v>29</v>
      </c>
      <c r="N139" t="s">
        <v>53</v>
      </c>
      <c r="O139" t="s">
        <v>438</v>
      </c>
      <c r="P139">
        <v>14.8</v>
      </c>
      <c r="Q139">
        <v>4</v>
      </c>
      <c r="R139">
        <v>6.0679999999999996</v>
      </c>
      <c r="S139" t="s">
        <v>90</v>
      </c>
    </row>
    <row r="140" spans="1:19" x14ac:dyDescent="0.35">
      <c r="A140" t="s">
        <v>674</v>
      </c>
      <c r="B140" s="1">
        <v>42632</v>
      </c>
      <c r="C140" s="1">
        <v>42632</v>
      </c>
      <c r="D140" t="s">
        <v>417</v>
      </c>
      <c r="E140" t="s">
        <v>675</v>
      </c>
      <c r="F140" t="s">
        <v>676</v>
      </c>
      <c r="G140" t="s">
        <v>94</v>
      </c>
      <c r="H140" t="s">
        <v>24</v>
      </c>
      <c r="I140" t="s">
        <v>171</v>
      </c>
      <c r="J140" t="s">
        <v>126</v>
      </c>
      <c r="K140" t="s">
        <v>87</v>
      </c>
      <c r="L140" t="s">
        <v>550</v>
      </c>
      <c r="M140" t="s">
        <v>29</v>
      </c>
      <c r="N140" t="s">
        <v>34</v>
      </c>
      <c r="O140" t="s">
        <v>551</v>
      </c>
      <c r="P140">
        <v>701.37199999999996</v>
      </c>
      <c r="Q140">
        <v>2</v>
      </c>
      <c r="R140">
        <v>-50.097999999999999</v>
      </c>
      <c r="S140" t="s">
        <v>72</v>
      </c>
    </row>
    <row r="141" spans="1:19" x14ac:dyDescent="0.35">
      <c r="A141" t="s">
        <v>677</v>
      </c>
      <c r="B141" s="1">
        <v>42240</v>
      </c>
      <c r="C141" s="1">
        <v>42244</v>
      </c>
      <c r="D141" t="s">
        <v>37</v>
      </c>
      <c r="E141" t="s">
        <v>678</v>
      </c>
      <c r="F141" t="s">
        <v>679</v>
      </c>
      <c r="G141" t="s">
        <v>23</v>
      </c>
      <c r="H141" t="s">
        <v>24</v>
      </c>
      <c r="I141" t="s">
        <v>680</v>
      </c>
      <c r="J141" t="s">
        <v>86</v>
      </c>
      <c r="K141" t="s">
        <v>87</v>
      </c>
      <c r="L141" t="s">
        <v>185</v>
      </c>
      <c r="M141" t="s">
        <v>29</v>
      </c>
      <c r="N141" t="s">
        <v>43</v>
      </c>
      <c r="O141" t="s">
        <v>186</v>
      </c>
      <c r="P141">
        <v>918.78499999999997</v>
      </c>
      <c r="Q141">
        <v>5</v>
      </c>
      <c r="R141">
        <v>-118.12949999999999</v>
      </c>
      <c r="S141" t="s">
        <v>245</v>
      </c>
    </row>
    <row r="142" spans="1:19" x14ac:dyDescent="0.35">
      <c r="A142" t="s">
        <v>681</v>
      </c>
      <c r="B142" s="1">
        <v>41997</v>
      </c>
      <c r="C142" s="1">
        <v>41999</v>
      </c>
      <c r="D142" t="s">
        <v>81</v>
      </c>
      <c r="E142" t="s">
        <v>682</v>
      </c>
      <c r="F142" t="s">
        <v>683</v>
      </c>
      <c r="G142" t="s">
        <v>23</v>
      </c>
      <c r="H142" t="s">
        <v>24</v>
      </c>
      <c r="I142" t="s">
        <v>684</v>
      </c>
      <c r="J142" t="s">
        <v>223</v>
      </c>
      <c r="K142" t="s">
        <v>63</v>
      </c>
      <c r="L142" t="s">
        <v>685</v>
      </c>
      <c r="M142" t="s">
        <v>29</v>
      </c>
      <c r="N142" t="s">
        <v>53</v>
      </c>
      <c r="O142" t="s">
        <v>686</v>
      </c>
      <c r="P142">
        <v>30.36</v>
      </c>
      <c r="Q142">
        <v>5</v>
      </c>
      <c r="R142">
        <v>8.7285000000000004</v>
      </c>
      <c r="S142" t="s">
        <v>90</v>
      </c>
    </row>
    <row r="143" spans="1:19" x14ac:dyDescent="0.35">
      <c r="A143" t="s">
        <v>687</v>
      </c>
      <c r="B143" s="1">
        <v>42895</v>
      </c>
      <c r="C143" s="1">
        <v>42899</v>
      </c>
      <c r="D143" t="s">
        <v>37</v>
      </c>
      <c r="E143" t="s">
        <v>650</v>
      </c>
      <c r="F143" t="s">
        <v>651</v>
      </c>
      <c r="G143" t="s">
        <v>94</v>
      </c>
      <c r="H143" t="s">
        <v>24</v>
      </c>
      <c r="I143" t="s">
        <v>125</v>
      </c>
      <c r="J143" t="s">
        <v>126</v>
      </c>
      <c r="K143" t="s">
        <v>87</v>
      </c>
      <c r="L143" t="s">
        <v>688</v>
      </c>
      <c r="M143" t="s">
        <v>29</v>
      </c>
      <c r="N143" t="s">
        <v>53</v>
      </c>
      <c r="O143" t="s">
        <v>689</v>
      </c>
      <c r="P143">
        <v>23.975999999999999</v>
      </c>
      <c r="Q143">
        <v>3</v>
      </c>
      <c r="R143">
        <v>-14.3856</v>
      </c>
      <c r="S143" t="s">
        <v>55</v>
      </c>
    </row>
    <row r="144" spans="1:19" x14ac:dyDescent="0.35">
      <c r="A144" t="s">
        <v>687</v>
      </c>
      <c r="B144" s="1">
        <v>42895</v>
      </c>
      <c r="C144" s="1">
        <v>42899</v>
      </c>
      <c r="D144" t="s">
        <v>37</v>
      </c>
      <c r="E144" t="s">
        <v>650</v>
      </c>
      <c r="F144" t="s">
        <v>651</v>
      </c>
      <c r="G144" t="s">
        <v>94</v>
      </c>
      <c r="H144" t="s">
        <v>24</v>
      </c>
      <c r="I144" t="s">
        <v>125</v>
      </c>
      <c r="J144" t="s">
        <v>126</v>
      </c>
      <c r="K144" t="s">
        <v>87</v>
      </c>
      <c r="L144" t="s">
        <v>690</v>
      </c>
      <c r="M144" t="s">
        <v>29</v>
      </c>
      <c r="N144" t="s">
        <v>43</v>
      </c>
      <c r="O144" t="s">
        <v>691</v>
      </c>
      <c r="P144">
        <v>108.925</v>
      </c>
      <c r="Q144">
        <v>1</v>
      </c>
      <c r="R144">
        <v>-71.890500000000003</v>
      </c>
      <c r="S144" t="s">
        <v>55</v>
      </c>
    </row>
    <row r="145" spans="1:19" x14ac:dyDescent="0.35">
      <c r="A145" t="s">
        <v>692</v>
      </c>
      <c r="B145" s="1">
        <v>42812</v>
      </c>
      <c r="C145" s="1">
        <v>42817</v>
      </c>
      <c r="D145" t="s">
        <v>37</v>
      </c>
      <c r="E145" t="s">
        <v>693</v>
      </c>
      <c r="F145" t="s">
        <v>694</v>
      </c>
      <c r="G145" t="s">
        <v>23</v>
      </c>
      <c r="H145" t="s">
        <v>24</v>
      </c>
      <c r="I145" t="s">
        <v>695</v>
      </c>
      <c r="J145" t="s">
        <v>86</v>
      </c>
      <c r="K145" t="s">
        <v>87</v>
      </c>
      <c r="L145" t="s">
        <v>696</v>
      </c>
      <c r="M145" t="s">
        <v>29</v>
      </c>
      <c r="N145" t="s">
        <v>53</v>
      </c>
      <c r="O145" t="s">
        <v>697</v>
      </c>
      <c r="P145">
        <v>82.524000000000001</v>
      </c>
      <c r="Q145">
        <v>3</v>
      </c>
      <c r="R145">
        <v>-41.262</v>
      </c>
      <c r="S145" t="s">
        <v>187</v>
      </c>
    </row>
    <row r="146" spans="1:19" x14ac:dyDescent="0.35">
      <c r="A146" t="s">
        <v>698</v>
      </c>
      <c r="B146" s="1">
        <v>43094</v>
      </c>
      <c r="C146" s="1">
        <v>43098</v>
      </c>
      <c r="D146" t="s">
        <v>37</v>
      </c>
      <c r="E146" t="s">
        <v>699</v>
      </c>
      <c r="F146" t="s">
        <v>700</v>
      </c>
      <c r="G146" t="s">
        <v>23</v>
      </c>
      <c r="H146" t="s">
        <v>24</v>
      </c>
      <c r="I146" t="s">
        <v>165</v>
      </c>
      <c r="J146" t="s">
        <v>114</v>
      </c>
      <c r="K146" t="s">
        <v>63</v>
      </c>
      <c r="L146" t="s">
        <v>701</v>
      </c>
      <c r="M146" t="s">
        <v>29</v>
      </c>
      <c r="N146" t="s">
        <v>30</v>
      </c>
      <c r="O146" t="s">
        <v>702</v>
      </c>
      <c r="P146">
        <v>191.98400000000001</v>
      </c>
      <c r="Q146">
        <v>2</v>
      </c>
      <c r="R146">
        <v>4.7995999999999999</v>
      </c>
      <c r="S146" t="s">
        <v>90</v>
      </c>
    </row>
    <row r="147" spans="1:19" x14ac:dyDescent="0.35">
      <c r="A147" t="s">
        <v>703</v>
      </c>
      <c r="B147" s="1">
        <v>41811</v>
      </c>
      <c r="C147" s="1">
        <v>41813</v>
      </c>
      <c r="D147" t="s">
        <v>20</v>
      </c>
      <c r="E147" t="s">
        <v>704</v>
      </c>
      <c r="F147" t="s">
        <v>705</v>
      </c>
      <c r="G147" t="s">
        <v>23</v>
      </c>
      <c r="H147" t="s">
        <v>24</v>
      </c>
      <c r="I147" t="s">
        <v>706</v>
      </c>
      <c r="J147" t="s">
        <v>707</v>
      </c>
      <c r="K147" t="s">
        <v>27</v>
      </c>
      <c r="L147" t="s">
        <v>708</v>
      </c>
      <c r="M147" t="s">
        <v>29</v>
      </c>
      <c r="N147" t="s">
        <v>53</v>
      </c>
      <c r="O147" t="s">
        <v>709</v>
      </c>
      <c r="P147">
        <v>104.01</v>
      </c>
      <c r="Q147">
        <v>1</v>
      </c>
      <c r="R147">
        <v>14.561400000000001</v>
      </c>
      <c r="S147" t="s">
        <v>55</v>
      </c>
    </row>
    <row r="148" spans="1:19" x14ac:dyDescent="0.35">
      <c r="A148" t="s">
        <v>710</v>
      </c>
      <c r="B148" s="1">
        <v>42980</v>
      </c>
      <c r="C148" s="1">
        <v>42986</v>
      </c>
      <c r="D148" t="s">
        <v>37</v>
      </c>
      <c r="E148" t="s">
        <v>711</v>
      </c>
      <c r="F148" t="s">
        <v>712</v>
      </c>
      <c r="G148" t="s">
        <v>84</v>
      </c>
      <c r="H148" t="s">
        <v>24</v>
      </c>
      <c r="I148" t="s">
        <v>684</v>
      </c>
      <c r="J148" t="s">
        <v>223</v>
      </c>
      <c r="K148" t="s">
        <v>63</v>
      </c>
      <c r="L148" t="s">
        <v>263</v>
      </c>
      <c r="M148" t="s">
        <v>29</v>
      </c>
      <c r="N148" t="s">
        <v>53</v>
      </c>
      <c r="O148" t="s">
        <v>264</v>
      </c>
      <c r="P148">
        <v>15.071999999999999</v>
      </c>
      <c r="Q148">
        <v>3</v>
      </c>
      <c r="R148">
        <v>4.1448</v>
      </c>
      <c r="S148" t="s">
        <v>72</v>
      </c>
    </row>
    <row r="149" spans="1:19" x14ac:dyDescent="0.35">
      <c r="A149" t="s">
        <v>713</v>
      </c>
      <c r="B149" s="1">
        <v>42678</v>
      </c>
      <c r="C149" s="1">
        <v>42682</v>
      </c>
      <c r="D149" t="s">
        <v>20</v>
      </c>
      <c r="E149" t="s">
        <v>714</v>
      </c>
      <c r="F149" t="s">
        <v>715</v>
      </c>
      <c r="G149" t="s">
        <v>84</v>
      </c>
      <c r="H149" t="s">
        <v>24</v>
      </c>
      <c r="I149" t="s">
        <v>183</v>
      </c>
      <c r="J149" t="s">
        <v>184</v>
      </c>
      <c r="K149" t="s">
        <v>51</v>
      </c>
      <c r="L149" t="s">
        <v>716</v>
      </c>
      <c r="M149" t="s">
        <v>29</v>
      </c>
      <c r="N149" t="s">
        <v>53</v>
      </c>
      <c r="O149" t="s">
        <v>717</v>
      </c>
      <c r="P149">
        <v>209.88</v>
      </c>
      <c r="Q149">
        <v>3</v>
      </c>
      <c r="R149">
        <v>35.679600000000001</v>
      </c>
      <c r="S149" t="s">
        <v>32</v>
      </c>
    </row>
    <row r="150" spans="1:19" x14ac:dyDescent="0.35">
      <c r="A150" t="s">
        <v>718</v>
      </c>
      <c r="B150" s="1">
        <v>42103</v>
      </c>
      <c r="C150" s="1">
        <v>42108</v>
      </c>
      <c r="D150" t="s">
        <v>37</v>
      </c>
      <c r="E150" t="s">
        <v>719</v>
      </c>
      <c r="F150" t="s">
        <v>720</v>
      </c>
      <c r="G150" t="s">
        <v>23</v>
      </c>
      <c r="H150" t="s">
        <v>24</v>
      </c>
      <c r="I150" t="s">
        <v>721</v>
      </c>
      <c r="J150" t="s">
        <v>50</v>
      </c>
      <c r="K150" t="s">
        <v>51</v>
      </c>
      <c r="L150" t="s">
        <v>722</v>
      </c>
      <c r="M150" t="s">
        <v>29</v>
      </c>
      <c r="N150" t="s">
        <v>43</v>
      </c>
      <c r="O150" t="s">
        <v>723</v>
      </c>
      <c r="P150">
        <v>369.91199999999998</v>
      </c>
      <c r="Q150">
        <v>3</v>
      </c>
      <c r="R150">
        <v>-13.871700000000001</v>
      </c>
      <c r="S150" t="s">
        <v>107</v>
      </c>
    </row>
    <row r="151" spans="1:19" x14ac:dyDescent="0.35">
      <c r="A151" t="s">
        <v>724</v>
      </c>
      <c r="B151" s="1">
        <v>41975</v>
      </c>
      <c r="C151" s="1">
        <v>41977</v>
      </c>
      <c r="D151" t="s">
        <v>81</v>
      </c>
      <c r="E151" t="s">
        <v>725</v>
      </c>
      <c r="F151" t="s">
        <v>726</v>
      </c>
      <c r="G151" t="s">
        <v>23</v>
      </c>
      <c r="H151" t="s">
        <v>24</v>
      </c>
      <c r="I151" t="s">
        <v>165</v>
      </c>
      <c r="J151" t="s">
        <v>114</v>
      </c>
      <c r="K151" t="s">
        <v>63</v>
      </c>
      <c r="L151" t="s">
        <v>727</v>
      </c>
      <c r="M151" t="s">
        <v>29</v>
      </c>
      <c r="N151" t="s">
        <v>30</v>
      </c>
      <c r="O151" t="s">
        <v>728</v>
      </c>
      <c r="P151">
        <v>883.92</v>
      </c>
      <c r="Q151">
        <v>5</v>
      </c>
      <c r="R151">
        <v>-110.49</v>
      </c>
      <c r="S151" t="s">
        <v>90</v>
      </c>
    </row>
    <row r="152" spans="1:19" x14ac:dyDescent="0.35">
      <c r="A152" t="s">
        <v>729</v>
      </c>
      <c r="B152" s="1">
        <v>41650</v>
      </c>
      <c r="C152" s="1">
        <v>41653</v>
      </c>
      <c r="D152" t="s">
        <v>81</v>
      </c>
      <c r="E152" t="s">
        <v>730</v>
      </c>
      <c r="F152" t="s">
        <v>731</v>
      </c>
      <c r="G152" t="s">
        <v>23</v>
      </c>
      <c r="H152" t="s">
        <v>24</v>
      </c>
      <c r="I152" t="s">
        <v>732</v>
      </c>
      <c r="J152" t="s">
        <v>192</v>
      </c>
      <c r="K152" t="s">
        <v>63</v>
      </c>
      <c r="L152" t="s">
        <v>641</v>
      </c>
      <c r="M152" t="s">
        <v>29</v>
      </c>
      <c r="N152" t="s">
        <v>53</v>
      </c>
      <c r="O152" t="s">
        <v>642</v>
      </c>
      <c r="P152">
        <v>9.94</v>
      </c>
      <c r="Q152">
        <v>2</v>
      </c>
      <c r="R152">
        <v>3.0813999999999999</v>
      </c>
      <c r="S152" t="s">
        <v>161</v>
      </c>
    </row>
    <row r="153" spans="1:19" x14ac:dyDescent="0.35">
      <c r="A153" t="s">
        <v>733</v>
      </c>
      <c r="B153" s="1">
        <v>43002</v>
      </c>
      <c r="C153" s="1">
        <v>43007</v>
      </c>
      <c r="D153" t="s">
        <v>37</v>
      </c>
      <c r="E153" t="s">
        <v>734</v>
      </c>
      <c r="F153" t="s">
        <v>735</v>
      </c>
      <c r="G153" t="s">
        <v>23</v>
      </c>
      <c r="H153" t="s">
        <v>24</v>
      </c>
      <c r="I153" t="s">
        <v>222</v>
      </c>
      <c r="J153" t="s">
        <v>223</v>
      </c>
      <c r="K153" t="s">
        <v>63</v>
      </c>
      <c r="L153" t="s">
        <v>736</v>
      </c>
      <c r="M153" t="s">
        <v>29</v>
      </c>
      <c r="N153" t="s">
        <v>53</v>
      </c>
      <c r="O153" t="s">
        <v>737</v>
      </c>
      <c r="P153">
        <v>103.056</v>
      </c>
      <c r="Q153">
        <v>3</v>
      </c>
      <c r="R153">
        <v>24.4758</v>
      </c>
      <c r="S153" t="s">
        <v>72</v>
      </c>
    </row>
    <row r="154" spans="1:19" x14ac:dyDescent="0.35">
      <c r="A154" t="s">
        <v>738</v>
      </c>
      <c r="B154" s="1">
        <v>41792</v>
      </c>
      <c r="C154" s="1">
        <v>41797</v>
      </c>
      <c r="D154" t="s">
        <v>37</v>
      </c>
      <c r="E154" t="s">
        <v>739</v>
      </c>
      <c r="F154" t="s">
        <v>740</v>
      </c>
      <c r="G154" t="s">
        <v>94</v>
      </c>
      <c r="H154" t="s">
        <v>24</v>
      </c>
      <c r="I154" t="s">
        <v>70</v>
      </c>
      <c r="J154" t="s">
        <v>71</v>
      </c>
      <c r="K154" t="s">
        <v>51</v>
      </c>
      <c r="L154" t="s">
        <v>484</v>
      </c>
      <c r="M154" t="s">
        <v>29</v>
      </c>
      <c r="N154" t="s">
        <v>53</v>
      </c>
      <c r="O154" t="s">
        <v>485</v>
      </c>
      <c r="P154">
        <v>73.319999999999993</v>
      </c>
      <c r="Q154">
        <v>6</v>
      </c>
      <c r="R154">
        <v>21.995999999999999</v>
      </c>
      <c r="S154" t="s">
        <v>55</v>
      </c>
    </row>
    <row r="155" spans="1:19" x14ac:dyDescent="0.35">
      <c r="A155" t="s">
        <v>741</v>
      </c>
      <c r="B155" s="1">
        <v>42719</v>
      </c>
      <c r="C155" s="1">
        <v>42723</v>
      </c>
      <c r="D155" t="s">
        <v>37</v>
      </c>
      <c r="E155" t="s">
        <v>460</v>
      </c>
      <c r="F155" t="s">
        <v>461</v>
      </c>
      <c r="G155" t="s">
        <v>84</v>
      </c>
      <c r="H155" t="s">
        <v>24</v>
      </c>
      <c r="I155" t="s">
        <v>280</v>
      </c>
      <c r="J155" t="s">
        <v>281</v>
      </c>
      <c r="K155" t="s">
        <v>87</v>
      </c>
      <c r="L155" t="s">
        <v>742</v>
      </c>
      <c r="M155" t="s">
        <v>29</v>
      </c>
      <c r="N155" t="s">
        <v>43</v>
      </c>
      <c r="O155" t="s">
        <v>743</v>
      </c>
      <c r="P155">
        <v>1652.94</v>
      </c>
      <c r="Q155">
        <v>3</v>
      </c>
      <c r="R155">
        <v>231.41159999999999</v>
      </c>
      <c r="S155" t="s">
        <v>90</v>
      </c>
    </row>
    <row r="156" spans="1:19" x14ac:dyDescent="0.35">
      <c r="A156" t="s">
        <v>744</v>
      </c>
      <c r="B156" s="1">
        <v>41919</v>
      </c>
      <c r="C156" s="1">
        <v>41925</v>
      </c>
      <c r="D156" t="s">
        <v>37</v>
      </c>
      <c r="E156" t="s">
        <v>745</v>
      </c>
      <c r="F156" t="s">
        <v>746</v>
      </c>
      <c r="G156" t="s">
        <v>94</v>
      </c>
      <c r="H156" t="s">
        <v>24</v>
      </c>
      <c r="I156" t="s">
        <v>61</v>
      </c>
      <c r="J156" t="s">
        <v>62</v>
      </c>
      <c r="K156" t="s">
        <v>63</v>
      </c>
      <c r="L156" t="s">
        <v>747</v>
      </c>
      <c r="M156" t="s">
        <v>29</v>
      </c>
      <c r="N156" t="s">
        <v>53</v>
      </c>
      <c r="O156" t="s">
        <v>748</v>
      </c>
      <c r="P156">
        <v>129.91999999999999</v>
      </c>
      <c r="Q156">
        <v>5</v>
      </c>
      <c r="R156">
        <v>21.111999999999998</v>
      </c>
      <c r="S156" t="s">
        <v>45</v>
      </c>
    </row>
    <row r="157" spans="1:19" x14ac:dyDescent="0.35">
      <c r="A157" t="s">
        <v>749</v>
      </c>
      <c r="B157" s="1">
        <v>42707</v>
      </c>
      <c r="C157" s="1">
        <v>42710</v>
      </c>
      <c r="D157" t="s">
        <v>81</v>
      </c>
      <c r="E157" t="s">
        <v>750</v>
      </c>
      <c r="F157" t="s">
        <v>751</v>
      </c>
      <c r="G157" t="s">
        <v>23</v>
      </c>
      <c r="H157" t="s">
        <v>24</v>
      </c>
      <c r="I157" t="s">
        <v>752</v>
      </c>
      <c r="J157" t="s">
        <v>114</v>
      </c>
      <c r="K157" t="s">
        <v>63</v>
      </c>
      <c r="L157" t="s">
        <v>753</v>
      </c>
      <c r="M157" t="s">
        <v>29</v>
      </c>
      <c r="N157" t="s">
        <v>43</v>
      </c>
      <c r="O157" t="s">
        <v>754</v>
      </c>
      <c r="P157">
        <v>400.03199999999998</v>
      </c>
      <c r="Q157">
        <v>2</v>
      </c>
      <c r="R157">
        <v>-153.34559999999999</v>
      </c>
      <c r="S157" t="s">
        <v>90</v>
      </c>
    </row>
    <row r="158" spans="1:19" x14ac:dyDescent="0.35">
      <c r="A158" t="s">
        <v>749</v>
      </c>
      <c r="B158" s="1">
        <v>42707</v>
      </c>
      <c r="C158" s="1">
        <v>42710</v>
      </c>
      <c r="D158" t="s">
        <v>81</v>
      </c>
      <c r="E158" t="s">
        <v>750</v>
      </c>
      <c r="F158" t="s">
        <v>751</v>
      </c>
      <c r="G158" t="s">
        <v>23</v>
      </c>
      <c r="H158" t="s">
        <v>24</v>
      </c>
      <c r="I158" t="s">
        <v>752</v>
      </c>
      <c r="J158" t="s">
        <v>114</v>
      </c>
      <c r="K158" t="s">
        <v>63</v>
      </c>
      <c r="L158" t="s">
        <v>321</v>
      </c>
      <c r="M158" t="s">
        <v>29</v>
      </c>
      <c r="N158" t="s">
        <v>34</v>
      </c>
      <c r="O158" t="s">
        <v>322</v>
      </c>
      <c r="P158">
        <v>542.64599999999996</v>
      </c>
      <c r="Q158">
        <v>3</v>
      </c>
      <c r="R158">
        <v>102.49979999999999</v>
      </c>
      <c r="S158" t="s">
        <v>90</v>
      </c>
    </row>
    <row r="159" spans="1:19" x14ac:dyDescent="0.35">
      <c r="A159" t="s">
        <v>755</v>
      </c>
      <c r="B159" s="1">
        <v>42756</v>
      </c>
      <c r="C159" s="1">
        <v>42760</v>
      </c>
      <c r="D159" t="s">
        <v>37</v>
      </c>
      <c r="E159" t="s">
        <v>756</v>
      </c>
      <c r="F159" t="s">
        <v>757</v>
      </c>
      <c r="G159" t="s">
        <v>94</v>
      </c>
      <c r="H159" t="s">
        <v>24</v>
      </c>
      <c r="I159" t="s">
        <v>183</v>
      </c>
      <c r="J159" t="s">
        <v>184</v>
      </c>
      <c r="K159" t="s">
        <v>51</v>
      </c>
      <c r="L159" t="s">
        <v>758</v>
      </c>
      <c r="M159" t="s">
        <v>29</v>
      </c>
      <c r="N159" t="s">
        <v>30</v>
      </c>
      <c r="O159" t="s">
        <v>759</v>
      </c>
      <c r="P159">
        <v>84.98</v>
      </c>
      <c r="Q159">
        <v>1</v>
      </c>
      <c r="R159">
        <v>18.695599999999999</v>
      </c>
      <c r="S159" t="s">
        <v>161</v>
      </c>
    </row>
    <row r="160" spans="1:19" x14ac:dyDescent="0.35">
      <c r="A160" t="s">
        <v>760</v>
      </c>
      <c r="B160" s="1">
        <v>41786</v>
      </c>
      <c r="C160" s="1">
        <v>41786</v>
      </c>
      <c r="D160" t="s">
        <v>417</v>
      </c>
      <c r="E160" t="s">
        <v>761</v>
      </c>
      <c r="F160" t="s">
        <v>762</v>
      </c>
      <c r="G160" t="s">
        <v>84</v>
      </c>
      <c r="H160" t="s">
        <v>24</v>
      </c>
      <c r="I160" t="s">
        <v>630</v>
      </c>
      <c r="J160" t="s">
        <v>50</v>
      </c>
      <c r="K160" t="s">
        <v>51</v>
      </c>
      <c r="L160" t="s">
        <v>309</v>
      </c>
      <c r="M160" t="s">
        <v>29</v>
      </c>
      <c r="N160" t="s">
        <v>43</v>
      </c>
      <c r="O160" t="s">
        <v>310</v>
      </c>
      <c r="P160">
        <v>567.12</v>
      </c>
      <c r="Q160">
        <v>10</v>
      </c>
      <c r="R160">
        <v>-28.356000000000002</v>
      </c>
      <c r="S160" t="s">
        <v>153</v>
      </c>
    </row>
    <row r="161" spans="1:19" x14ac:dyDescent="0.35">
      <c r="A161" t="s">
        <v>763</v>
      </c>
      <c r="B161" s="1">
        <v>43010</v>
      </c>
      <c r="C161" s="1">
        <v>43014</v>
      </c>
      <c r="D161" t="s">
        <v>37</v>
      </c>
      <c r="E161" t="s">
        <v>764</v>
      </c>
      <c r="F161" t="s">
        <v>765</v>
      </c>
      <c r="G161" t="s">
        <v>23</v>
      </c>
      <c r="H161" t="s">
        <v>24</v>
      </c>
      <c r="I161" t="s">
        <v>766</v>
      </c>
      <c r="J161" t="s">
        <v>281</v>
      </c>
      <c r="K161" t="s">
        <v>87</v>
      </c>
      <c r="L161" t="s">
        <v>767</v>
      </c>
      <c r="M161" t="s">
        <v>29</v>
      </c>
      <c r="N161" t="s">
        <v>53</v>
      </c>
      <c r="O161" t="s">
        <v>768</v>
      </c>
      <c r="P161">
        <v>157.74</v>
      </c>
      <c r="Q161">
        <v>11</v>
      </c>
      <c r="R161">
        <v>56.7864</v>
      </c>
      <c r="S161" t="s">
        <v>45</v>
      </c>
    </row>
    <row r="162" spans="1:19" x14ac:dyDescent="0.35">
      <c r="A162" t="s">
        <v>769</v>
      </c>
      <c r="B162" s="1">
        <v>42345</v>
      </c>
      <c r="C162" s="1">
        <v>42350</v>
      </c>
      <c r="D162" t="s">
        <v>37</v>
      </c>
      <c r="E162" t="s">
        <v>770</v>
      </c>
      <c r="F162" t="s">
        <v>771</v>
      </c>
      <c r="G162" t="s">
        <v>23</v>
      </c>
      <c r="H162" t="s">
        <v>24</v>
      </c>
      <c r="I162" t="s">
        <v>49</v>
      </c>
      <c r="J162" t="s">
        <v>50</v>
      </c>
      <c r="K162" t="s">
        <v>51</v>
      </c>
      <c r="L162" t="s">
        <v>688</v>
      </c>
      <c r="M162" t="s">
        <v>29</v>
      </c>
      <c r="N162" t="s">
        <v>53</v>
      </c>
      <c r="O162" t="s">
        <v>689</v>
      </c>
      <c r="P162">
        <v>79.92</v>
      </c>
      <c r="Q162">
        <v>4</v>
      </c>
      <c r="R162">
        <v>28.7712</v>
      </c>
      <c r="S162" t="s">
        <v>90</v>
      </c>
    </row>
    <row r="163" spans="1:19" x14ac:dyDescent="0.35">
      <c r="A163" t="s">
        <v>772</v>
      </c>
      <c r="B163" s="1">
        <v>42631</v>
      </c>
      <c r="C163" s="1">
        <v>42635</v>
      </c>
      <c r="D163" t="s">
        <v>37</v>
      </c>
      <c r="E163" t="s">
        <v>773</v>
      </c>
      <c r="F163" t="s">
        <v>774</v>
      </c>
      <c r="G163" t="s">
        <v>84</v>
      </c>
      <c r="H163" t="s">
        <v>24</v>
      </c>
      <c r="I163" t="s">
        <v>597</v>
      </c>
      <c r="J163" t="s">
        <v>41</v>
      </c>
      <c r="K163" t="s">
        <v>27</v>
      </c>
      <c r="L163" t="s">
        <v>775</v>
      </c>
      <c r="M163" t="s">
        <v>29</v>
      </c>
      <c r="N163" t="s">
        <v>43</v>
      </c>
      <c r="O163" t="s">
        <v>776</v>
      </c>
      <c r="P163">
        <v>383.43799999999999</v>
      </c>
      <c r="Q163">
        <v>4</v>
      </c>
      <c r="R163">
        <v>-167.3184</v>
      </c>
      <c r="S163" t="s">
        <v>72</v>
      </c>
    </row>
    <row r="164" spans="1:19" x14ac:dyDescent="0.35">
      <c r="A164" t="s">
        <v>777</v>
      </c>
      <c r="B164" s="1">
        <v>41773</v>
      </c>
      <c r="C164" s="1">
        <v>41779</v>
      </c>
      <c r="D164" t="s">
        <v>37</v>
      </c>
      <c r="E164" t="s">
        <v>778</v>
      </c>
      <c r="F164" t="s">
        <v>779</v>
      </c>
      <c r="G164" t="s">
        <v>84</v>
      </c>
      <c r="H164" t="s">
        <v>24</v>
      </c>
      <c r="I164" t="s">
        <v>780</v>
      </c>
      <c r="J164" t="s">
        <v>41</v>
      </c>
      <c r="K164" t="s">
        <v>27</v>
      </c>
      <c r="L164" t="s">
        <v>781</v>
      </c>
      <c r="M164" t="s">
        <v>29</v>
      </c>
      <c r="N164" t="s">
        <v>53</v>
      </c>
      <c r="O164" t="s">
        <v>782</v>
      </c>
      <c r="P164">
        <v>310.88</v>
      </c>
      <c r="Q164">
        <v>2</v>
      </c>
      <c r="R164">
        <v>23.315999999999999</v>
      </c>
      <c r="S164" t="s">
        <v>153</v>
      </c>
    </row>
    <row r="165" spans="1:19" x14ac:dyDescent="0.35">
      <c r="A165" t="s">
        <v>783</v>
      </c>
      <c r="B165" s="1">
        <v>42509</v>
      </c>
      <c r="C165" s="1">
        <v>42514</v>
      </c>
      <c r="D165" t="s">
        <v>37</v>
      </c>
      <c r="E165" t="s">
        <v>784</v>
      </c>
      <c r="F165" t="s">
        <v>785</v>
      </c>
      <c r="G165" t="s">
        <v>23</v>
      </c>
      <c r="H165" t="s">
        <v>24</v>
      </c>
      <c r="I165" t="s">
        <v>680</v>
      </c>
      <c r="J165" t="s">
        <v>707</v>
      </c>
      <c r="K165" t="s">
        <v>27</v>
      </c>
      <c r="L165" t="s">
        <v>786</v>
      </c>
      <c r="M165" t="s">
        <v>29</v>
      </c>
      <c r="N165" t="s">
        <v>34</v>
      </c>
      <c r="O165" t="s">
        <v>787</v>
      </c>
      <c r="P165">
        <v>641.96</v>
      </c>
      <c r="Q165">
        <v>2</v>
      </c>
      <c r="R165">
        <v>179.74879999999999</v>
      </c>
      <c r="S165" t="s">
        <v>153</v>
      </c>
    </row>
    <row r="166" spans="1:19" x14ac:dyDescent="0.35">
      <c r="A166" t="s">
        <v>788</v>
      </c>
      <c r="B166" s="1">
        <v>42765</v>
      </c>
      <c r="C166" s="1">
        <v>42771</v>
      </c>
      <c r="D166" t="s">
        <v>37</v>
      </c>
      <c r="E166" t="s">
        <v>789</v>
      </c>
      <c r="F166" t="s">
        <v>790</v>
      </c>
      <c r="G166" t="s">
        <v>84</v>
      </c>
      <c r="H166" t="s">
        <v>24</v>
      </c>
      <c r="I166" t="s">
        <v>791</v>
      </c>
      <c r="J166" t="s">
        <v>792</v>
      </c>
      <c r="K166" t="s">
        <v>87</v>
      </c>
      <c r="L166" t="s">
        <v>793</v>
      </c>
      <c r="M166" t="s">
        <v>29</v>
      </c>
      <c r="N166" t="s">
        <v>53</v>
      </c>
      <c r="O166" t="s">
        <v>794</v>
      </c>
      <c r="P166">
        <v>34.58</v>
      </c>
      <c r="Q166">
        <v>7</v>
      </c>
      <c r="R166">
        <v>14.5236</v>
      </c>
      <c r="S166" t="s">
        <v>161</v>
      </c>
    </row>
    <row r="167" spans="1:19" x14ac:dyDescent="0.35">
      <c r="A167" t="s">
        <v>795</v>
      </c>
      <c r="B167" s="1">
        <v>42237</v>
      </c>
      <c r="C167" s="1">
        <v>42239</v>
      </c>
      <c r="D167" t="s">
        <v>81</v>
      </c>
      <c r="E167" t="s">
        <v>337</v>
      </c>
      <c r="F167" t="s">
        <v>338</v>
      </c>
      <c r="G167" t="s">
        <v>94</v>
      </c>
      <c r="H167" t="s">
        <v>24</v>
      </c>
      <c r="I167" t="s">
        <v>320</v>
      </c>
      <c r="J167" t="s">
        <v>50</v>
      </c>
      <c r="K167" t="s">
        <v>51</v>
      </c>
      <c r="L167" t="s">
        <v>796</v>
      </c>
      <c r="M167" t="s">
        <v>29</v>
      </c>
      <c r="N167" t="s">
        <v>34</v>
      </c>
      <c r="O167" t="s">
        <v>797</v>
      </c>
      <c r="P167">
        <v>544.00800000000004</v>
      </c>
      <c r="Q167">
        <v>3</v>
      </c>
      <c r="R167">
        <v>40.800600000000003</v>
      </c>
      <c r="S167" t="s">
        <v>245</v>
      </c>
    </row>
    <row r="168" spans="1:19" x14ac:dyDescent="0.35">
      <c r="A168" t="s">
        <v>798</v>
      </c>
      <c r="B168" s="1">
        <v>42280</v>
      </c>
      <c r="C168" s="1">
        <v>42283</v>
      </c>
      <c r="D168" t="s">
        <v>20</v>
      </c>
      <c r="E168" t="s">
        <v>799</v>
      </c>
      <c r="F168" t="s">
        <v>800</v>
      </c>
      <c r="G168" t="s">
        <v>23</v>
      </c>
      <c r="H168" t="s">
        <v>24</v>
      </c>
      <c r="I168" t="s">
        <v>339</v>
      </c>
      <c r="J168" t="s">
        <v>223</v>
      </c>
      <c r="K168" t="s">
        <v>63</v>
      </c>
      <c r="L168" t="s">
        <v>801</v>
      </c>
      <c r="M168" t="s">
        <v>29</v>
      </c>
      <c r="N168" t="s">
        <v>30</v>
      </c>
      <c r="O168" t="s">
        <v>802</v>
      </c>
      <c r="P168">
        <v>35.49</v>
      </c>
      <c r="Q168">
        <v>1</v>
      </c>
      <c r="R168">
        <v>-15.615600000000001</v>
      </c>
      <c r="S168" t="s">
        <v>45</v>
      </c>
    </row>
    <row r="169" spans="1:19" x14ac:dyDescent="0.35">
      <c r="A169" t="s">
        <v>803</v>
      </c>
      <c r="B169" s="1">
        <v>42350</v>
      </c>
      <c r="C169" s="1">
        <v>42354</v>
      </c>
      <c r="D169" t="s">
        <v>37</v>
      </c>
      <c r="E169" t="s">
        <v>804</v>
      </c>
      <c r="F169" t="s">
        <v>805</v>
      </c>
      <c r="G169" t="s">
        <v>23</v>
      </c>
      <c r="H169" t="s">
        <v>24</v>
      </c>
      <c r="I169" t="s">
        <v>806</v>
      </c>
      <c r="J169" t="s">
        <v>50</v>
      </c>
      <c r="K169" t="s">
        <v>51</v>
      </c>
      <c r="L169" t="s">
        <v>807</v>
      </c>
      <c r="M169" t="s">
        <v>29</v>
      </c>
      <c r="N169" t="s">
        <v>34</v>
      </c>
      <c r="O169" t="s">
        <v>808</v>
      </c>
      <c r="P169">
        <v>348.928</v>
      </c>
      <c r="Q169">
        <v>2</v>
      </c>
      <c r="R169">
        <v>34.892800000000001</v>
      </c>
      <c r="S169" t="s">
        <v>90</v>
      </c>
    </row>
    <row r="170" spans="1:19" x14ac:dyDescent="0.35">
      <c r="A170" t="s">
        <v>809</v>
      </c>
      <c r="B170" s="1">
        <v>42181</v>
      </c>
      <c r="C170" s="1">
        <v>42185</v>
      </c>
      <c r="D170" t="s">
        <v>37</v>
      </c>
      <c r="E170" t="s">
        <v>810</v>
      </c>
      <c r="F170" t="s">
        <v>811</v>
      </c>
      <c r="G170" t="s">
        <v>23</v>
      </c>
      <c r="H170" t="s">
        <v>24</v>
      </c>
      <c r="I170" t="s">
        <v>626</v>
      </c>
      <c r="J170" t="s">
        <v>707</v>
      </c>
      <c r="K170" t="s">
        <v>27</v>
      </c>
      <c r="L170" t="s">
        <v>812</v>
      </c>
      <c r="M170" t="s">
        <v>29</v>
      </c>
      <c r="N170" t="s">
        <v>34</v>
      </c>
      <c r="O170" t="s">
        <v>813</v>
      </c>
      <c r="P170">
        <v>332.94</v>
      </c>
      <c r="Q170">
        <v>3</v>
      </c>
      <c r="R170">
        <v>79.905600000000007</v>
      </c>
      <c r="S170" t="s">
        <v>55</v>
      </c>
    </row>
    <row r="171" spans="1:19" x14ac:dyDescent="0.35">
      <c r="A171" t="s">
        <v>814</v>
      </c>
      <c r="B171" s="1">
        <v>42335</v>
      </c>
      <c r="C171" s="1">
        <v>42341</v>
      </c>
      <c r="D171" t="s">
        <v>37</v>
      </c>
      <c r="E171" t="s">
        <v>815</v>
      </c>
      <c r="F171" t="s">
        <v>816</v>
      </c>
      <c r="G171" t="s">
        <v>23</v>
      </c>
      <c r="H171" t="s">
        <v>24</v>
      </c>
      <c r="I171" t="s">
        <v>817</v>
      </c>
      <c r="J171" t="s">
        <v>50</v>
      </c>
      <c r="K171" t="s">
        <v>51</v>
      </c>
      <c r="L171" t="s">
        <v>581</v>
      </c>
      <c r="M171" t="s">
        <v>29</v>
      </c>
      <c r="N171" t="s">
        <v>34</v>
      </c>
      <c r="O171" t="s">
        <v>582</v>
      </c>
      <c r="P171">
        <v>283.92</v>
      </c>
      <c r="Q171">
        <v>5</v>
      </c>
      <c r="R171">
        <v>17.745000000000001</v>
      </c>
      <c r="S171" t="s">
        <v>32</v>
      </c>
    </row>
    <row r="172" spans="1:19" x14ac:dyDescent="0.35">
      <c r="A172" t="s">
        <v>818</v>
      </c>
      <c r="B172" s="1">
        <v>42786</v>
      </c>
      <c r="C172" s="1">
        <v>42789</v>
      </c>
      <c r="D172" t="s">
        <v>81</v>
      </c>
      <c r="E172" t="s">
        <v>819</v>
      </c>
      <c r="F172" t="s">
        <v>820</v>
      </c>
      <c r="G172" t="s">
        <v>84</v>
      </c>
      <c r="H172" t="s">
        <v>24</v>
      </c>
      <c r="I172" t="s">
        <v>630</v>
      </c>
      <c r="J172" t="s">
        <v>50</v>
      </c>
      <c r="K172" t="s">
        <v>51</v>
      </c>
      <c r="L172" t="s">
        <v>821</v>
      </c>
      <c r="M172" t="s">
        <v>29</v>
      </c>
      <c r="N172" t="s">
        <v>53</v>
      </c>
      <c r="O172" t="s">
        <v>822</v>
      </c>
      <c r="P172">
        <v>22.23</v>
      </c>
      <c r="Q172">
        <v>1</v>
      </c>
      <c r="R172">
        <v>7.3358999999999996</v>
      </c>
      <c r="S172" t="s">
        <v>289</v>
      </c>
    </row>
    <row r="173" spans="1:19" x14ac:dyDescent="0.35">
      <c r="A173" t="s">
        <v>823</v>
      </c>
      <c r="B173" s="1">
        <v>42847</v>
      </c>
      <c r="C173" s="1">
        <v>42849</v>
      </c>
      <c r="D173" t="s">
        <v>81</v>
      </c>
      <c r="E173" t="s">
        <v>824</v>
      </c>
      <c r="F173" t="s">
        <v>825</v>
      </c>
      <c r="G173" t="s">
        <v>23</v>
      </c>
      <c r="H173" t="s">
        <v>24</v>
      </c>
      <c r="I173" t="s">
        <v>320</v>
      </c>
      <c r="J173" t="s">
        <v>50</v>
      </c>
      <c r="K173" t="s">
        <v>51</v>
      </c>
      <c r="L173" t="s">
        <v>826</v>
      </c>
      <c r="M173" t="s">
        <v>29</v>
      </c>
      <c r="N173" t="s">
        <v>53</v>
      </c>
      <c r="O173" t="s">
        <v>827</v>
      </c>
      <c r="P173">
        <v>18.28</v>
      </c>
      <c r="Q173">
        <v>2</v>
      </c>
      <c r="R173">
        <v>6.2152000000000003</v>
      </c>
      <c r="S173" t="s">
        <v>107</v>
      </c>
    </row>
    <row r="174" spans="1:19" x14ac:dyDescent="0.35">
      <c r="A174" t="s">
        <v>828</v>
      </c>
      <c r="B174" s="1">
        <v>42038</v>
      </c>
      <c r="C174" s="1">
        <v>42040</v>
      </c>
      <c r="D174" t="s">
        <v>81</v>
      </c>
      <c r="E174" t="s">
        <v>829</v>
      </c>
      <c r="F174" t="s">
        <v>830</v>
      </c>
      <c r="G174" t="s">
        <v>23</v>
      </c>
      <c r="H174" t="s">
        <v>24</v>
      </c>
      <c r="I174" t="s">
        <v>831</v>
      </c>
      <c r="J174" t="s">
        <v>832</v>
      </c>
      <c r="K174" t="s">
        <v>87</v>
      </c>
      <c r="L174" t="s">
        <v>476</v>
      </c>
      <c r="M174" t="s">
        <v>29</v>
      </c>
      <c r="N174" t="s">
        <v>53</v>
      </c>
      <c r="O174" t="s">
        <v>477</v>
      </c>
      <c r="P174">
        <v>28.4</v>
      </c>
      <c r="Q174">
        <v>2</v>
      </c>
      <c r="R174">
        <v>11.076000000000001</v>
      </c>
      <c r="S174" t="s">
        <v>289</v>
      </c>
    </row>
    <row r="175" spans="1:19" x14ac:dyDescent="0.35">
      <c r="A175" t="s">
        <v>833</v>
      </c>
      <c r="B175" s="1">
        <v>41925</v>
      </c>
      <c r="C175" s="1">
        <v>41927</v>
      </c>
      <c r="D175" t="s">
        <v>81</v>
      </c>
      <c r="E175" t="s">
        <v>834</v>
      </c>
      <c r="F175" t="s">
        <v>835</v>
      </c>
      <c r="G175" t="s">
        <v>23</v>
      </c>
      <c r="H175" t="s">
        <v>24</v>
      </c>
      <c r="I175" t="s">
        <v>836</v>
      </c>
      <c r="J175" t="s">
        <v>184</v>
      </c>
      <c r="K175" t="s">
        <v>51</v>
      </c>
      <c r="L175" t="s">
        <v>334</v>
      </c>
      <c r="M175" t="s">
        <v>29</v>
      </c>
      <c r="N175" t="s">
        <v>43</v>
      </c>
      <c r="O175" t="s">
        <v>335</v>
      </c>
      <c r="P175">
        <v>1298.55</v>
      </c>
      <c r="Q175">
        <v>5</v>
      </c>
      <c r="R175">
        <v>311.65199999999999</v>
      </c>
      <c r="S175" t="s">
        <v>45</v>
      </c>
    </row>
    <row r="176" spans="1:19" x14ac:dyDescent="0.35">
      <c r="A176" t="s">
        <v>837</v>
      </c>
      <c r="B176" s="1">
        <v>42869</v>
      </c>
      <c r="C176" s="1">
        <v>42869</v>
      </c>
      <c r="D176" t="s">
        <v>417</v>
      </c>
      <c r="E176" t="s">
        <v>838</v>
      </c>
      <c r="F176" t="s">
        <v>839</v>
      </c>
      <c r="G176" t="s">
        <v>23</v>
      </c>
      <c r="H176" t="s">
        <v>24</v>
      </c>
      <c r="I176" t="s">
        <v>840</v>
      </c>
      <c r="J176" t="s">
        <v>50</v>
      </c>
      <c r="K176" t="s">
        <v>51</v>
      </c>
      <c r="L176" t="s">
        <v>826</v>
      </c>
      <c r="M176" t="s">
        <v>29</v>
      </c>
      <c r="N176" t="s">
        <v>53</v>
      </c>
      <c r="O176" t="s">
        <v>827</v>
      </c>
      <c r="P176">
        <v>18.28</v>
      </c>
      <c r="Q176">
        <v>2</v>
      </c>
      <c r="R176">
        <v>6.2152000000000003</v>
      </c>
      <c r="S176" t="s">
        <v>153</v>
      </c>
    </row>
    <row r="177" spans="1:19" x14ac:dyDescent="0.35">
      <c r="A177" t="s">
        <v>841</v>
      </c>
      <c r="B177" s="1">
        <v>41818</v>
      </c>
      <c r="C177" s="1">
        <v>41822</v>
      </c>
      <c r="D177" t="s">
        <v>37</v>
      </c>
      <c r="E177" t="s">
        <v>609</v>
      </c>
      <c r="F177" t="s">
        <v>610</v>
      </c>
      <c r="G177" t="s">
        <v>23</v>
      </c>
      <c r="H177" t="s">
        <v>24</v>
      </c>
      <c r="I177" t="s">
        <v>61</v>
      </c>
      <c r="J177" t="s">
        <v>62</v>
      </c>
      <c r="K177" t="s">
        <v>63</v>
      </c>
      <c r="L177" t="s">
        <v>842</v>
      </c>
      <c r="M177" t="s">
        <v>29</v>
      </c>
      <c r="N177" t="s">
        <v>34</v>
      </c>
      <c r="O177" t="s">
        <v>843</v>
      </c>
      <c r="P177">
        <v>1228.4649999999999</v>
      </c>
      <c r="Q177">
        <v>5</v>
      </c>
      <c r="R177">
        <v>0</v>
      </c>
      <c r="S177" t="s">
        <v>55</v>
      </c>
    </row>
    <row r="178" spans="1:19" x14ac:dyDescent="0.35">
      <c r="A178" t="s">
        <v>844</v>
      </c>
      <c r="B178" s="1">
        <v>42902</v>
      </c>
      <c r="C178" s="1">
        <v>42907</v>
      </c>
      <c r="D178" t="s">
        <v>20</v>
      </c>
      <c r="E178" t="s">
        <v>130</v>
      </c>
      <c r="F178" t="s">
        <v>131</v>
      </c>
      <c r="G178" t="s">
        <v>23</v>
      </c>
      <c r="H178" t="s">
        <v>24</v>
      </c>
      <c r="I178" t="s">
        <v>845</v>
      </c>
      <c r="J178" t="s">
        <v>26</v>
      </c>
      <c r="K178" t="s">
        <v>27</v>
      </c>
      <c r="L178" t="s">
        <v>846</v>
      </c>
      <c r="M178" t="s">
        <v>29</v>
      </c>
      <c r="N178" t="s">
        <v>34</v>
      </c>
      <c r="O178" t="s">
        <v>847</v>
      </c>
      <c r="P178">
        <v>301.95999999999998</v>
      </c>
      <c r="Q178">
        <v>2</v>
      </c>
      <c r="R178">
        <v>90.587999999999994</v>
      </c>
      <c r="S178" t="s">
        <v>55</v>
      </c>
    </row>
    <row r="179" spans="1:19" x14ac:dyDescent="0.35">
      <c r="A179" t="s">
        <v>848</v>
      </c>
      <c r="B179" s="1">
        <v>42328</v>
      </c>
      <c r="C179" s="1">
        <v>42333</v>
      </c>
      <c r="D179" t="s">
        <v>37</v>
      </c>
      <c r="E179" t="s">
        <v>849</v>
      </c>
      <c r="F179" t="s">
        <v>850</v>
      </c>
      <c r="G179" t="s">
        <v>84</v>
      </c>
      <c r="H179" t="s">
        <v>24</v>
      </c>
      <c r="I179" t="s">
        <v>165</v>
      </c>
      <c r="J179" t="s">
        <v>114</v>
      </c>
      <c r="K179" t="s">
        <v>63</v>
      </c>
      <c r="L179" t="s">
        <v>851</v>
      </c>
      <c r="M179" t="s">
        <v>29</v>
      </c>
      <c r="N179" t="s">
        <v>30</v>
      </c>
      <c r="O179" t="s">
        <v>852</v>
      </c>
      <c r="P179">
        <v>186.048</v>
      </c>
      <c r="Q179">
        <v>4</v>
      </c>
      <c r="R179">
        <v>9.3024000000000004</v>
      </c>
      <c r="S179" t="s">
        <v>32</v>
      </c>
    </row>
    <row r="180" spans="1:19" x14ac:dyDescent="0.35">
      <c r="A180" t="s">
        <v>853</v>
      </c>
      <c r="B180" s="1">
        <v>42290</v>
      </c>
      <c r="C180" s="1">
        <v>42294</v>
      </c>
      <c r="D180" t="s">
        <v>37</v>
      </c>
      <c r="E180" t="s">
        <v>854</v>
      </c>
      <c r="F180" t="s">
        <v>855</v>
      </c>
      <c r="G180" t="s">
        <v>23</v>
      </c>
      <c r="H180" t="s">
        <v>24</v>
      </c>
      <c r="I180" t="s">
        <v>856</v>
      </c>
      <c r="J180" t="s">
        <v>26</v>
      </c>
      <c r="K180" t="s">
        <v>27</v>
      </c>
      <c r="L180" t="s">
        <v>348</v>
      </c>
      <c r="M180" t="s">
        <v>29</v>
      </c>
      <c r="N180" t="s">
        <v>34</v>
      </c>
      <c r="O180" t="s">
        <v>349</v>
      </c>
      <c r="P180">
        <v>287.94</v>
      </c>
      <c r="Q180">
        <v>3</v>
      </c>
      <c r="R180">
        <v>77.743799999999993</v>
      </c>
      <c r="S180" t="s">
        <v>45</v>
      </c>
    </row>
    <row r="181" spans="1:19" x14ac:dyDescent="0.35">
      <c r="A181" t="s">
        <v>857</v>
      </c>
      <c r="B181" s="1">
        <v>42736</v>
      </c>
      <c r="C181" s="1">
        <v>42741</v>
      </c>
      <c r="D181" t="s">
        <v>37</v>
      </c>
      <c r="E181" t="s">
        <v>858</v>
      </c>
      <c r="F181" t="s">
        <v>859</v>
      </c>
      <c r="G181" t="s">
        <v>23</v>
      </c>
      <c r="H181" t="s">
        <v>24</v>
      </c>
      <c r="I181" t="s">
        <v>860</v>
      </c>
      <c r="J181" t="s">
        <v>223</v>
      </c>
      <c r="K181" t="s">
        <v>63</v>
      </c>
      <c r="L181" t="s">
        <v>861</v>
      </c>
      <c r="M181" t="s">
        <v>29</v>
      </c>
      <c r="N181" t="s">
        <v>53</v>
      </c>
      <c r="O181" t="s">
        <v>862</v>
      </c>
      <c r="P181">
        <v>48.896000000000001</v>
      </c>
      <c r="Q181">
        <v>4</v>
      </c>
      <c r="R181">
        <v>8.5568000000000008</v>
      </c>
      <c r="S181" t="s">
        <v>161</v>
      </c>
    </row>
    <row r="182" spans="1:19" x14ac:dyDescent="0.35">
      <c r="A182" t="s">
        <v>863</v>
      </c>
      <c r="B182" s="1">
        <v>42419</v>
      </c>
      <c r="C182" s="1">
        <v>42424</v>
      </c>
      <c r="D182" t="s">
        <v>37</v>
      </c>
      <c r="E182" t="s">
        <v>864</v>
      </c>
      <c r="F182" t="s">
        <v>865</v>
      </c>
      <c r="G182" t="s">
        <v>23</v>
      </c>
      <c r="H182" t="s">
        <v>24</v>
      </c>
      <c r="I182" t="s">
        <v>165</v>
      </c>
      <c r="J182" t="s">
        <v>114</v>
      </c>
      <c r="K182" t="s">
        <v>63</v>
      </c>
      <c r="L182" t="s">
        <v>821</v>
      </c>
      <c r="M182" t="s">
        <v>29</v>
      </c>
      <c r="N182" t="s">
        <v>53</v>
      </c>
      <c r="O182" t="s">
        <v>822</v>
      </c>
      <c r="P182">
        <v>44.46</v>
      </c>
      <c r="Q182">
        <v>2</v>
      </c>
      <c r="R182">
        <v>14.671799999999999</v>
      </c>
      <c r="S182" t="s">
        <v>289</v>
      </c>
    </row>
    <row r="183" spans="1:19" x14ac:dyDescent="0.35">
      <c r="A183" t="s">
        <v>866</v>
      </c>
      <c r="B183" s="1">
        <v>41649</v>
      </c>
      <c r="C183" s="1">
        <v>41654</v>
      </c>
      <c r="D183" t="s">
        <v>37</v>
      </c>
      <c r="E183" t="s">
        <v>867</v>
      </c>
      <c r="F183" t="s">
        <v>868</v>
      </c>
      <c r="G183" t="s">
        <v>84</v>
      </c>
      <c r="H183" t="s">
        <v>24</v>
      </c>
      <c r="I183" t="s">
        <v>869</v>
      </c>
      <c r="J183" t="s">
        <v>707</v>
      </c>
      <c r="K183" t="s">
        <v>27</v>
      </c>
      <c r="L183" t="s">
        <v>870</v>
      </c>
      <c r="M183" t="s">
        <v>29</v>
      </c>
      <c r="N183" t="s">
        <v>53</v>
      </c>
      <c r="O183" t="s">
        <v>871</v>
      </c>
      <c r="P183">
        <v>51.94</v>
      </c>
      <c r="Q183">
        <v>1</v>
      </c>
      <c r="R183">
        <v>21.295400000000001</v>
      </c>
      <c r="S183" t="s">
        <v>161</v>
      </c>
    </row>
    <row r="184" spans="1:19" x14ac:dyDescent="0.35">
      <c r="A184" t="s">
        <v>872</v>
      </c>
      <c r="B184" s="1">
        <v>42386</v>
      </c>
      <c r="C184" s="1">
        <v>42390</v>
      </c>
      <c r="D184" t="s">
        <v>37</v>
      </c>
      <c r="E184" t="s">
        <v>873</v>
      </c>
      <c r="F184" t="s">
        <v>874</v>
      </c>
      <c r="G184" t="s">
        <v>94</v>
      </c>
      <c r="H184" t="s">
        <v>24</v>
      </c>
      <c r="I184" t="s">
        <v>500</v>
      </c>
      <c r="J184" t="s">
        <v>875</v>
      </c>
      <c r="K184" t="s">
        <v>63</v>
      </c>
      <c r="L184" t="s">
        <v>300</v>
      </c>
      <c r="M184" t="s">
        <v>29</v>
      </c>
      <c r="N184" t="s">
        <v>53</v>
      </c>
      <c r="O184" t="s">
        <v>301</v>
      </c>
      <c r="P184">
        <v>322.58999999999997</v>
      </c>
      <c r="Q184">
        <v>3</v>
      </c>
      <c r="R184">
        <v>64.518000000000001</v>
      </c>
      <c r="S184" t="s">
        <v>161</v>
      </c>
    </row>
    <row r="185" spans="1:19" x14ac:dyDescent="0.35">
      <c r="A185" t="s">
        <v>876</v>
      </c>
      <c r="B185" s="1">
        <v>43069</v>
      </c>
      <c r="C185" s="1">
        <v>43071</v>
      </c>
      <c r="D185" t="s">
        <v>20</v>
      </c>
      <c r="E185" t="s">
        <v>877</v>
      </c>
      <c r="F185" t="s">
        <v>878</v>
      </c>
      <c r="G185" t="s">
        <v>94</v>
      </c>
      <c r="H185" t="s">
        <v>24</v>
      </c>
      <c r="I185" t="s">
        <v>165</v>
      </c>
      <c r="J185" t="s">
        <v>114</v>
      </c>
      <c r="K185" t="s">
        <v>63</v>
      </c>
      <c r="L185" t="s">
        <v>238</v>
      </c>
      <c r="M185" t="s">
        <v>29</v>
      </c>
      <c r="N185" t="s">
        <v>34</v>
      </c>
      <c r="O185" t="s">
        <v>239</v>
      </c>
      <c r="P185">
        <v>1242.9000000000001</v>
      </c>
      <c r="Q185">
        <v>5</v>
      </c>
      <c r="R185">
        <v>262.39</v>
      </c>
      <c r="S185" t="s">
        <v>32</v>
      </c>
    </row>
    <row r="186" spans="1:19" x14ac:dyDescent="0.35">
      <c r="A186" t="s">
        <v>879</v>
      </c>
      <c r="B186" s="1">
        <v>42665</v>
      </c>
      <c r="C186" s="1">
        <v>42667</v>
      </c>
      <c r="D186" t="s">
        <v>81</v>
      </c>
      <c r="E186" t="s">
        <v>880</v>
      </c>
      <c r="F186" t="s">
        <v>881</v>
      </c>
      <c r="G186" t="s">
        <v>94</v>
      </c>
      <c r="H186" t="s">
        <v>24</v>
      </c>
      <c r="I186" t="s">
        <v>280</v>
      </c>
      <c r="J186" t="s">
        <v>281</v>
      </c>
      <c r="K186" t="s">
        <v>87</v>
      </c>
      <c r="L186" t="s">
        <v>668</v>
      </c>
      <c r="M186" t="s">
        <v>29</v>
      </c>
      <c r="N186" t="s">
        <v>53</v>
      </c>
      <c r="O186" t="s">
        <v>669</v>
      </c>
      <c r="P186">
        <v>31.4</v>
      </c>
      <c r="Q186">
        <v>5</v>
      </c>
      <c r="R186">
        <v>10.048</v>
      </c>
      <c r="S186" t="s">
        <v>45</v>
      </c>
    </row>
    <row r="187" spans="1:19" x14ac:dyDescent="0.35">
      <c r="A187" t="s">
        <v>882</v>
      </c>
      <c r="B187" s="1">
        <v>41758</v>
      </c>
      <c r="C187" s="1">
        <v>41763</v>
      </c>
      <c r="D187" t="s">
        <v>37</v>
      </c>
      <c r="E187" t="s">
        <v>883</v>
      </c>
      <c r="F187" t="s">
        <v>884</v>
      </c>
      <c r="G187" t="s">
        <v>23</v>
      </c>
      <c r="H187" t="s">
        <v>24</v>
      </c>
      <c r="I187" t="s">
        <v>885</v>
      </c>
      <c r="J187" t="s">
        <v>114</v>
      </c>
      <c r="K187" t="s">
        <v>63</v>
      </c>
      <c r="L187" t="s">
        <v>886</v>
      </c>
      <c r="M187" t="s">
        <v>29</v>
      </c>
      <c r="N187" t="s">
        <v>53</v>
      </c>
      <c r="O187" t="s">
        <v>887</v>
      </c>
      <c r="P187">
        <v>17.46</v>
      </c>
      <c r="Q187">
        <v>2</v>
      </c>
      <c r="R187">
        <v>5.9363999999999999</v>
      </c>
      <c r="S187" t="s">
        <v>107</v>
      </c>
    </row>
    <row r="188" spans="1:19" x14ac:dyDescent="0.35">
      <c r="A188" t="s">
        <v>888</v>
      </c>
      <c r="B188" s="1">
        <v>43099</v>
      </c>
      <c r="C188" s="1">
        <v>43103</v>
      </c>
      <c r="D188" t="s">
        <v>37</v>
      </c>
      <c r="E188" t="s">
        <v>147</v>
      </c>
      <c r="F188" t="s">
        <v>148</v>
      </c>
      <c r="G188" t="s">
        <v>23</v>
      </c>
      <c r="H188" t="s">
        <v>24</v>
      </c>
      <c r="I188" t="s">
        <v>165</v>
      </c>
      <c r="J188" t="s">
        <v>114</v>
      </c>
      <c r="K188" t="s">
        <v>63</v>
      </c>
      <c r="L188" t="s">
        <v>889</v>
      </c>
      <c r="M188" t="s">
        <v>29</v>
      </c>
      <c r="N188" t="s">
        <v>30</v>
      </c>
      <c r="O188" t="s">
        <v>890</v>
      </c>
      <c r="P188">
        <v>323.13600000000002</v>
      </c>
      <c r="Q188">
        <v>4</v>
      </c>
      <c r="R188">
        <v>12.117599999999999</v>
      </c>
      <c r="S188" t="s">
        <v>90</v>
      </c>
    </row>
    <row r="189" spans="1:19" x14ac:dyDescent="0.35">
      <c r="A189" t="s">
        <v>891</v>
      </c>
      <c r="B189" s="1">
        <v>42155</v>
      </c>
      <c r="C189" s="1">
        <v>42162</v>
      </c>
      <c r="D189" t="s">
        <v>37</v>
      </c>
      <c r="E189" t="s">
        <v>892</v>
      </c>
      <c r="F189" t="s">
        <v>893</v>
      </c>
      <c r="G189" t="s">
        <v>94</v>
      </c>
      <c r="H189" t="s">
        <v>24</v>
      </c>
      <c r="I189" t="s">
        <v>894</v>
      </c>
      <c r="J189" t="s">
        <v>421</v>
      </c>
      <c r="K189" t="s">
        <v>63</v>
      </c>
      <c r="L189" t="s">
        <v>437</v>
      </c>
      <c r="M189" t="s">
        <v>29</v>
      </c>
      <c r="N189" t="s">
        <v>53</v>
      </c>
      <c r="O189" t="s">
        <v>438</v>
      </c>
      <c r="P189">
        <v>22.2</v>
      </c>
      <c r="Q189">
        <v>6</v>
      </c>
      <c r="R189">
        <v>9.1020000000000003</v>
      </c>
      <c r="S189" t="s">
        <v>153</v>
      </c>
    </row>
    <row r="190" spans="1:19" x14ac:dyDescent="0.35">
      <c r="A190" t="s">
        <v>895</v>
      </c>
      <c r="B190" s="1">
        <v>43066</v>
      </c>
      <c r="C190" s="1">
        <v>43068</v>
      </c>
      <c r="D190" t="s">
        <v>81</v>
      </c>
      <c r="E190" t="s">
        <v>849</v>
      </c>
      <c r="F190" t="s">
        <v>850</v>
      </c>
      <c r="G190" t="s">
        <v>84</v>
      </c>
      <c r="H190" t="s">
        <v>24</v>
      </c>
      <c r="I190" t="s">
        <v>896</v>
      </c>
      <c r="J190" t="s">
        <v>230</v>
      </c>
      <c r="K190" t="s">
        <v>87</v>
      </c>
      <c r="L190" t="s">
        <v>346</v>
      </c>
      <c r="M190" t="s">
        <v>29</v>
      </c>
      <c r="N190" t="s">
        <v>53</v>
      </c>
      <c r="O190" t="s">
        <v>347</v>
      </c>
      <c r="P190">
        <v>46.94</v>
      </c>
      <c r="Q190">
        <v>1</v>
      </c>
      <c r="R190">
        <v>19.2454</v>
      </c>
      <c r="S190" t="s">
        <v>32</v>
      </c>
    </row>
    <row r="191" spans="1:19" x14ac:dyDescent="0.35">
      <c r="A191" t="s">
        <v>897</v>
      </c>
      <c r="B191" s="1">
        <v>41805</v>
      </c>
      <c r="C191" s="1">
        <v>41811</v>
      </c>
      <c r="D191" t="s">
        <v>37</v>
      </c>
      <c r="E191" t="s">
        <v>343</v>
      </c>
      <c r="F191" t="s">
        <v>344</v>
      </c>
      <c r="G191" t="s">
        <v>84</v>
      </c>
      <c r="H191" t="s">
        <v>24</v>
      </c>
      <c r="I191" t="s">
        <v>237</v>
      </c>
      <c r="J191" t="s">
        <v>86</v>
      </c>
      <c r="K191" t="s">
        <v>87</v>
      </c>
      <c r="L191" t="s">
        <v>898</v>
      </c>
      <c r="M191" t="s">
        <v>29</v>
      </c>
      <c r="N191" t="s">
        <v>43</v>
      </c>
      <c r="O191" t="s">
        <v>899</v>
      </c>
      <c r="P191">
        <v>99.918000000000006</v>
      </c>
      <c r="Q191">
        <v>2</v>
      </c>
      <c r="R191">
        <v>-18.5562</v>
      </c>
      <c r="S191" t="s">
        <v>55</v>
      </c>
    </row>
    <row r="192" spans="1:19" x14ac:dyDescent="0.35">
      <c r="A192" t="s">
        <v>897</v>
      </c>
      <c r="B192" s="1">
        <v>41805</v>
      </c>
      <c r="C192" s="1">
        <v>41811</v>
      </c>
      <c r="D192" t="s">
        <v>37</v>
      </c>
      <c r="E192" t="s">
        <v>343</v>
      </c>
      <c r="F192" t="s">
        <v>344</v>
      </c>
      <c r="G192" t="s">
        <v>84</v>
      </c>
      <c r="H192" t="s">
        <v>24</v>
      </c>
      <c r="I192" t="s">
        <v>237</v>
      </c>
      <c r="J192" t="s">
        <v>86</v>
      </c>
      <c r="K192" t="s">
        <v>87</v>
      </c>
      <c r="L192" t="s">
        <v>566</v>
      </c>
      <c r="M192" t="s">
        <v>29</v>
      </c>
      <c r="N192" t="s">
        <v>34</v>
      </c>
      <c r="O192" t="s">
        <v>567</v>
      </c>
      <c r="P192">
        <v>797.94399999999996</v>
      </c>
      <c r="Q192">
        <v>4</v>
      </c>
      <c r="R192">
        <v>-56.996000000000002</v>
      </c>
      <c r="S192" t="s">
        <v>55</v>
      </c>
    </row>
    <row r="193" spans="1:19" x14ac:dyDescent="0.35">
      <c r="A193" t="s">
        <v>900</v>
      </c>
      <c r="B193" s="1">
        <v>42717</v>
      </c>
      <c r="C193" s="1">
        <v>42724</v>
      </c>
      <c r="D193" t="s">
        <v>37</v>
      </c>
      <c r="E193" t="s">
        <v>901</v>
      </c>
      <c r="F193" t="s">
        <v>902</v>
      </c>
      <c r="G193" t="s">
        <v>84</v>
      </c>
      <c r="H193" t="s">
        <v>24</v>
      </c>
      <c r="I193" t="s">
        <v>903</v>
      </c>
      <c r="J193" t="s">
        <v>50</v>
      </c>
      <c r="K193" t="s">
        <v>51</v>
      </c>
      <c r="L193" t="s">
        <v>42</v>
      </c>
      <c r="M193" t="s">
        <v>29</v>
      </c>
      <c r="N193" t="s">
        <v>43</v>
      </c>
      <c r="O193" t="s">
        <v>44</v>
      </c>
      <c r="P193">
        <v>1114.2719999999999</v>
      </c>
      <c r="Q193">
        <v>4</v>
      </c>
      <c r="R193">
        <v>41.785200000000003</v>
      </c>
      <c r="S193" t="s">
        <v>90</v>
      </c>
    </row>
    <row r="194" spans="1:19" x14ac:dyDescent="0.35">
      <c r="A194" t="s">
        <v>904</v>
      </c>
      <c r="B194" s="1">
        <v>42211</v>
      </c>
      <c r="C194" s="1">
        <v>42213</v>
      </c>
      <c r="D194" t="s">
        <v>81</v>
      </c>
      <c r="E194" t="s">
        <v>609</v>
      </c>
      <c r="F194" t="s">
        <v>610</v>
      </c>
      <c r="G194" t="s">
        <v>23</v>
      </c>
      <c r="H194" t="s">
        <v>24</v>
      </c>
      <c r="I194" t="s">
        <v>905</v>
      </c>
      <c r="J194" t="s">
        <v>511</v>
      </c>
      <c r="K194" t="s">
        <v>51</v>
      </c>
      <c r="L194" t="s">
        <v>906</v>
      </c>
      <c r="M194" t="s">
        <v>29</v>
      </c>
      <c r="N194" t="s">
        <v>43</v>
      </c>
      <c r="O194" t="s">
        <v>907</v>
      </c>
      <c r="P194">
        <v>393.16500000000002</v>
      </c>
      <c r="Q194">
        <v>3</v>
      </c>
      <c r="R194">
        <v>-204.44579999999999</v>
      </c>
      <c r="S194" t="s">
        <v>66</v>
      </c>
    </row>
    <row r="195" spans="1:19" x14ac:dyDescent="0.35">
      <c r="A195" t="s">
        <v>908</v>
      </c>
      <c r="B195" s="1">
        <v>43067</v>
      </c>
      <c r="C195" s="1">
        <v>43071</v>
      </c>
      <c r="D195" t="s">
        <v>37</v>
      </c>
      <c r="E195" t="s">
        <v>909</v>
      </c>
      <c r="F195" t="s">
        <v>910</v>
      </c>
      <c r="G195" t="s">
        <v>94</v>
      </c>
      <c r="H195" t="s">
        <v>24</v>
      </c>
      <c r="I195" t="s">
        <v>61</v>
      </c>
      <c r="J195" t="s">
        <v>62</v>
      </c>
      <c r="K195" t="s">
        <v>63</v>
      </c>
      <c r="L195" t="s">
        <v>911</v>
      </c>
      <c r="M195" t="s">
        <v>29</v>
      </c>
      <c r="N195" t="s">
        <v>53</v>
      </c>
      <c r="O195" t="s">
        <v>912</v>
      </c>
      <c r="P195">
        <v>516.48800000000006</v>
      </c>
      <c r="Q195">
        <v>7</v>
      </c>
      <c r="R195">
        <v>-12.9122</v>
      </c>
      <c r="S195" t="s">
        <v>32</v>
      </c>
    </row>
    <row r="196" spans="1:19" x14ac:dyDescent="0.35">
      <c r="A196" t="s">
        <v>908</v>
      </c>
      <c r="B196" s="1">
        <v>43067</v>
      </c>
      <c r="C196" s="1">
        <v>43071</v>
      </c>
      <c r="D196" t="s">
        <v>37</v>
      </c>
      <c r="E196" t="s">
        <v>909</v>
      </c>
      <c r="F196" t="s">
        <v>910</v>
      </c>
      <c r="G196" t="s">
        <v>94</v>
      </c>
      <c r="H196" t="s">
        <v>24</v>
      </c>
      <c r="I196" t="s">
        <v>61</v>
      </c>
      <c r="J196" t="s">
        <v>62</v>
      </c>
      <c r="K196" t="s">
        <v>63</v>
      </c>
      <c r="L196" t="s">
        <v>305</v>
      </c>
      <c r="M196" t="s">
        <v>29</v>
      </c>
      <c r="N196" t="s">
        <v>53</v>
      </c>
      <c r="O196" t="s">
        <v>306</v>
      </c>
      <c r="P196">
        <v>1007.232</v>
      </c>
      <c r="Q196">
        <v>6</v>
      </c>
      <c r="R196">
        <v>75.542400000000001</v>
      </c>
      <c r="S196" t="s">
        <v>32</v>
      </c>
    </row>
    <row r="197" spans="1:19" x14ac:dyDescent="0.35">
      <c r="A197" t="s">
        <v>908</v>
      </c>
      <c r="B197" s="1">
        <v>43067</v>
      </c>
      <c r="C197" s="1">
        <v>43071</v>
      </c>
      <c r="D197" t="s">
        <v>37</v>
      </c>
      <c r="E197" t="s">
        <v>909</v>
      </c>
      <c r="F197" t="s">
        <v>910</v>
      </c>
      <c r="G197" t="s">
        <v>94</v>
      </c>
      <c r="H197" t="s">
        <v>24</v>
      </c>
      <c r="I197" t="s">
        <v>61</v>
      </c>
      <c r="J197" t="s">
        <v>62</v>
      </c>
      <c r="K197" t="s">
        <v>63</v>
      </c>
      <c r="L197" t="s">
        <v>913</v>
      </c>
      <c r="M197" t="s">
        <v>29</v>
      </c>
      <c r="N197" t="s">
        <v>43</v>
      </c>
      <c r="O197" t="s">
        <v>914</v>
      </c>
      <c r="P197">
        <v>2065.3200000000002</v>
      </c>
      <c r="Q197">
        <v>12</v>
      </c>
      <c r="R197">
        <v>-619.596</v>
      </c>
      <c r="S197" t="s">
        <v>32</v>
      </c>
    </row>
    <row r="198" spans="1:19" x14ac:dyDescent="0.35">
      <c r="A198" t="s">
        <v>915</v>
      </c>
      <c r="B198" s="1">
        <v>42828</v>
      </c>
      <c r="C198" s="1">
        <v>42832</v>
      </c>
      <c r="D198" t="s">
        <v>37</v>
      </c>
      <c r="E198" t="s">
        <v>916</v>
      </c>
      <c r="F198" t="s">
        <v>917</v>
      </c>
      <c r="G198" t="s">
        <v>23</v>
      </c>
      <c r="H198" t="s">
        <v>24</v>
      </c>
      <c r="I198" t="s">
        <v>61</v>
      </c>
      <c r="J198" t="s">
        <v>62</v>
      </c>
      <c r="K198" t="s">
        <v>63</v>
      </c>
      <c r="L198" t="s">
        <v>918</v>
      </c>
      <c r="M198" t="s">
        <v>29</v>
      </c>
      <c r="N198" t="s">
        <v>53</v>
      </c>
      <c r="O198" t="s">
        <v>308</v>
      </c>
      <c r="P198">
        <v>25.472000000000001</v>
      </c>
      <c r="Q198">
        <v>4</v>
      </c>
      <c r="R198">
        <v>7.6416000000000004</v>
      </c>
      <c r="S198" t="s">
        <v>107</v>
      </c>
    </row>
    <row r="199" spans="1:19" x14ac:dyDescent="0.35">
      <c r="A199" t="s">
        <v>919</v>
      </c>
      <c r="B199" s="1">
        <v>43097</v>
      </c>
      <c r="C199" s="1">
        <v>43101</v>
      </c>
      <c r="D199" t="s">
        <v>37</v>
      </c>
      <c r="E199" t="s">
        <v>920</v>
      </c>
      <c r="F199" t="s">
        <v>921</v>
      </c>
      <c r="G199" t="s">
        <v>23</v>
      </c>
      <c r="H199" t="s">
        <v>24</v>
      </c>
      <c r="I199" t="s">
        <v>922</v>
      </c>
      <c r="J199" t="s">
        <v>86</v>
      </c>
      <c r="K199" t="s">
        <v>87</v>
      </c>
      <c r="L199" t="s">
        <v>340</v>
      </c>
      <c r="M199" t="s">
        <v>29</v>
      </c>
      <c r="N199" t="s">
        <v>30</v>
      </c>
      <c r="O199" t="s">
        <v>341</v>
      </c>
      <c r="P199">
        <v>78.852800000000002</v>
      </c>
      <c r="Q199">
        <v>2</v>
      </c>
      <c r="R199">
        <v>-11.596</v>
      </c>
      <c r="S199" t="s">
        <v>90</v>
      </c>
    </row>
    <row r="200" spans="1:19" x14ac:dyDescent="0.35">
      <c r="A200" t="s">
        <v>923</v>
      </c>
      <c r="B200" s="1">
        <v>42269</v>
      </c>
      <c r="C200" s="1">
        <v>42269</v>
      </c>
      <c r="D200" t="s">
        <v>417</v>
      </c>
      <c r="E200" t="s">
        <v>924</v>
      </c>
      <c r="F200" t="s">
        <v>925</v>
      </c>
      <c r="G200" t="s">
        <v>23</v>
      </c>
      <c r="H200" t="s">
        <v>24</v>
      </c>
      <c r="I200" t="s">
        <v>752</v>
      </c>
      <c r="J200" t="s">
        <v>50</v>
      </c>
      <c r="K200" t="s">
        <v>51</v>
      </c>
      <c r="L200" t="s">
        <v>926</v>
      </c>
      <c r="M200" t="s">
        <v>29</v>
      </c>
      <c r="N200" t="s">
        <v>53</v>
      </c>
      <c r="O200" t="s">
        <v>927</v>
      </c>
      <c r="P200">
        <v>204.6</v>
      </c>
      <c r="Q200">
        <v>2</v>
      </c>
      <c r="R200">
        <v>53.195999999999998</v>
      </c>
      <c r="S200" t="s">
        <v>72</v>
      </c>
    </row>
    <row r="201" spans="1:19" x14ac:dyDescent="0.35">
      <c r="A201" t="s">
        <v>928</v>
      </c>
      <c r="B201" s="1">
        <v>43053</v>
      </c>
      <c r="C201" s="1">
        <v>43058</v>
      </c>
      <c r="D201" t="s">
        <v>37</v>
      </c>
      <c r="E201" t="s">
        <v>929</v>
      </c>
      <c r="F201" t="s">
        <v>930</v>
      </c>
      <c r="G201" t="s">
        <v>84</v>
      </c>
      <c r="H201" t="s">
        <v>24</v>
      </c>
      <c r="I201" t="s">
        <v>320</v>
      </c>
      <c r="J201" t="s">
        <v>50</v>
      </c>
      <c r="K201" t="s">
        <v>51</v>
      </c>
      <c r="L201" t="s">
        <v>321</v>
      </c>
      <c r="M201" t="s">
        <v>29</v>
      </c>
      <c r="N201" t="s">
        <v>34</v>
      </c>
      <c r="O201" t="s">
        <v>322</v>
      </c>
      <c r="P201">
        <v>321.56799999999998</v>
      </c>
      <c r="Q201">
        <v>2</v>
      </c>
      <c r="R201">
        <v>28.1372</v>
      </c>
      <c r="S201" t="s">
        <v>32</v>
      </c>
    </row>
    <row r="202" spans="1:19" x14ac:dyDescent="0.35">
      <c r="A202" t="s">
        <v>931</v>
      </c>
      <c r="B202" s="1">
        <v>41655</v>
      </c>
      <c r="C202" s="1">
        <v>41657</v>
      </c>
      <c r="D202" t="s">
        <v>20</v>
      </c>
      <c r="E202" t="s">
        <v>932</v>
      </c>
      <c r="F202" t="s">
        <v>933</v>
      </c>
      <c r="G202" t="s">
        <v>23</v>
      </c>
      <c r="H202" t="s">
        <v>24</v>
      </c>
      <c r="I202" t="s">
        <v>61</v>
      </c>
      <c r="J202" t="s">
        <v>62</v>
      </c>
      <c r="K202" t="s">
        <v>63</v>
      </c>
      <c r="L202" t="s">
        <v>934</v>
      </c>
      <c r="M202" t="s">
        <v>29</v>
      </c>
      <c r="N202" t="s">
        <v>53</v>
      </c>
      <c r="O202" t="s">
        <v>935</v>
      </c>
      <c r="P202">
        <v>127.104</v>
      </c>
      <c r="Q202">
        <v>6</v>
      </c>
      <c r="R202">
        <v>28.598400000000002</v>
      </c>
      <c r="S202" t="s">
        <v>161</v>
      </c>
    </row>
    <row r="203" spans="1:19" x14ac:dyDescent="0.35">
      <c r="A203" t="s">
        <v>936</v>
      </c>
      <c r="B203" s="1">
        <v>42646</v>
      </c>
      <c r="C203" s="1">
        <v>42651</v>
      </c>
      <c r="D203" t="s">
        <v>37</v>
      </c>
      <c r="E203" t="s">
        <v>68</v>
      </c>
      <c r="F203" t="s">
        <v>69</v>
      </c>
      <c r="G203" t="s">
        <v>23</v>
      </c>
      <c r="H203" t="s">
        <v>24</v>
      </c>
      <c r="I203" t="s">
        <v>165</v>
      </c>
      <c r="J203" t="s">
        <v>114</v>
      </c>
      <c r="K203" t="s">
        <v>63</v>
      </c>
      <c r="L203" t="s">
        <v>812</v>
      </c>
      <c r="M203" t="s">
        <v>29</v>
      </c>
      <c r="N203" t="s">
        <v>34</v>
      </c>
      <c r="O203" t="s">
        <v>813</v>
      </c>
      <c r="P203">
        <v>599.29200000000003</v>
      </c>
      <c r="Q203">
        <v>6</v>
      </c>
      <c r="R203">
        <v>93.223200000000006</v>
      </c>
      <c r="S203" t="s">
        <v>45</v>
      </c>
    </row>
    <row r="204" spans="1:19" x14ac:dyDescent="0.35">
      <c r="A204" t="s">
        <v>937</v>
      </c>
      <c r="B204" s="1">
        <v>41954</v>
      </c>
      <c r="C204" s="1">
        <v>41957</v>
      </c>
      <c r="D204" t="s">
        <v>20</v>
      </c>
      <c r="E204" t="s">
        <v>938</v>
      </c>
      <c r="F204" t="s">
        <v>939</v>
      </c>
      <c r="G204" t="s">
        <v>23</v>
      </c>
      <c r="H204" t="s">
        <v>24</v>
      </c>
      <c r="I204" t="s">
        <v>856</v>
      </c>
      <c r="J204" t="s">
        <v>172</v>
      </c>
      <c r="K204" t="s">
        <v>51</v>
      </c>
      <c r="L204" t="s">
        <v>846</v>
      </c>
      <c r="M204" t="s">
        <v>29</v>
      </c>
      <c r="N204" t="s">
        <v>34</v>
      </c>
      <c r="O204" t="s">
        <v>847</v>
      </c>
      <c r="P204">
        <v>603.91999999999996</v>
      </c>
      <c r="Q204">
        <v>5</v>
      </c>
      <c r="R204">
        <v>75.489999999999995</v>
      </c>
      <c r="S204" t="s">
        <v>32</v>
      </c>
    </row>
    <row r="205" spans="1:19" x14ac:dyDescent="0.35">
      <c r="A205" t="s">
        <v>940</v>
      </c>
      <c r="B205" s="1">
        <v>42876</v>
      </c>
      <c r="C205" s="1">
        <v>42881</v>
      </c>
      <c r="D205" t="s">
        <v>37</v>
      </c>
      <c r="E205" t="s">
        <v>941</v>
      </c>
      <c r="F205" t="s">
        <v>942</v>
      </c>
      <c r="G205" t="s">
        <v>84</v>
      </c>
      <c r="H205" t="s">
        <v>24</v>
      </c>
      <c r="I205" t="s">
        <v>943</v>
      </c>
      <c r="J205" t="s">
        <v>114</v>
      </c>
      <c r="K205" t="s">
        <v>63</v>
      </c>
      <c r="L205" t="s">
        <v>708</v>
      </c>
      <c r="M205" t="s">
        <v>29</v>
      </c>
      <c r="N205" t="s">
        <v>53</v>
      </c>
      <c r="O205" t="s">
        <v>709</v>
      </c>
      <c r="P205">
        <v>520.04999999999995</v>
      </c>
      <c r="Q205">
        <v>5</v>
      </c>
      <c r="R205">
        <v>72.807000000000002</v>
      </c>
      <c r="S205" t="s">
        <v>153</v>
      </c>
    </row>
    <row r="206" spans="1:19" x14ac:dyDescent="0.35">
      <c r="A206" t="s">
        <v>944</v>
      </c>
      <c r="B206" s="1">
        <v>42092</v>
      </c>
      <c r="C206" s="1">
        <v>42094</v>
      </c>
      <c r="D206" t="s">
        <v>20</v>
      </c>
      <c r="E206" t="s">
        <v>945</v>
      </c>
      <c r="F206" t="s">
        <v>946</v>
      </c>
      <c r="G206" t="s">
        <v>94</v>
      </c>
      <c r="H206" t="s">
        <v>24</v>
      </c>
      <c r="I206" t="s">
        <v>597</v>
      </c>
      <c r="J206" t="s">
        <v>41</v>
      </c>
      <c r="K206" t="s">
        <v>27</v>
      </c>
      <c r="L206" t="s">
        <v>373</v>
      </c>
      <c r="M206" t="s">
        <v>29</v>
      </c>
      <c r="N206" t="s">
        <v>34</v>
      </c>
      <c r="O206" t="s">
        <v>374</v>
      </c>
      <c r="P206">
        <v>1166.92</v>
      </c>
      <c r="Q206">
        <v>5</v>
      </c>
      <c r="R206">
        <v>131.27850000000001</v>
      </c>
      <c r="S206" t="s">
        <v>187</v>
      </c>
    </row>
    <row r="207" spans="1:19" x14ac:dyDescent="0.35">
      <c r="A207" t="s">
        <v>947</v>
      </c>
      <c r="B207" s="1">
        <v>42305</v>
      </c>
      <c r="C207" s="1">
        <v>42311</v>
      </c>
      <c r="D207" t="s">
        <v>37</v>
      </c>
      <c r="E207" t="s">
        <v>948</v>
      </c>
      <c r="F207" t="s">
        <v>949</v>
      </c>
      <c r="G207" t="s">
        <v>23</v>
      </c>
      <c r="H207" t="s">
        <v>24</v>
      </c>
      <c r="I207" t="s">
        <v>25</v>
      </c>
      <c r="J207" t="s">
        <v>26</v>
      </c>
      <c r="K207" t="s">
        <v>27</v>
      </c>
      <c r="L207" t="s">
        <v>950</v>
      </c>
      <c r="M207" t="s">
        <v>29</v>
      </c>
      <c r="N207" t="s">
        <v>53</v>
      </c>
      <c r="O207" t="s">
        <v>951</v>
      </c>
      <c r="P207">
        <v>24.1</v>
      </c>
      <c r="Q207">
        <v>5</v>
      </c>
      <c r="R207">
        <v>9.1579999999999995</v>
      </c>
      <c r="S207" t="s">
        <v>45</v>
      </c>
    </row>
    <row r="208" spans="1:19" x14ac:dyDescent="0.35">
      <c r="A208" t="s">
        <v>947</v>
      </c>
      <c r="B208" s="1">
        <v>42305</v>
      </c>
      <c r="C208" s="1">
        <v>42311</v>
      </c>
      <c r="D208" t="s">
        <v>37</v>
      </c>
      <c r="E208" t="s">
        <v>948</v>
      </c>
      <c r="F208" t="s">
        <v>949</v>
      </c>
      <c r="G208" t="s">
        <v>23</v>
      </c>
      <c r="H208" t="s">
        <v>24</v>
      </c>
      <c r="I208" t="s">
        <v>25</v>
      </c>
      <c r="J208" t="s">
        <v>26</v>
      </c>
      <c r="K208" t="s">
        <v>27</v>
      </c>
      <c r="L208" t="s">
        <v>371</v>
      </c>
      <c r="M208" t="s">
        <v>29</v>
      </c>
      <c r="N208" t="s">
        <v>53</v>
      </c>
      <c r="O208" t="s">
        <v>372</v>
      </c>
      <c r="P208">
        <v>33.11</v>
      </c>
      <c r="Q208">
        <v>7</v>
      </c>
      <c r="R208">
        <v>12.9129</v>
      </c>
      <c r="S208" t="s">
        <v>45</v>
      </c>
    </row>
    <row r="209" spans="1:19" x14ac:dyDescent="0.35">
      <c r="A209" t="s">
        <v>952</v>
      </c>
      <c r="B209" s="1">
        <v>42216</v>
      </c>
      <c r="C209" s="1">
        <v>42216</v>
      </c>
      <c r="D209" t="s">
        <v>417</v>
      </c>
      <c r="E209" t="s">
        <v>953</v>
      </c>
      <c r="F209" t="s">
        <v>954</v>
      </c>
      <c r="G209" t="s">
        <v>23</v>
      </c>
      <c r="H209" t="s">
        <v>24</v>
      </c>
      <c r="I209" t="s">
        <v>165</v>
      </c>
      <c r="J209" t="s">
        <v>114</v>
      </c>
      <c r="K209" t="s">
        <v>63</v>
      </c>
      <c r="L209" t="s">
        <v>334</v>
      </c>
      <c r="M209" t="s">
        <v>29</v>
      </c>
      <c r="N209" t="s">
        <v>43</v>
      </c>
      <c r="O209" t="s">
        <v>335</v>
      </c>
      <c r="P209">
        <v>1090.7819999999999</v>
      </c>
      <c r="Q209">
        <v>7</v>
      </c>
      <c r="R209">
        <v>-290.87520000000001</v>
      </c>
      <c r="S209" t="s">
        <v>66</v>
      </c>
    </row>
    <row r="210" spans="1:19" x14ac:dyDescent="0.35">
      <c r="A210" t="s">
        <v>955</v>
      </c>
      <c r="B210" s="1">
        <v>41967</v>
      </c>
      <c r="C210" s="1">
        <v>41969</v>
      </c>
      <c r="D210" t="s">
        <v>81</v>
      </c>
      <c r="E210" t="s">
        <v>956</v>
      </c>
      <c r="F210" t="s">
        <v>957</v>
      </c>
      <c r="G210" t="s">
        <v>23</v>
      </c>
      <c r="H210" t="s">
        <v>24</v>
      </c>
      <c r="I210" t="s">
        <v>630</v>
      </c>
      <c r="J210" t="s">
        <v>50</v>
      </c>
      <c r="K210" t="s">
        <v>51</v>
      </c>
      <c r="L210" t="s">
        <v>958</v>
      </c>
      <c r="M210" t="s">
        <v>29</v>
      </c>
      <c r="N210" t="s">
        <v>53</v>
      </c>
      <c r="O210" t="s">
        <v>959</v>
      </c>
      <c r="P210">
        <v>151.72</v>
      </c>
      <c r="Q210">
        <v>4</v>
      </c>
      <c r="R210">
        <v>27.3096</v>
      </c>
      <c r="S210" t="s">
        <v>32</v>
      </c>
    </row>
    <row r="211" spans="1:19" x14ac:dyDescent="0.35">
      <c r="A211" t="s">
        <v>960</v>
      </c>
      <c r="B211" s="1">
        <v>42903</v>
      </c>
      <c r="C211" s="1">
        <v>42907</v>
      </c>
      <c r="D211" t="s">
        <v>20</v>
      </c>
      <c r="E211" t="s">
        <v>201</v>
      </c>
      <c r="F211" t="s">
        <v>202</v>
      </c>
      <c r="G211" t="s">
        <v>23</v>
      </c>
      <c r="H211" t="s">
        <v>24</v>
      </c>
      <c r="I211" t="s">
        <v>961</v>
      </c>
      <c r="J211" t="s">
        <v>184</v>
      </c>
      <c r="K211" t="s">
        <v>51</v>
      </c>
      <c r="L211" t="s">
        <v>78</v>
      </c>
      <c r="M211" t="s">
        <v>29</v>
      </c>
      <c r="N211" t="s">
        <v>53</v>
      </c>
      <c r="O211" t="s">
        <v>79</v>
      </c>
      <c r="P211">
        <v>155.25</v>
      </c>
      <c r="Q211">
        <v>3</v>
      </c>
      <c r="R211">
        <v>46.575000000000003</v>
      </c>
      <c r="S211" t="s">
        <v>55</v>
      </c>
    </row>
    <row r="212" spans="1:19" x14ac:dyDescent="0.35">
      <c r="A212" t="s">
        <v>962</v>
      </c>
      <c r="B212" s="1">
        <v>42359</v>
      </c>
      <c r="C212" s="1">
        <v>42362</v>
      </c>
      <c r="D212" t="s">
        <v>20</v>
      </c>
      <c r="E212" t="s">
        <v>963</v>
      </c>
      <c r="F212" t="s">
        <v>964</v>
      </c>
      <c r="G212" t="s">
        <v>23</v>
      </c>
      <c r="H212" t="s">
        <v>24</v>
      </c>
      <c r="I212" t="s">
        <v>183</v>
      </c>
      <c r="J212" t="s">
        <v>184</v>
      </c>
      <c r="K212" t="s">
        <v>51</v>
      </c>
      <c r="L212" t="s">
        <v>282</v>
      </c>
      <c r="M212" t="s">
        <v>29</v>
      </c>
      <c r="N212" t="s">
        <v>43</v>
      </c>
      <c r="O212" t="s">
        <v>283</v>
      </c>
      <c r="P212">
        <v>1618.37</v>
      </c>
      <c r="Q212">
        <v>13</v>
      </c>
      <c r="R212">
        <v>356.04140000000001</v>
      </c>
      <c r="S212" t="s">
        <v>90</v>
      </c>
    </row>
    <row r="213" spans="1:19" x14ac:dyDescent="0.35">
      <c r="A213" t="s">
        <v>965</v>
      </c>
      <c r="B213" s="1">
        <v>42191</v>
      </c>
      <c r="C213" s="1">
        <v>42195</v>
      </c>
      <c r="D213" t="s">
        <v>37</v>
      </c>
      <c r="E213" t="s">
        <v>966</v>
      </c>
      <c r="F213" t="s">
        <v>967</v>
      </c>
      <c r="G213" t="s">
        <v>84</v>
      </c>
      <c r="H213" t="s">
        <v>24</v>
      </c>
      <c r="I213" t="s">
        <v>165</v>
      </c>
      <c r="J213" t="s">
        <v>114</v>
      </c>
      <c r="K213" t="s">
        <v>63</v>
      </c>
      <c r="L213" t="s">
        <v>968</v>
      </c>
      <c r="M213" t="s">
        <v>29</v>
      </c>
      <c r="N213" t="s">
        <v>53</v>
      </c>
      <c r="O213" t="s">
        <v>969</v>
      </c>
      <c r="P213">
        <v>13.96</v>
      </c>
      <c r="Q213">
        <v>2</v>
      </c>
      <c r="R213">
        <v>6.7008000000000001</v>
      </c>
      <c r="S213" t="s">
        <v>66</v>
      </c>
    </row>
    <row r="214" spans="1:19" x14ac:dyDescent="0.35">
      <c r="A214" t="s">
        <v>965</v>
      </c>
      <c r="B214" s="1">
        <v>42191</v>
      </c>
      <c r="C214" s="1">
        <v>42195</v>
      </c>
      <c r="D214" t="s">
        <v>37</v>
      </c>
      <c r="E214" t="s">
        <v>966</v>
      </c>
      <c r="F214" t="s">
        <v>967</v>
      </c>
      <c r="G214" t="s">
        <v>84</v>
      </c>
      <c r="H214" t="s">
        <v>24</v>
      </c>
      <c r="I214" t="s">
        <v>165</v>
      </c>
      <c r="J214" t="s">
        <v>114</v>
      </c>
      <c r="K214" t="s">
        <v>63</v>
      </c>
      <c r="L214" t="s">
        <v>870</v>
      </c>
      <c r="M214" t="s">
        <v>29</v>
      </c>
      <c r="N214" t="s">
        <v>53</v>
      </c>
      <c r="O214" t="s">
        <v>871</v>
      </c>
      <c r="P214">
        <v>155.82</v>
      </c>
      <c r="Q214">
        <v>3</v>
      </c>
      <c r="R214">
        <v>63.886200000000002</v>
      </c>
      <c r="S214" t="s">
        <v>66</v>
      </c>
    </row>
    <row r="215" spans="1:19" x14ac:dyDescent="0.35">
      <c r="A215" t="s">
        <v>970</v>
      </c>
      <c r="B215" s="1">
        <v>42121</v>
      </c>
      <c r="C215" s="1">
        <v>42127</v>
      </c>
      <c r="D215" t="s">
        <v>37</v>
      </c>
      <c r="E215" t="s">
        <v>864</v>
      </c>
      <c r="F215" t="s">
        <v>865</v>
      </c>
      <c r="G215" t="s">
        <v>23</v>
      </c>
      <c r="H215" t="s">
        <v>24</v>
      </c>
      <c r="I215" t="s">
        <v>184</v>
      </c>
      <c r="J215" t="s">
        <v>971</v>
      </c>
      <c r="K215" t="s">
        <v>63</v>
      </c>
      <c r="L215" t="s">
        <v>972</v>
      </c>
      <c r="M215" t="s">
        <v>29</v>
      </c>
      <c r="N215" t="s">
        <v>34</v>
      </c>
      <c r="O215" t="s">
        <v>973</v>
      </c>
      <c r="P215">
        <v>1267.53</v>
      </c>
      <c r="Q215">
        <v>3</v>
      </c>
      <c r="R215">
        <v>316.88249999999999</v>
      </c>
      <c r="S215" t="s">
        <v>107</v>
      </c>
    </row>
    <row r="216" spans="1:19" x14ac:dyDescent="0.35">
      <c r="A216" t="s">
        <v>974</v>
      </c>
      <c r="B216" s="1">
        <v>41831</v>
      </c>
      <c r="C216" s="1">
        <v>41835</v>
      </c>
      <c r="D216" t="s">
        <v>37</v>
      </c>
      <c r="E216" t="s">
        <v>975</v>
      </c>
      <c r="F216" t="s">
        <v>976</v>
      </c>
      <c r="G216" t="s">
        <v>84</v>
      </c>
      <c r="H216" t="s">
        <v>24</v>
      </c>
      <c r="I216" t="s">
        <v>380</v>
      </c>
      <c r="J216" t="s">
        <v>354</v>
      </c>
      <c r="K216" t="s">
        <v>63</v>
      </c>
      <c r="L216" t="s">
        <v>566</v>
      </c>
      <c r="M216" t="s">
        <v>29</v>
      </c>
      <c r="N216" t="s">
        <v>34</v>
      </c>
      <c r="O216" t="s">
        <v>567</v>
      </c>
      <c r="P216">
        <v>854.94</v>
      </c>
      <c r="Q216">
        <v>3</v>
      </c>
      <c r="R216">
        <v>213.73500000000001</v>
      </c>
      <c r="S216" t="s">
        <v>66</v>
      </c>
    </row>
    <row r="217" spans="1:19" x14ac:dyDescent="0.35">
      <c r="A217" t="s">
        <v>974</v>
      </c>
      <c r="B217" s="1">
        <v>41831</v>
      </c>
      <c r="C217" s="1">
        <v>41835</v>
      </c>
      <c r="D217" t="s">
        <v>37</v>
      </c>
      <c r="E217" t="s">
        <v>975</v>
      </c>
      <c r="F217" t="s">
        <v>976</v>
      </c>
      <c r="G217" t="s">
        <v>84</v>
      </c>
      <c r="H217" t="s">
        <v>24</v>
      </c>
      <c r="I217" t="s">
        <v>380</v>
      </c>
      <c r="J217" t="s">
        <v>354</v>
      </c>
      <c r="K217" t="s">
        <v>63</v>
      </c>
      <c r="L217" t="s">
        <v>166</v>
      </c>
      <c r="M217" t="s">
        <v>29</v>
      </c>
      <c r="N217" t="s">
        <v>53</v>
      </c>
      <c r="O217" t="s">
        <v>167</v>
      </c>
      <c r="P217">
        <v>124.11</v>
      </c>
      <c r="Q217">
        <v>9</v>
      </c>
      <c r="R217">
        <v>52.126199999999997</v>
      </c>
      <c r="S217" t="s">
        <v>66</v>
      </c>
    </row>
    <row r="218" spans="1:19" x14ac:dyDescent="0.35">
      <c r="A218" t="s">
        <v>977</v>
      </c>
      <c r="B218" s="1">
        <v>42482</v>
      </c>
      <c r="C218" s="1">
        <v>42486</v>
      </c>
      <c r="D218" t="s">
        <v>37</v>
      </c>
      <c r="E218" t="s">
        <v>978</v>
      </c>
      <c r="F218" t="s">
        <v>979</v>
      </c>
      <c r="G218" t="s">
        <v>94</v>
      </c>
      <c r="H218" t="s">
        <v>24</v>
      </c>
      <c r="I218" t="s">
        <v>980</v>
      </c>
      <c r="J218" t="s">
        <v>556</v>
      </c>
      <c r="K218" t="s">
        <v>87</v>
      </c>
      <c r="L218" t="s">
        <v>981</v>
      </c>
      <c r="M218" t="s">
        <v>29</v>
      </c>
      <c r="N218" t="s">
        <v>53</v>
      </c>
      <c r="O218" t="s">
        <v>982</v>
      </c>
      <c r="P218">
        <v>86.62</v>
      </c>
      <c r="Q218">
        <v>2</v>
      </c>
      <c r="R218">
        <v>8.6620000000000008</v>
      </c>
      <c r="S218" t="s">
        <v>107</v>
      </c>
    </row>
    <row r="219" spans="1:19" x14ac:dyDescent="0.35">
      <c r="A219" t="s">
        <v>983</v>
      </c>
      <c r="B219" s="1">
        <v>42449</v>
      </c>
      <c r="C219" s="1">
        <v>42453</v>
      </c>
      <c r="D219" t="s">
        <v>37</v>
      </c>
      <c r="E219" t="s">
        <v>984</v>
      </c>
      <c r="F219" t="s">
        <v>985</v>
      </c>
      <c r="G219" t="s">
        <v>94</v>
      </c>
      <c r="H219" t="s">
        <v>24</v>
      </c>
      <c r="I219" t="s">
        <v>986</v>
      </c>
      <c r="J219" t="s">
        <v>556</v>
      </c>
      <c r="K219" t="s">
        <v>87</v>
      </c>
      <c r="L219" t="s">
        <v>775</v>
      </c>
      <c r="M219" t="s">
        <v>29</v>
      </c>
      <c r="N219" t="s">
        <v>43</v>
      </c>
      <c r="O219" t="s">
        <v>776</v>
      </c>
      <c r="P219">
        <v>697.16</v>
      </c>
      <c r="Q219">
        <v>4</v>
      </c>
      <c r="R219">
        <v>146.40360000000001</v>
      </c>
      <c r="S219" t="s">
        <v>187</v>
      </c>
    </row>
    <row r="220" spans="1:19" x14ac:dyDescent="0.35">
      <c r="A220" t="s">
        <v>987</v>
      </c>
      <c r="B220" s="1">
        <v>42619</v>
      </c>
      <c r="C220" s="1">
        <v>42622</v>
      </c>
      <c r="D220" t="s">
        <v>20</v>
      </c>
      <c r="E220" t="s">
        <v>988</v>
      </c>
      <c r="F220" t="s">
        <v>989</v>
      </c>
      <c r="G220" t="s">
        <v>23</v>
      </c>
      <c r="H220" t="s">
        <v>24</v>
      </c>
      <c r="I220" t="s">
        <v>165</v>
      </c>
      <c r="J220" t="s">
        <v>114</v>
      </c>
      <c r="K220" t="s">
        <v>63</v>
      </c>
      <c r="L220" t="s">
        <v>990</v>
      </c>
      <c r="M220" t="s">
        <v>29</v>
      </c>
      <c r="N220" t="s">
        <v>30</v>
      </c>
      <c r="O220" t="s">
        <v>991</v>
      </c>
      <c r="P220">
        <v>722.35199999999998</v>
      </c>
      <c r="Q220">
        <v>3</v>
      </c>
      <c r="R220">
        <v>90.293999999999997</v>
      </c>
      <c r="S220" t="s">
        <v>72</v>
      </c>
    </row>
    <row r="221" spans="1:19" x14ac:dyDescent="0.35">
      <c r="A221" t="s">
        <v>992</v>
      </c>
      <c r="B221" s="1">
        <v>43020</v>
      </c>
      <c r="C221" s="1">
        <v>43024</v>
      </c>
      <c r="D221" t="s">
        <v>37</v>
      </c>
      <c r="E221" t="s">
        <v>92</v>
      </c>
      <c r="F221" t="s">
        <v>93</v>
      </c>
      <c r="G221" t="s">
        <v>94</v>
      </c>
      <c r="H221" t="s">
        <v>24</v>
      </c>
      <c r="I221" t="s">
        <v>993</v>
      </c>
      <c r="J221" t="s">
        <v>126</v>
      </c>
      <c r="K221" t="s">
        <v>87</v>
      </c>
      <c r="L221" t="s">
        <v>994</v>
      </c>
      <c r="M221" t="s">
        <v>29</v>
      </c>
      <c r="N221" t="s">
        <v>34</v>
      </c>
      <c r="O221" t="s">
        <v>995</v>
      </c>
      <c r="P221">
        <v>254.60400000000001</v>
      </c>
      <c r="Q221">
        <v>14</v>
      </c>
      <c r="R221">
        <v>-18.186</v>
      </c>
      <c r="S221" t="s">
        <v>45</v>
      </c>
    </row>
    <row r="222" spans="1:19" x14ac:dyDescent="0.35">
      <c r="A222" t="s">
        <v>996</v>
      </c>
      <c r="B222" s="1">
        <v>42437</v>
      </c>
      <c r="C222" s="1">
        <v>42442</v>
      </c>
      <c r="D222" t="s">
        <v>37</v>
      </c>
      <c r="E222" t="s">
        <v>834</v>
      </c>
      <c r="F222" t="s">
        <v>835</v>
      </c>
      <c r="G222" t="s">
        <v>23</v>
      </c>
      <c r="H222" t="s">
        <v>24</v>
      </c>
      <c r="I222" t="s">
        <v>997</v>
      </c>
      <c r="J222" t="s">
        <v>41</v>
      </c>
      <c r="K222" t="s">
        <v>27</v>
      </c>
      <c r="L222" t="s">
        <v>173</v>
      </c>
      <c r="M222" t="s">
        <v>29</v>
      </c>
      <c r="N222" t="s">
        <v>53</v>
      </c>
      <c r="O222" t="s">
        <v>174</v>
      </c>
      <c r="P222">
        <v>102.36</v>
      </c>
      <c r="Q222">
        <v>3</v>
      </c>
      <c r="R222">
        <v>-3.8384999999999998</v>
      </c>
      <c r="S222" t="s">
        <v>187</v>
      </c>
    </row>
    <row r="223" spans="1:19" x14ac:dyDescent="0.35">
      <c r="A223" t="s">
        <v>998</v>
      </c>
      <c r="B223" s="1">
        <v>42188</v>
      </c>
      <c r="C223" s="1">
        <v>42190</v>
      </c>
      <c r="D223" t="s">
        <v>81</v>
      </c>
      <c r="E223" t="s">
        <v>999</v>
      </c>
      <c r="F223" t="s">
        <v>1000</v>
      </c>
      <c r="G223" t="s">
        <v>84</v>
      </c>
      <c r="H223" t="s">
        <v>24</v>
      </c>
      <c r="I223" t="s">
        <v>61</v>
      </c>
      <c r="J223" t="s">
        <v>62</v>
      </c>
      <c r="K223" t="s">
        <v>63</v>
      </c>
      <c r="L223" t="s">
        <v>1001</v>
      </c>
      <c r="M223" t="s">
        <v>29</v>
      </c>
      <c r="N223" t="s">
        <v>53</v>
      </c>
      <c r="O223" t="s">
        <v>1002</v>
      </c>
      <c r="P223">
        <v>168.464</v>
      </c>
      <c r="Q223">
        <v>2</v>
      </c>
      <c r="R223">
        <v>-29.481200000000001</v>
      </c>
      <c r="S223" t="s">
        <v>66</v>
      </c>
    </row>
    <row r="224" spans="1:19" x14ac:dyDescent="0.35">
      <c r="A224" t="s">
        <v>998</v>
      </c>
      <c r="B224" s="1">
        <v>42188</v>
      </c>
      <c r="C224" s="1">
        <v>42190</v>
      </c>
      <c r="D224" t="s">
        <v>81</v>
      </c>
      <c r="E224" t="s">
        <v>999</v>
      </c>
      <c r="F224" t="s">
        <v>1000</v>
      </c>
      <c r="G224" t="s">
        <v>84</v>
      </c>
      <c r="H224" t="s">
        <v>24</v>
      </c>
      <c r="I224" t="s">
        <v>61</v>
      </c>
      <c r="J224" t="s">
        <v>62</v>
      </c>
      <c r="K224" t="s">
        <v>63</v>
      </c>
      <c r="L224" t="s">
        <v>1003</v>
      </c>
      <c r="M224" t="s">
        <v>29</v>
      </c>
      <c r="N224" t="s">
        <v>53</v>
      </c>
      <c r="O224" t="s">
        <v>1004</v>
      </c>
      <c r="P224">
        <v>282.88799999999998</v>
      </c>
      <c r="Q224">
        <v>9</v>
      </c>
      <c r="R224">
        <v>56.577599999999997</v>
      </c>
      <c r="S224" t="s">
        <v>66</v>
      </c>
    </row>
    <row r="225" spans="1:19" x14ac:dyDescent="0.35">
      <c r="A225" t="s">
        <v>1005</v>
      </c>
      <c r="B225" s="1">
        <v>42098</v>
      </c>
      <c r="C225" s="1">
        <v>42102</v>
      </c>
      <c r="D225" t="s">
        <v>37</v>
      </c>
      <c r="E225" t="s">
        <v>1006</v>
      </c>
      <c r="F225" t="s">
        <v>1007</v>
      </c>
      <c r="G225" t="s">
        <v>94</v>
      </c>
      <c r="H225" t="s">
        <v>24</v>
      </c>
      <c r="I225" t="s">
        <v>165</v>
      </c>
      <c r="J225" t="s">
        <v>114</v>
      </c>
      <c r="K225" t="s">
        <v>63</v>
      </c>
      <c r="L225" t="s">
        <v>1008</v>
      </c>
      <c r="M225" t="s">
        <v>29</v>
      </c>
      <c r="N225" t="s">
        <v>53</v>
      </c>
      <c r="O225" t="s">
        <v>1009</v>
      </c>
      <c r="P225">
        <v>108.4</v>
      </c>
      <c r="Q225">
        <v>2</v>
      </c>
      <c r="R225">
        <v>22.763999999999999</v>
      </c>
      <c r="S225" t="s">
        <v>107</v>
      </c>
    </row>
    <row r="226" spans="1:19" x14ac:dyDescent="0.35">
      <c r="A226" t="s">
        <v>1010</v>
      </c>
      <c r="B226" s="1">
        <v>42086</v>
      </c>
      <c r="C226" s="1">
        <v>42092</v>
      </c>
      <c r="D226" t="s">
        <v>37</v>
      </c>
      <c r="E226" t="s">
        <v>1011</v>
      </c>
      <c r="F226" t="s">
        <v>1012</v>
      </c>
      <c r="G226" t="s">
        <v>23</v>
      </c>
      <c r="H226" t="s">
        <v>24</v>
      </c>
      <c r="I226" t="s">
        <v>95</v>
      </c>
      <c r="J226" t="s">
        <v>86</v>
      </c>
      <c r="K226" t="s">
        <v>87</v>
      </c>
      <c r="L226" t="s">
        <v>479</v>
      </c>
      <c r="M226" t="s">
        <v>29</v>
      </c>
      <c r="N226" t="s">
        <v>34</v>
      </c>
      <c r="O226" t="s">
        <v>480</v>
      </c>
      <c r="P226">
        <v>107.77200000000001</v>
      </c>
      <c r="Q226">
        <v>2</v>
      </c>
      <c r="R226">
        <v>-29.252400000000002</v>
      </c>
      <c r="S226" t="s">
        <v>187</v>
      </c>
    </row>
    <row r="227" spans="1:19" x14ac:dyDescent="0.35">
      <c r="A227" t="s">
        <v>1013</v>
      </c>
      <c r="B227" s="1">
        <v>42644</v>
      </c>
      <c r="C227" s="1">
        <v>42645</v>
      </c>
      <c r="D227" t="s">
        <v>81</v>
      </c>
      <c r="E227" t="s">
        <v>1014</v>
      </c>
      <c r="F227" t="s">
        <v>1015</v>
      </c>
      <c r="G227" t="s">
        <v>23</v>
      </c>
      <c r="H227" t="s">
        <v>24</v>
      </c>
      <c r="I227" t="s">
        <v>320</v>
      </c>
      <c r="J227" t="s">
        <v>50</v>
      </c>
      <c r="K227" t="s">
        <v>51</v>
      </c>
      <c r="L227" t="s">
        <v>127</v>
      </c>
      <c r="M227" t="s">
        <v>29</v>
      </c>
      <c r="N227" t="s">
        <v>34</v>
      </c>
      <c r="O227" t="s">
        <v>128</v>
      </c>
      <c r="P227">
        <v>194.84800000000001</v>
      </c>
      <c r="Q227">
        <v>4</v>
      </c>
      <c r="R227">
        <v>12.178000000000001</v>
      </c>
      <c r="S227" t="s">
        <v>45</v>
      </c>
    </row>
    <row r="228" spans="1:19" x14ac:dyDescent="0.35">
      <c r="A228" t="s">
        <v>1016</v>
      </c>
      <c r="B228" s="1">
        <v>42337</v>
      </c>
      <c r="C228" s="1">
        <v>42342</v>
      </c>
      <c r="D228" t="s">
        <v>37</v>
      </c>
      <c r="E228" t="s">
        <v>1017</v>
      </c>
      <c r="F228" t="s">
        <v>1018</v>
      </c>
      <c r="G228" t="s">
        <v>84</v>
      </c>
      <c r="H228" t="s">
        <v>24</v>
      </c>
      <c r="I228" t="s">
        <v>280</v>
      </c>
      <c r="J228" t="s">
        <v>281</v>
      </c>
      <c r="K228" t="s">
        <v>87</v>
      </c>
      <c r="L228" t="s">
        <v>1019</v>
      </c>
      <c r="M228" t="s">
        <v>29</v>
      </c>
      <c r="N228" t="s">
        <v>34</v>
      </c>
      <c r="O228" t="s">
        <v>1020</v>
      </c>
      <c r="P228">
        <v>1106.9100000000001</v>
      </c>
      <c r="Q228">
        <v>9</v>
      </c>
      <c r="R228">
        <v>121.76009999999999</v>
      </c>
      <c r="S228" t="s">
        <v>32</v>
      </c>
    </row>
    <row r="229" spans="1:19" x14ac:dyDescent="0.35">
      <c r="A229" t="s">
        <v>1021</v>
      </c>
      <c r="B229" s="1">
        <v>42430</v>
      </c>
      <c r="C229" s="1">
        <v>42434</v>
      </c>
      <c r="D229" t="s">
        <v>37</v>
      </c>
      <c r="E229" t="s">
        <v>1022</v>
      </c>
      <c r="F229" t="s">
        <v>1023</v>
      </c>
      <c r="G229" t="s">
        <v>23</v>
      </c>
      <c r="H229" t="s">
        <v>24</v>
      </c>
      <c r="I229" t="s">
        <v>1024</v>
      </c>
      <c r="J229" t="s">
        <v>114</v>
      </c>
      <c r="K229" t="s">
        <v>63</v>
      </c>
      <c r="L229" t="s">
        <v>775</v>
      </c>
      <c r="M229" t="s">
        <v>29</v>
      </c>
      <c r="N229" t="s">
        <v>43</v>
      </c>
      <c r="O229" t="s">
        <v>776</v>
      </c>
      <c r="P229">
        <v>836.59199999999998</v>
      </c>
      <c r="Q229">
        <v>8</v>
      </c>
      <c r="R229">
        <v>-264.92079999999999</v>
      </c>
      <c r="S229" t="s">
        <v>187</v>
      </c>
    </row>
    <row r="230" spans="1:19" x14ac:dyDescent="0.35">
      <c r="A230" t="s">
        <v>1025</v>
      </c>
      <c r="B230" s="1">
        <v>42890</v>
      </c>
      <c r="C230" s="1">
        <v>42896</v>
      </c>
      <c r="D230" t="s">
        <v>37</v>
      </c>
      <c r="E230" t="s">
        <v>929</v>
      </c>
      <c r="F230" t="s">
        <v>930</v>
      </c>
      <c r="G230" t="s">
        <v>84</v>
      </c>
      <c r="H230" t="s">
        <v>24</v>
      </c>
      <c r="I230" t="s">
        <v>1026</v>
      </c>
      <c r="J230" t="s">
        <v>1027</v>
      </c>
      <c r="K230" t="s">
        <v>27</v>
      </c>
      <c r="L230" t="s">
        <v>392</v>
      </c>
      <c r="M230" t="s">
        <v>29</v>
      </c>
      <c r="N230" t="s">
        <v>53</v>
      </c>
      <c r="O230" t="s">
        <v>393</v>
      </c>
      <c r="P230">
        <v>31.984000000000002</v>
      </c>
      <c r="Q230">
        <v>2</v>
      </c>
      <c r="R230">
        <v>1.9990000000000001</v>
      </c>
      <c r="S230" t="s">
        <v>55</v>
      </c>
    </row>
    <row r="231" spans="1:19" x14ac:dyDescent="0.35">
      <c r="A231" t="s">
        <v>1028</v>
      </c>
      <c r="B231" s="1">
        <v>41815</v>
      </c>
      <c r="C231" s="1">
        <v>41818</v>
      </c>
      <c r="D231" t="s">
        <v>81</v>
      </c>
      <c r="E231" t="s">
        <v>1029</v>
      </c>
      <c r="F231" t="s">
        <v>1030</v>
      </c>
      <c r="G231" t="s">
        <v>84</v>
      </c>
      <c r="H231" t="s">
        <v>24</v>
      </c>
      <c r="I231" t="s">
        <v>49</v>
      </c>
      <c r="J231" t="s">
        <v>50</v>
      </c>
      <c r="K231" t="s">
        <v>51</v>
      </c>
      <c r="L231" t="s">
        <v>1031</v>
      </c>
      <c r="M231" t="s">
        <v>29</v>
      </c>
      <c r="N231" t="s">
        <v>43</v>
      </c>
      <c r="O231" t="s">
        <v>1032</v>
      </c>
      <c r="P231">
        <v>447.84</v>
      </c>
      <c r="Q231">
        <v>5</v>
      </c>
      <c r="R231">
        <v>11.196</v>
      </c>
      <c r="S231" t="s">
        <v>55</v>
      </c>
    </row>
    <row r="232" spans="1:19" x14ac:dyDescent="0.35">
      <c r="A232" t="s">
        <v>1033</v>
      </c>
      <c r="B232" s="1">
        <v>42535</v>
      </c>
      <c r="C232" s="1">
        <v>42538</v>
      </c>
      <c r="D232" t="s">
        <v>81</v>
      </c>
      <c r="E232" t="s">
        <v>1034</v>
      </c>
      <c r="F232" t="s">
        <v>1035</v>
      </c>
      <c r="G232" t="s">
        <v>94</v>
      </c>
      <c r="H232" t="s">
        <v>24</v>
      </c>
      <c r="I232" t="s">
        <v>320</v>
      </c>
      <c r="J232" t="s">
        <v>50</v>
      </c>
      <c r="K232" t="s">
        <v>51</v>
      </c>
      <c r="L232" t="s">
        <v>491</v>
      </c>
      <c r="M232" t="s">
        <v>29</v>
      </c>
      <c r="N232" t="s">
        <v>53</v>
      </c>
      <c r="O232" t="s">
        <v>492</v>
      </c>
      <c r="P232">
        <v>8.73</v>
      </c>
      <c r="Q232">
        <v>3</v>
      </c>
      <c r="R232">
        <v>4.1031000000000004</v>
      </c>
      <c r="S232" t="s">
        <v>55</v>
      </c>
    </row>
    <row r="233" spans="1:19" x14ac:dyDescent="0.35">
      <c r="A233" t="s">
        <v>1036</v>
      </c>
      <c r="B233" s="1">
        <v>42693</v>
      </c>
      <c r="C233" s="1">
        <v>42698</v>
      </c>
      <c r="D233" t="s">
        <v>37</v>
      </c>
      <c r="E233" t="s">
        <v>1037</v>
      </c>
      <c r="F233" t="s">
        <v>1038</v>
      </c>
      <c r="G233" t="s">
        <v>23</v>
      </c>
      <c r="H233" t="s">
        <v>24</v>
      </c>
      <c r="I233" t="s">
        <v>95</v>
      </c>
      <c r="J233" t="s">
        <v>86</v>
      </c>
      <c r="K233" t="s">
        <v>87</v>
      </c>
      <c r="L233" t="s">
        <v>491</v>
      </c>
      <c r="M233" t="s">
        <v>29</v>
      </c>
      <c r="N233" t="s">
        <v>53</v>
      </c>
      <c r="O233" t="s">
        <v>492</v>
      </c>
      <c r="P233">
        <v>2.3279999999999998</v>
      </c>
      <c r="Q233">
        <v>2</v>
      </c>
      <c r="R233">
        <v>-0.75660000000000005</v>
      </c>
      <c r="S233" t="s">
        <v>32</v>
      </c>
    </row>
    <row r="234" spans="1:19" x14ac:dyDescent="0.35">
      <c r="A234" t="s">
        <v>1039</v>
      </c>
      <c r="B234" s="1">
        <v>43087</v>
      </c>
      <c r="C234" s="1">
        <v>43092</v>
      </c>
      <c r="D234" t="s">
        <v>20</v>
      </c>
      <c r="E234" t="s">
        <v>1040</v>
      </c>
      <c r="F234" t="s">
        <v>1041</v>
      </c>
      <c r="G234" t="s">
        <v>23</v>
      </c>
      <c r="H234" t="s">
        <v>24</v>
      </c>
      <c r="I234" t="s">
        <v>1042</v>
      </c>
      <c r="J234" t="s">
        <v>50</v>
      </c>
      <c r="K234" t="s">
        <v>51</v>
      </c>
      <c r="L234" t="s">
        <v>1043</v>
      </c>
      <c r="M234" t="s">
        <v>29</v>
      </c>
      <c r="N234" t="s">
        <v>30</v>
      </c>
      <c r="O234" t="s">
        <v>1044</v>
      </c>
      <c r="P234">
        <v>119.833</v>
      </c>
      <c r="Q234">
        <v>1</v>
      </c>
      <c r="R234">
        <v>-12.6882</v>
      </c>
      <c r="S234" t="s">
        <v>90</v>
      </c>
    </row>
    <row r="235" spans="1:19" x14ac:dyDescent="0.35">
      <c r="A235" t="s">
        <v>1045</v>
      </c>
      <c r="B235" s="1">
        <v>41659</v>
      </c>
      <c r="C235" s="1">
        <v>41665</v>
      </c>
      <c r="D235" t="s">
        <v>37</v>
      </c>
      <c r="E235" t="s">
        <v>1046</v>
      </c>
      <c r="F235" t="s">
        <v>1047</v>
      </c>
      <c r="G235" t="s">
        <v>23</v>
      </c>
      <c r="H235" t="s">
        <v>24</v>
      </c>
      <c r="I235" t="s">
        <v>1048</v>
      </c>
      <c r="J235" t="s">
        <v>1049</v>
      </c>
      <c r="K235" t="s">
        <v>27</v>
      </c>
      <c r="L235" t="s">
        <v>144</v>
      </c>
      <c r="M235" t="s">
        <v>29</v>
      </c>
      <c r="N235" t="s">
        <v>53</v>
      </c>
      <c r="O235" t="s">
        <v>145</v>
      </c>
      <c r="P235">
        <v>38.6</v>
      </c>
      <c r="Q235">
        <v>4</v>
      </c>
      <c r="R235">
        <v>11.58</v>
      </c>
      <c r="S235" t="s">
        <v>161</v>
      </c>
    </row>
    <row r="236" spans="1:19" x14ac:dyDescent="0.35">
      <c r="A236" t="s">
        <v>1045</v>
      </c>
      <c r="B236" s="1">
        <v>41659</v>
      </c>
      <c r="C236" s="1">
        <v>41665</v>
      </c>
      <c r="D236" t="s">
        <v>37</v>
      </c>
      <c r="E236" t="s">
        <v>1046</v>
      </c>
      <c r="F236" t="s">
        <v>1047</v>
      </c>
      <c r="G236" t="s">
        <v>23</v>
      </c>
      <c r="H236" t="s">
        <v>24</v>
      </c>
      <c r="I236" t="s">
        <v>1048</v>
      </c>
      <c r="J236" t="s">
        <v>1049</v>
      </c>
      <c r="K236" t="s">
        <v>27</v>
      </c>
      <c r="L236" t="s">
        <v>505</v>
      </c>
      <c r="M236" t="s">
        <v>29</v>
      </c>
      <c r="N236" t="s">
        <v>34</v>
      </c>
      <c r="O236" t="s">
        <v>506</v>
      </c>
      <c r="P236">
        <v>1067.94</v>
      </c>
      <c r="Q236">
        <v>3</v>
      </c>
      <c r="R236">
        <v>224.26740000000001</v>
      </c>
      <c r="S236" t="s">
        <v>161</v>
      </c>
    </row>
    <row r="237" spans="1:19" x14ac:dyDescent="0.35">
      <c r="A237" t="s">
        <v>1050</v>
      </c>
      <c r="B237" s="1">
        <v>42472</v>
      </c>
      <c r="C237" s="1">
        <v>42476</v>
      </c>
      <c r="D237" t="s">
        <v>37</v>
      </c>
      <c r="E237" t="s">
        <v>1051</v>
      </c>
      <c r="F237" t="s">
        <v>1052</v>
      </c>
      <c r="G237" t="s">
        <v>23</v>
      </c>
      <c r="H237" t="s">
        <v>24</v>
      </c>
      <c r="I237" t="s">
        <v>869</v>
      </c>
      <c r="J237" t="s">
        <v>707</v>
      </c>
      <c r="K237" t="s">
        <v>27</v>
      </c>
      <c r="L237" t="s">
        <v>1053</v>
      </c>
      <c r="M237" t="s">
        <v>29</v>
      </c>
      <c r="N237" t="s">
        <v>43</v>
      </c>
      <c r="O237" t="s">
        <v>1054</v>
      </c>
      <c r="P237">
        <v>343.92</v>
      </c>
      <c r="Q237">
        <v>4</v>
      </c>
      <c r="R237">
        <v>75.662400000000005</v>
      </c>
      <c r="S237" t="s">
        <v>107</v>
      </c>
    </row>
    <row r="238" spans="1:19" x14ac:dyDescent="0.35">
      <c r="A238" t="s">
        <v>1055</v>
      </c>
      <c r="B238" s="1">
        <v>41911</v>
      </c>
      <c r="C238" s="1">
        <v>41915</v>
      </c>
      <c r="D238" t="s">
        <v>37</v>
      </c>
      <c r="E238" t="s">
        <v>1056</v>
      </c>
      <c r="F238" t="s">
        <v>1057</v>
      </c>
      <c r="G238" t="s">
        <v>23</v>
      </c>
      <c r="H238" t="s">
        <v>24</v>
      </c>
      <c r="I238" t="s">
        <v>49</v>
      </c>
      <c r="J238" t="s">
        <v>50</v>
      </c>
      <c r="K238" t="s">
        <v>51</v>
      </c>
      <c r="L238" t="s">
        <v>926</v>
      </c>
      <c r="M238" t="s">
        <v>29</v>
      </c>
      <c r="N238" t="s">
        <v>53</v>
      </c>
      <c r="O238" t="s">
        <v>927</v>
      </c>
      <c r="P238">
        <v>204.6</v>
      </c>
      <c r="Q238">
        <v>2</v>
      </c>
      <c r="R238">
        <v>53.195999999999998</v>
      </c>
      <c r="S238" t="s">
        <v>72</v>
      </c>
    </row>
    <row r="239" spans="1:19" x14ac:dyDescent="0.35">
      <c r="A239" t="s">
        <v>1058</v>
      </c>
      <c r="B239" s="1">
        <v>42132</v>
      </c>
      <c r="C239" s="1">
        <v>42138</v>
      </c>
      <c r="D239" t="s">
        <v>37</v>
      </c>
      <c r="E239" t="s">
        <v>1059</v>
      </c>
      <c r="F239" t="s">
        <v>1060</v>
      </c>
      <c r="G239" t="s">
        <v>84</v>
      </c>
      <c r="H239" t="s">
        <v>24</v>
      </c>
      <c r="I239" t="s">
        <v>1061</v>
      </c>
      <c r="J239" t="s">
        <v>223</v>
      </c>
      <c r="K239" t="s">
        <v>63</v>
      </c>
      <c r="L239" t="s">
        <v>1062</v>
      </c>
      <c r="M239" t="s">
        <v>29</v>
      </c>
      <c r="N239" t="s">
        <v>53</v>
      </c>
      <c r="O239" t="s">
        <v>1063</v>
      </c>
      <c r="P239">
        <v>8.3520000000000003</v>
      </c>
      <c r="Q239">
        <v>6</v>
      </c>
      <c r="R239">
        <v>1.2527999999999999</v>
      </c>
      <c r="S239" t="s">
        <v>153</v>
      </c>
    </row>
    <row r="240" spans="1:19" x14ac:dyDescent="0.35">
      <c r="A240" t="s">
        <v>1064</v>
      </c>
      <c r="B240" s="1">
        <v>41993</v>
      </c>
      <c r="C240" s="1">
        <v>41994</v>
      </c>
      <c r="D240" t="s">
        <v>81</v>
      </c>
      <c r="E240" t="s">
        <v>1065</v>
      </c>
      <c r="F240" t="s">
        <v>1066</v>
      </c>
      <c r="G240" t="s">
        <v>94</v>
      </c>
      <c r="H240" t="s">
        <v>24</v>
      </c>
      <c r="I240" t="s">
        <v>1067</v>
      </c>
      <c r="J240" t="s">
        <v>707</v>
      </c>
      <c r="K240" t="s">
        <v>27</v>
      </c>
      <c r="L240" t="s">
        <v>1068</v>
      </c>
      <c r="M240" t="s">
        <v>29</v>
      </c>
      <c r="N240" t="s">
        <v>43</v>
      </c>
      <c r="O240" t="s">
        <v>1069</v>
      </c>
      <c r="P240">
        <v>2244.48</v>
      </c>
      <c r="Q240">
        <v>7</v>
      </c>
      <c r="R240">
        <v>493.78559999999999</v>
      </c>
      <c r="S240" t="s">
        <v>90</v>
      </c>
    </row>
    <row r="241" spans="1:19" x14ac:dyDescent="0.35">
      <c r="A241" t="s">
        <v>1064</v>
      </c>
      <c r="B241" s="1">
        <v>41993</v>
      </c>
      <c r="C241" s="1">
        <v>41994</v>
      </c>
      <c r="D241" t="s">
        <v>81</v>
      </c>
      <c r="E241" t="s">
        <v>1065</v>
      </c>
      <c r="F241" t="s">
        <v>1066</v>
      </c>
      <c r="G241" t="s">
        <v>94</v>
      </c>
      <c r="H241" t="s">
        <v>24</v>
      </c>
      <c r="I241" t="s">
        <v>1067</v>
      </c>
      <c r="J241" t="s">
        <v>707</v>
      </c>
      <c r="K241" t="s">
        <v>27</v>
      </c>
      <c r="L241" t="s">
        <v>432</v>
      </c>
      <c r="M241" t="s">
        <v>29</v>
      </c>
      <c r="N241" t="s">
        <v>43</v>
      </c>
      <c r="O241" t="s">
        <v>433</v>
      </c>
      <c r="P241">
        <v>455.1</v>
      </c>
      <c r="Q241">
        <v>2</v>
      </c>
      <c r="R241">
        <v>100.122</v>
      </c>
      <c r="S241" t="s">
        <v>90</v>
      </c>
    </row>
    <row r="242" spans="1:19" x14ac:dyDescent="0.35">
      <c r="A242" t="s">
        <v>1070</v>
      </c>
      <c r="B242" s="1">
        <v>42553</v>
      </c>
      <c r="C242" s="1">
        <v>42558</v>
      </c>
      <c r="D242" t="s">
        <v>20</v>
      </c>
      <c r="E242" t="s">
        <v>1071</v>
      </c>
      <c r="F242" t="s">
        <v>1072</v>
      </c>
      <c r="G242" t="s">
        <v>84</v>
      </c>
      <c r="H242" t="s">
        <v>24</v>
      </c>
      <c r="I242" t="s">
        <v>49</v>
      </c>
      <c r="J242" t="s">
        <v>50</v>
      </c>
      <c r="K242" t="s">
        <v>51</v>
      </c>
      <c r="L242" t="s">
        <v>1073</v>
      </c>
      <c r="M242" t="s">
        <v>29</v>
      </c>
      <c r="N242" t="s">
        <v>34</v>
      </c>
      <c r="O242" t="s">
        <v>1074</v>
      </c>
      <c r="P242">
        <v>195.184</v>
      </c>
      <c r="Q242">
        <v>1</v>
      </c>
      <c r="R242">
        <v>19.5184</v>
      </c>
      <c r="S242" t="s">
        <v>66</v>
      </c>
    </row>
    <row r="243" spans="1:19" x14ac:dyDescent="0.35">
      <c r="A243" t="s">
        <v>1075</v>
      </c>
      <c r="B243" s="1">
        <v>43077</v>
      </c>
      <c r="C243" s="1">
        <v>43079</v>
      </c>
      <c r="D243" t="s">
        <v>20</v>
      </c>
      <c r="E243" t="s">
        <v>932</v>
      </c>
      <c r="F243" t="s">
        <v>933</v>
      </c>
      <c r="G243" t="s">
        <v>23</v>
      </c>
      <c r="H243" t="s">
        <v>24</v>
      </c>
      <c r="I243" t="s">
        <v>165</v>
      </c>
      <c r="J243" t="s">
        <v>114</v>
      </c>
      <c r="K243" t="s">
        <v>63</v>
      </c>
      <c r="L243" t="s">
        <v>1076</v>
      </c>
      <c r="M243" t="s">
        <v>29</v>
      </c>
      <c r="N243" t="s">
        <v>53</v>
      </c>
      <c r="O243" t="s">
        <v>1077</v>
      </c>
      <c r="P243">
        <v>109.48</v>
      </c>
      <c r="Q243">
        <v>2</v>
      </c>
      <c r="R243">
        <v>33.938800000000001</v>
      </c>
      <c r="S243" t="s">
        <v>90</v>
      </c>
    </row>
    <row r="244" spans="1:19" x14ac:dyDescent="0.35">
      <c r="A244" t="s">
        <v>1078</v>
      </c>
      <c r="B244" s="1">
        <v>42705</v>
      </c>
      <c r="C244" s="1">
        <v>42709</v>
      </c>
      <c r="D244" t="s">
        <v>37</v>
      </c>
      <c r="E244" t="s">
        <v>130</v>
      </c>
      <c r="F244" t="s">
        <v>131</v>
      </c>
      <c r="G244" t="s">
        <v>23</v>
      </c>
      <c r="H244" t="s">
        <v>24</v>
      </c>
      <c r="I244" t="s">
        <v>1079</v>
      </c>
      <c r="J244" t="s">
        <v>1080</v>
      </c>
      <c r="K244" t="s">
        <v>63</v>
      </c>
      <c r="L244" t="s">
        <v>1081</v>
      </c>
      <c r="M244" t="s">
        <v>29</v>
      </c>
      <c r="N244" t="s">
        <v>34</v>
      </c>
      <c r="O244" t="s">
        <v>1082</v>
      </c>
      <c r="P244">
        <v>172.5</v>
      </c>
      <c r="Q244">
        <v>2</v>
      </c>
      <c r="R244">
        <v>51.75</v>
      </c>
      <c r="S244" t="s">
        <v>90</v>
      </c>
    </row>
    <row r="245" spans="1:19" x14ac:dyDescent="0.35">
      <c r="A245" t="s">
        <v>1083</v>
      </c>
      <c r="B245" s="1">
        <v>42792</v>
      </c>
      <c r="C245" s="1">
        <v>42794</v>
      </c>
      <c r="D245" t="s">
        <v>20</v>
      </c>
      <c r="E245" t="s">
        <v>1084</v>
      </c>
      <c r="F245" t="s">
        <v>1085</v>
      </c>
      <c r="G245" t="s">
        <v>94</v>
      </c>
      <c r="H245" t="s">
        <v>24</v>
      </c>
      <c r="I245" t="s">
        <v>49</v>
      </c>
      <c r="J245" t="s">
        <v>50</v>
      </c>
      <c r="K245" t="s">
        <v>51</v>
      </c>
      <c r="L245" t="s">
        <v>1086</v>
      </c>
      <c r="M245" t="s">
        <v>29</v>
      </c>
      <c r="N245" t="s">
        <v>34</v>
      </c>
      <c r="O245" t="s">
        <v>1087</v>
      </c>
      <c r="P245">
        <v>892.22400000000005</v>
      </c>
      <c r="Q245">
        <v>3</v>
      </c>
      <c r="R245">
        <v>89.222399999999993</v>
      </c>
      <c r="S245" t="s">
        <v>289</v>
      </c>
    </row>
    <row r="246" spans="1:19" x14ac:dyDescent="0.35">
      <c r="A246" t="s">
        <v>1088</v>
      </c>
      <c r="B246" s="1">
        <v>42262</v>
      </c>
      <c r="C246" s="1">
        <v>42262</v>
      </c>
      <c r="D246" t="s">
        <v>417</v>
      </c>
      <c r="E246" t="s">
        <v>637</v>
      </c>
      <c r="F246" t="s">
        <v>638</v>
      </c>
      <c r="G246" t="s">
        <v>84</v>
      </c>
      <c r="H246" t="s">
        <v>24</v>
      </c>
      <c r="I246" t="s">
        <v>1089</v>
      </c>
      <c r="J246" t="s">
        <v>41</v>
      </c>
      <c r="K246" t="s">
        <v>27</v>
      </c>
      <c r="L246" t="s">
        <v>1090</v>
      </c>
      <c r="M246" t="s">
        <v>29</v>
      </c>
      <c r="N246" t="s">
        <v>53</v>
      </c>
      <c r="O246" t="s">
        <v>1091</v>
      </c>
      <c r="P246">
        <v>15.712</v>
      </c>
      <c r="Q246">
        <v>4</v>
      </c>
      <c r="R246">
        <v>2.5531999999999999</v>
      </c>
      <c r="S246" t="s">
        <v>72</v>
      </c>
    </row>
    <row r="247" spans="1:19" x14ac:dyDescent="0.35">
      <c r="A247" t="s">
        <v>1088</v>
      </c>
      <c r="B247" s="1">
        <v>42262</v>
      </c>
      <c r="C247" s="1">
        <v>42262</v>
      </c>
      <c r="D247" t="s">
        <v>417</v>
      </c>
      <c r="E247" t="s">
        <v>637</v>
      </c>
      <c r="F247" t="s">
        <v>638</v>
      </c>
      <c r="G247" t="s">
        <v>84</v>
      </c>
      <c r="H247" t="s">
        <v>24</v>
      </c>
      <c r="I247" t="s">
        <v>1089</v>
      </c>
      <c r="J247" t="s">
        <v>41</v>
      </c>
      <c r="K247" t="s">
        <v>27</v>
      </c>
      <c r="L247" t="s">
        <v>716</v>
      </c>
      <c r="M247" t="s">
        <v>29</v>
      </c>
      <c r="N247" t="s">
        <v>53</v>
      </c>
      <c r="O247" t="s">
        <v>717</v>
      </c>
      <c r="P247">
        <v>55.968000000000004</v>
      </c>
      <c r="Q247">
        <v>1</v>
      </c>
      <c r="R247">
        <v>-2.0988000000000002</v>
      </c>
      <c r="S247" t="s">
        <v>72</v>
      </c>
    </row>
    <row r="248" spans="1:19" x14ac:dyDescent="0.35">
      <c r="A248" t="s">
        <v>1092</v>
      </c>
      <c r="B248" s="1">
        <v>42468</v>
      </c>
      <c r="C248" s="1">
        <v>42472</v>
      </c>
      <c r="D248" t="s">
        <v>37</v>
      </c>
      <c r="E248" t="s">
        <v>834</v>
      </c>
      <c r="F248" t="s">
        <v>835</v>
      </c>
      <c r="G248" t="s">
        <v>23</v>
      </c>
      <c r="H248" t="s">
        <v>24</v>
      </c>
      <c r="I248" t="s">
        <v>95</v>
      </c>
      <c r="J248" t="s">
        <v>86</v>
      </c>
      <c r="K248" t="s">
        <v>87</v>
      </c>
      <c r="L248" t="s">
        <v>1093</v>
      </c>
      <c r="M248" t="s">
        <v>29</v>
      </c>
      <c r="N248" t="s">
        <v>34</v>
      </c>
      <c r="O248" t="s">
        <v>1094</v>
      </c>
      <c r="P248">
        <v>95.983999999999995</v>
      </c>
      <c r="Q248">
        <v>4</v>
      </c>
      <c r="R248">
        <v>-4.1135999999999999</v>
      </c>
      <c r="S248" t="s">
        <v>107</v>
      </c>
    </row>
    <row r="249" spans="1:19" x14ac:dyDescent="0.35">
      <c r="A249" t="s">
        <v>1095</v>
      </c>
      <c r="B249" s="1">
        <v>42569</v>
      </c>
      <c r="C249" s="1">
        <v>42575</v>
      </c>
      <c r="D249" t="s">
        <v>37</v>
      </c>
      <c r="E249" t="s">
        <v>1096</v>
      </c>
      <c r="F249" t="s">
        <v>1097</v>
      </c>
      <c r="G249" t="s">
        <v>84</v>
      </c>
      <c r="H249" t="s">
        <v>24</v>
      </c>
      <c r="I249" t="s">
        <v>257</v>
      </c>
      <c r="J249" t="s">
        <v>172</v>
      </c>
      <c r="K249" t="s">
        <v>51</v>
      </c>
      <c r="L249" t="s">
        <v>796</v>
      </c>
      <c r="M249" t="s">
        <v>29</v>
      </c>
      <c r="N249" t="s">
        <v>34</v>
      </c>
      <c r="O249" t="s">
        <v>797</v>
      </c>
      <c r="P249">
        <v>544.00800000000004</v>
      </c>
      <c r="Q249">
        <v>3</v>
      </c>
      <c r="R249">
        <v>40.800600000000003</v>
      </c>
      <c r="S249" t="s">
        <v>66</v>
      </c>
    </row>
    <row r="250" spans="1:19" x14ac:dyDescent="0.35">
      <c r="A250" t="s">
        <v>1095</v>
      </c>
      <c r="B250" s="1">
        <v>42569</v>
      </c>
      <c r="C250" s="1">
        <v>42575</v>
      </c>
      <c r="D250" t="s">
        <v>37</v>
      </c>
      <c r="E250" t="s">
        <v>1096</v>
      </c>
      <c r="F250" t="s">
        <v>1097</v>
      </c>
      <c r="G250" t="s">
        <v>84</v>
      </c>
      <c r="H250" t="s">
        <v>24</v>
      </c>
      <c r="I250" t="s">
        <v>257</v>
      </c>
      <c r="J250" t="s">
        <v>172</v>
      </c>
      <c r="K250" t="s">
        <v>51</v>
      </c>
      <c r="L250" t="s">
        <v>505</v>
      </c>
      <c r="M250" t="s">
        <v>29</v>
      </c>
      <c r="N250" t="s">
        <v>34</v>
      </c>
      <c r="O250" t="s">
        <v>506</v>
      </c>
      <c r="P250">
        <v>854.35199999999998</v>
      </c>
      <c r="Q250">
        <v>3</v>
      </c>
      <c r="R250">
        <v>10.679399999999999</v>
      </c>
      <c r="S250" t="s">
        <v>66</v>
      </c>
    </row>
    <row r="251" spans="1:19" x14ac:dyDescent="0.35">
      <c r="A251" t="s">
        <v>1098</v>
      </c>
      <c r="B251" s="1">
        <v>42565</v>
      </c>
      <c r="C251" s="1">
        <v>42569</v>
      </c>
      <c r="D251" t="s">
        <v>20</v>
      </c>
      <c r="E251" t="s">
        <v>1099</v>
      </c>
      <c r="F251" t="s">
        <v>1100</v>
      </c>
      <c r="G251" t="s">
        <v>84</v>
      </c>
      <c r="H251" t="s">
        <v>24</v>
      </c>
      <c r="I251" t="s">
        <v>165</v>
      </c>
      <c r="J251" t="s">
        <v>114</v>
      </c>
      <c r="K251" t="s">
        <v>63</v>
      </c>
      <c r="L251" t="s">
        <v>269</v>
      </c>
      <c r="M251" t="s">
        <v>29</v>
      </c>
      <c r="N251" t="s">
        <v>30</v>
      </c>
      <c r="O251" t="s">
        <v>270</v>
      </c>
      <c r="P251">
        <v>579.13599999999997</v>
      </c>
      <c r="Q251">
        <v>4</v>
      </c>
      <c r="R251">
        <v>21.717600000000001</v>
      </c>
      <c r="S251" t="s">
        <v>66</v>
      </c>
    </row>
    <row r="252" spans="1:19" x14ac:dyDescent="0.35">
      <c r="A252" t="s">
        <v>1101</v>
      </c>
      <c r="B252" s="1">
        <v>42987</v>
      </c>
      <c r="C252" s="1">
        <v>42991</v>
      </c>
      <c r="D252" t="s">
        <v>37</v>
      </c>
      <c r="E252" t="s">
        <v>1102</v>
      </c>
      <c r="F252" t="s">
        <v>1103</v>
      </c>
      <c r="G252" t="s">
        <v>84</v>
      </c>
      <c r="H252" t="s">
        <v>24</v>
      </c>
      <c r="I252" t="s">
        <v>61</v>
      </c>
      <c r="J252" t="s">
        <v>62</v>
      </c>
      <c r="K252" t="s">
        <v>63</v>
      </c>
      <c r="L252" t="s">
        <v>287</v>
      </c>
      <c r="M252" t="s">
        <v>29</v>
      </c>
      <c r="N252" t="s">
        <v>34</v>
      </c>
      <c r="O252" t="s">
        <v>288</v>
      </c>
      <c r="P252">
        <v>141.37200000000001</v>
      </c>
      <c r="Q252">
        <v>2</v>
      </c>
      <c r="R252">
        <v>-48.470399999999998</v>
      </c>
      <c r="S252" t="s">
        <v>72</v>
      </c>
    </row>
    <row r="253" spans="1:19" x14ac:dyDescent="0.35">
      <c r="A253" t="s">
        <v>1101</v>
      </c>
      <c r="B253" s="1">
        <v>42987</v>
      </c>
      <c r="C253" s="1">
        <v>42991</v>
      </c>
      <c r="D253" t="s">
        <v>37</v>
      </c>
      <c r="E253" t="s">
        <v>1102</v>
      </c>
      <c r="F253" t="s">
        <v>1103</v>
      </c>
      <c r="G253" t="s">
        <v>84</v>
      </c>
      <c r="H253" t="s">
        <v>24</v>
      </c>
      <c r="I253" t="s">
        <v>61</v>
      </c>
      <c r="J253" t="s">
        <v>62</v>
      </c>
      <c r="K253" t="s">
        <v>63</v>
      </c>
      <c r="L253" t="s">
        <v>1104</v>
      </c>
      <c r="M253" t="s">
        <v>29</v>
      </c>
      <c r="N253" t="s">
        <v>53</v>
      </c>
      <c r="O253" t="s">
        <v>1105</v>
      </c>
      <c r="P253">
        <v>17.024000000000001</v>
      </c>
      <c r="Q253">
        <v>2</v>
      </c>
      <c r="R253">
        <v>1.7023999999999999</v>
      </c>
      <c r="S253" t="s">
        <v>72</v>
      </c>
    </row>
    <row r="254" spans="1:19" x14ac:dyDescent="0.35">
      <c r="A254" t="s">
        <v>1106</v>
      </c>
      <c r="B254" s="1">
        <v>42708</v>
      </c>
      <c r="C254" s="1">
        <v>42709</v>
      </c>
      <c r="D254" t="s">
        <v>81</v>
      </c>
      <c r="E254" t="s">
        <v>235</v>
      </c>
      <c r="F254" t="s">
        <v>236</v>
      </c>
      <c r="G254" t="s">
        <v>23</v>
      </c>
      <c r="H254" t="s">
        <v>24</v>
      </c>
      <c r="I254" t="s">
        <v>165</v>
      </c>
      <c r="J254" t="s">
        <v>114</v>
      </c>
      <c r="K254" t="s">
        <v>63</v>
      </c>
      <c r="L254" t="s">
        <v>958</v>
      </c>
      <c r="M254" t="s">
        <v>29</v>
      </c>
      <c r="N254" t="s">
        <v>53</v>
      </c>
      <c r="O254" t="s">
        <v>959</v>
      </c>
      <c r="P254">
        <v>113.79</v>
      </c>
      <c r="Q254">
        <v>3</v>
      </c>
      <c r="R254">
        <v>20.482199999999999</v>
      </c>
      <c r="S254" t="s">
        <v>90</v>
      </c>
    </row>
    <row r="255" spans="1:19" x14ac:dyDescent="0.35">
      <c r="A255" t="s">
        <v>1107</v>
      </c>
      <c r="B255" s="1">
        <v>43045</v>
      </c>
      <c r="C255" s="1">
        <v>43050</v>
      </c>
      <c r="D255" t="s">
        <v>37</v>
      </c>
      <c r="E255" t="s">
        <v>834</v>
      </c>
      <c r="F255" t="s">
        <v>835</v>
      </c>
      <c r="G255" t="s">
        <v>23</v>
      </c>
      <c r="H255" t="s">
        <v>24</v>
      </c>
      <c r="I255" t="s">
        <v>49</v>
      </c>
      <c r="J255" t="s">
        <v>50</v>
      </c>
      <c r="K255" t="s">
        <v>51</v>
      </c>
      <c r="L255" t="s">
        <v>886</v>
      </c>
      <c r="M255" t="s">
        <v>29</v>
      </c>
      <c r="N255" t="s">
        <v>53</v>
      </c>
      <c r="O255" t="s">
        <v>887</v>
      </c>
      <c r="P255">
        <v>8.73</v>
      </c>
      <c r="Q255">
        <v>1</v>
      </c>
      <c r="R255">
        <v>2.9681999999999999</v>
      </c>
      <c r="S255" t="s">
        <v>32</v>
      </c>
    </row>
    <row r="256" spans="1:19" x14ac:dyDescent="0.35">
      <c r="A256" t="s">
        <v>1108</v>
      </c>
      <c r="B256" s="1">
        <v>42671</v>
      </c>
      <c r="C256" s="1">
        <v>42671</v>
      </c>
      <c r="D256" t="s">
        <v>417</v>
      </c>
      <c r="E256" t="s">
        <v>1109</v>
      </c>
      <c r="F256" t="s">
        <v>1110</v>
      </c>
      <c r="G256" t="s">
        <v>23</v>
      </c>
      <c r="H256" t="s">
        <v>24</v>
      </c>
      <c r="I256" t="s">
        <v>1111</v>
      </c>
      <c r="J256" t="s">
        <v>41</v>
      </c>
      <c r="K256" t="s">
        <v>27</v>
      </c>
      <c r="L256" t="s">
        <v>1112</v>
      </c>
      <c r="M256" t="s">
        <v>29</v>
      </c>
      <c r="N256" t="s">
        <v>53</v>
      </c>
      <c r="O256" t="s">
        <v>1113</v>
      </c>
      <c r="P256">
        <v>47.951999999999998</v>
      </c>
      <c r="Q256">
        <v>3</v>
      </c>
      <c r="R256">
        <v>13.786199999999999</v>
      </c>
      <c r="S256" t="s">
        <v>45</v>
      </c>
    </row>
    <row r="257" spans="1:19" x14ac:dyDescent="0.35">
      <c r="A257" t="s">
        <v>1108</v>
      </c>
      <c r="B257" s="1">
        <v>42671</v>
      </c>
      <c r="C257" s="1">
        <v>42671</v>
      </c>
      <c r="D257" t="s">
        <v>417</v>
      </c>
      <c r="E257" t="s">
        <v>1109</v>
      </c>
      <c r="F257" t="s">
        <v>1110</v>
      </c>
      <c r="G257" t="s">
        <v>23</v>
      </c>
      <c r="H257" t="s">
        <v>24</v>
      </c>
      <c r="I257" t="s">
        <v>1111</v>
      </c>
      <c r="J257" t="s">
        <v>41</v>
      </c>
      <c r="K257" t="s">
        <v>27</v>
      </c>
      <c r="L257" t="s">
        <v>1114</v>
      </c>
      <c r="M257" t="s">
        <v>29</v>
      </c>
      <c r="N257" t="s">
        <v>53</v>
      </c>
      <c r="O257" t="s">
        <v>1115</v>
      </c>
      <c r="P257">
        <v>63.968000000000004</v>
      </c>
      <c r="Q257">
        <v>2</v>
      </c>
      <c r="R257">
        <v>0</v>
      </c>
      <c r="S257" t="s">
        <v>45</v>
      </c>
    </row>
    <row r="258" spans="1:19" x14ac:dyDescent="0.35">
      <c r="A258" t="s">
        <v>1108</v>
      </c>
      <c r="B258" s="1">
        <v>42671</v>
      </c>
      <c r="C258" s="1">
        <v>42671</v>
      </c>
      <c r="D258" t="s">
        <v>417</v>
      </c>
      <c r="E258" t="s">
        <v>1109</v>
      </c>
      <c r="F258" t="s">
        <v>1110</v>
      </c>
      <c r="G258" t="s">
        <v>23</v>
      </c>
      <c r="H258" t="s">
        <v>24</v>
      </c>
      <c r="I258" t="s">
        <v>1111</v>
      </c>
      <c r="J258" t="s">
        <v>41</v>
      </c>
      <c r="K258" t="s">
        <v>27</v>
      </c>
      <c r="L258" t="s">
        <v>696</v>
      </c>
      <c r="M258" t="s">
        <v>29</v>
      </c>
      <c r="N258" t="s">
        <v>53</v>
      </c>
      <c r="O258" t="s">
        <v>697</v>
      </c>
      <c r="P258">
        <v>165.048</v>
      </c>
      <c r="Q258">
        <v>3</v>
      </c>
      <c r="R258">
        <v>41.262</v>
      </c>
      <c r="S258" t="s">
        <v>45</v>
      </c>
    </row>
    <row r="259" spans="1:19" x14ac:dyDescent="0.35">
      <c r="A259" t="s">
        <v>1116</v>
      </c>
      <c r="B259" s="1">
        <v>41862</v>
      </c>
      <c r="C259" s="1">
        <v>41866</v>
      </c>
      <c r="D259" t="s">
        <v>37</v>
      </c>
      <c r="E259" t="s">
        <v>1117</v>
      </c>
      <c r="F259" t="s">
        <v>1118</v>
      </c>
      <c r="G259" t="s">
        <v>23</v>
      </c>
      <c r="H259" t="s">
        <v>24</v>
      </c>
      <c r="I259" t="s">
        <v>183</v>
      </c>
      <c r="J259" t="s">
        <v>184</v>
      </c>
      <c r="K259" t="s">
        <v>51</v>
      </c>
      <c r="L259" t="s">
        <v>1119</v>
      </c>
      <c r="M259" t="s">
        <v>29</v>
      </c>
      <c r="N259" t="s">
        <v>53</v>
      </c>
      <c r="O259" t="s">
        <v>1120</v>
      </c>
      <c r="P259">
        <v>12.35</v>
      </c>
      <c r="Q259">
        <v>1</v>
      </c>
      <c r="R259">
        <v>5.4340000000000002</v>
      </c>
      <c r="S259" t="s">
        <v>245</v>
      </c>
    </row>
    <row r="260" spans="1:19" x14ac:dyDescent="0.35">
      <c r="A260" t="s">
        <v>1121</v>
      </c>
      <c r="B260" s="1">
        <v>41985</v>
      </c>
      <c r="C260" s="1">
        <v>41987</v>
      </c>
      <c r="D260" t="s">
        <v>20</v>
      </c>
      <c r="E260" t="s">
        <v>1122</v>
      </c>
      <c r="F260" t="s">
        <v>1123</v>
      </c>
      <c r="G260" t="s">
        <v>23</v>
      </c>
      <c r="H260" t="s">
        <v>24</v>
      </c>
      <c r="I260" t="s">
        <v>1124</v>
      </c>
      <c r="J260" t="s">
        <v>50</v>
      </c>
      <c r="K260" t="s">
        <v>51</v>
      </c>
      <c r="L260" t="s">
        <v>1125</v>
      </c>
      <c r="M260" t="s">
        <v>29</v>
      </c>
      <c r="N260" t="s">
        <v>43</v>
      </c>
      <c r="O260" t="s">
        <v>1126</v>
      </c>
      <c r="P260">
        <v>764.68799999999999</v>
      </c>
      <c r="Q260">
        <v>6</v>
      </c>
      <c r="R260">
        <v>95.585999999999999</v>
      </c>
      <c r="S260" t="s">
        <v>90</v>
      </c>
    </row>
    <row r="261" spans="1:19" x14ac:dyDescent="0.35">
      <c r="A261" t="s">
        <v>1121</v>
      </c>
      <c r="B261" s="1">
        <v>41985</v>
      </c>
      <c r="C261" s="1">
        <v>41987</v>
      </c>
      <c r="D261" t="s">
        <v>20</v>
      </c>
      <c r="E261" t="s">
        <v>1122</v>
      </c>
      <c r="F261" t="s">
        <v>1123</v>
      </c>
      <c r="G261" t="s">
        <v>23</v>
      </c>
      <c r="H261" t="s">
        <v>24</v>
      </c>
      <c r="I261" t="s">
        <v>1124</v>
      </c>
      <c r="J261" t="s">
        <v>50</v>
      </c>
      <c r="K261" t="s">
        <v>51</v>
      </c>
      <c r="L261" t="s">
        <v>298</v>
      </c>
      <c r="M261" t="s">
        <v>29</v>
      </c>
      <c r="N261" t="s">
        <v>43</v>
      </c>
      <c r="O261" t="s">
        <v>299</v>
      </c>
      <c r="P261">
        <v>3610.848</v>
      </c>
      <c r="Q261">
        <v>12</v>
      </c>
      <c r="R261">
        <v>135.4068</v>
      </c>
      <c r="S261" t="s">
        <v>90</v>
      </c>
    </row>
    <row r="262" spans="1:19" x14ac:dyDescent="0.35">
      <c r="A262" t="s">
        <v>1121</v>
      </c>
      <c r="B262" s="1">
        <v>41985</v>
      </c>
      <c r="C262" s="1">
        <v>41987</v>
      </c>
      <c r="D262" t="s">
        <v>20</v>
      </c>
      <c r="E262" t="s">
        <v>1122</v>
      </c>
      <c r="F262" t="s">
        <v>1123</v>
      </c>
      <c r="G262" t="s">
        <v>23</v>
      </c>
      <c r="H262" t="s">
        <v>24</v>
      </c>
      <c r="I262" t="s">
        <v>1124</v>
      </c>
      <c r="J262" t="s">
        <v>50</v>
      </c>
      <c r="K262" t="s">
        <v>51</v>
      </c>
      <c r="L262" t="s">
        <v>1127</v>
      </c>
      <c r="M262" t="s">
        <v>29</v>
      </c>
      <c r="N262" t="s">
        <v>30</v>
      </c>
      <c r="O262" t="s">
        <v>1128</v>
      </c>
      <c r="P262">
        <v>254.97450000000001</v>
      </c>
      <c r="Q262">
        <v>3</v>
      </c>
      <c r="R262">
        <v>11.998799999999999</v>
      </c>
      <c r="S262" t="s">
        <v>90</v>
      </c>
    </row>
    <row r="263" spans="1:19" x14ac:dyDescent="0.35">
      <c r="A263" t="s">
        <v>1129</v>
      </c>
      <c r="B263" s="1">
        <v>43087</v>
      </c>
      <c r="C263" s="1">
        <v>43093</v>
      </c>
      <c r="D263" t="s">
        <v>37</v>
      </c>
      <c r="E263" t="s">
        <v>1130</v>
      </c>
      <c r="F263" t="s">
        <v>1131</v>
      </c>
      <c r="G263" t="s">
        <v>23</v>
      </c>
      <c r="H263" t="s">
        <v>24</v>
      </c>
      <c r="I263" t="s">
        <v>165</v>
      </c>
      <c r="J263" t="s">
        <v>114</v>
      </c>
      <c r="K263" t="s">
        <v>63</v>
      </c>
      <c r="L263" t="s">
        <v>1132</v>
      </c>
      <c r="M263" t="s">
        <v>29</v>
      </c>
      <c r="N263" t="s">
        <v>34</v>
      </c>
      <c r="O263" t="s">
        <v>1133</v>
      </c>
      <c r="P263">
        <v>1141.9380000000001</v>
      </c>
      <c r="Q263">
        <v>9</v>
      </c>
      <c r="R263">
        <v>139.5702</v>
      </c>
      <c r="S263" t="s">
        <v>90</v>
      </c>
    </row>
    <row r="264" spans="1:19" x14ac:dyDescent="0.35">
      <c r="A264" t="s">
        <v>1134</v>
      </c>
      <c r="B264" s="1">
        <v>42804</v>
      </c>
      <c r="C264" s="1">
        <v>42808</v>
      </c>
      <c r="D264" t="s">
        <v>37</v>
      </c>
      <c r="E264" t="s">
        <v>1135</v>
      </c>
      <c r="F264" t="s">
        <v>1136</v>
      </c>
      <c r="G264" t="s">
        <v>94</v>
      </c>
      <c r="H264" t="s">
        <v>24</v>
      </c>
      <c r="I264" t="s">
        <v>1137</v>
      </c>
      <c r="J264" t="s">
        <v>62</v>
      </c>
      <c r="K264" t="s">
        <v>63</v>
      </c>
      <c r="L264" t="s">
        <v>1138</v>
      </c>
      <c r="M264" t="s">
        <v>29</v>
      </c>
      <c r="N264" t="s">
        <v>53</v>
      </c>
      <c r="O264" t="s">
        <v>1139</v>
      </c>
      <c r="P264">
        <v>6.6959999999999997</v>
      </c>
      <c r="Q264">
        <v>1</v>
      </c>
      <c r="R264">
        <v>0.50219999999999998</v>
      </c>
      <c r="S264" t="s">
        <v>187</v>
      </c>
    </row>
    <row r="265" spans="1:19" x14ac:dyDescent="0.35">
      <c r="A265" t="s">
        <v>1134</v>
      </c>
      <c r="B265" s="1">
        <v>42804</v>
      </c>
      <c r="C265" s="1">
        <v>42808</v>
      </c>
      <c r="D265" t="s">
        <v>37</v>
      </c>
      <c r="E265" t="s">
        <v>1135</v>
      </c>
      <c r="F265" t="s">
        <v>1136</v>
      </c>
      <c r="G265" t="s">
        <v>94</v>
      </c>
      <c r="H265" t="s">
        <v>24</v>
      </c>
      <c r="I265" t="s">
        <v>1137</v>
      </c>
      <c r="J265" t="s">
        <v>62</v>
      </c>
      <c r="K265" t="s">
        <v>63</v>
      </c>
      <c r="L265" t="s">
        <v>1140</v>
      </c>
      <c r="M265" t="s">
        <v>29</v>
      </c>
      <c r="N265" t="s">
        <v>53</v>
      </c>
      <c r="O265" t="s">
        <v>1141</v>
      </c>
      <c r="P265">
        <v>43.872</v>
      </c>
      <c r="Q265">
        <v>2</v>
      </c>
      <c r="R265">
        <v>11.516400000000001</v>
      </c>
      <c r="S265" t="s">
        <v>187</v>
      </c>
    </row>
    <row r="266" spans="1:19" x14ac:dyDescent="0.35">
      <c r="A266" t="s">
        <v>1142</v>
      </c>
      <c r="B266" s="1">
        <v>42644</v>
      </c>
      <c r="C266" s="1">
        <v>42645</v>
      </c>
      <c r="D266" t="s">
        <v>81</v>
      </c>
      <c r="E266" t="s">
        <v>1143</v>
      </c>
      <c r="F266" t="s">
        <v>1144</v>
      </c>
      <c r="G266" t="s">
        <v>23</v>
      </c>
      <c r="H266" t="s">
        <v>24</v>
      </c>
      <c r="I266" t="s">
        <v>1145</v>
      </c>
      <c r="J266" t="s">
        <v>104</v>
      </c>
      <c r="K266" t="s">
        <v>87</v>
      </c>
      <c r="L266" t="s">
        <v>1138</v>
      </c>
      <c r="M266" t="s">
        <v>29</v>
      </c>
      <c r="N266" t="s">
        <v>53</v>
      </c>
      <c r="O266" t="s">
        <v>1139</v>
      </c>
      <c r="P266">
        <v>41.85</v>
      </c>
      <c r="Q266">
        <v>5</v>
      </c>
      <c r="R266">
        <v>10.881</v>
      </c>
      <c r="S266" t="s">
        <v>45</v>
      </c>
    </row>
    <row r="267" spans="1:19" x14ac:dyDescent="0.35">
      <c r="A267" t="s">
        <v>1146</v>
      </c>
      <c r="B267" s="1">
        <v>41997</v>
      </c>
      <c r="C267" s="1">
        <v>42002</v>
      </c>
      <c r="D267" t="s">
        <v>37</v>
      </c>
      <c r="E267" t="s">
        <v>1147</v>
      </c>
      <c r="F267" t="s">
        <v>1148</v>
      </c>
      <c r="G267" t="s">
        <v>84</v>
      </c>
      <c r="H267" t="s">
        <v>24</v>
      </c>
      <c r="I267" t="s">
        <v>49</v>
      </c>
      <c r="J267" t="s">
        <v>50</v>
      </c>
      <c r="K267" t="s">
        <v>51</v>
      </c>
      <c r="L267" t="s">
        <v>127</v>
      </c>
      <c r="M267" t="s">
        <v>29</v>
      </c>
      <c r="N267" t="s">
        <v>34</v>
      </c>
      <c r="O267" t="s">
        <v>128</v>
      </c>
      <c r="P267">
        <v>292.27199999999999</v>
      </c>
      <c r="Q267">
        <v>6</v>
      </c>
      <c r="R267">
        <v>18.266999999999999</v>
      </c>
      <c r="S267" t="s">
        <v>90</v>
      </c>
    </row>
    <row r="268" spans="1:19" x14ac:dyDescent="0.35">
      <c r="A268" t="s">
        <v>1149</v>
      </c>
      <c r="B268" s="1">
        <v>43001</v>
      </c>
      <c r="C268" s="1">
        <v>43005</v>
      </c>
      <c r="D268" t="s">
        <v>37</v>
      </c>
      <c r="E268" t="s">
        <v>1150</v>
      </c>
      <c r="F268" t="s">
        <v>1151</v>
      </c>
      <c r="G268" t="s">
        <v>84</v>
      </c>
      <c r="H268" t="s">
        <v>24</v>
      </c>
      <c r="I268" t="s">
        <v>856</v>
      </c>
      <c r="J268" t="s">
        <v>172</v>
      </c>
      <c r="K268" t="s">
        <v>51</v>
      </c>
      <c r="L268" t="s">
        <v>484</v>
      </c>
      <c r="M268" t="s">
        <v>29</v>
      </c>
      <c r="N268" t="s">
        <v>53</v>
      </c>
      <c r="O268" t="s">
        <v>485</v>
      </c>
      <c r="P268">
        <v>29.327999999999999</v>
      </c>
      <c r="Q268">
        <v>3</v>
      </c>
      <c r="R268">
        <v>3.6659999999999999</v>
      </c>
      <c r="S268" t="s">
        <v>72</v>
      </c>
    </row>
    <row r="269" spans="1:19" x14ac:dyDescent="0.35">
      <c r="A269" t="s">
        <v>1152</v>
      </c>
      <c r="B269" s="1">
        <v>42516</v>
      </c>
      <c r="C269" s="1">
        <v>42516</v>
      </c>
      <c r="D269" t="s">
        <v>417</v>
      </c>
      <c r="E269" t="s">
        <v>1153</v>
      </c>
      <c r="F269" t="s">
        <v>1154</v>
      </c>
      <c r="G269" t="s">
        <v>23</v>
      </c>
      <c r="H269" t="s">
        <v>24</v>
      </c>
      <c r="I269" t="s">
        <v>586</v>
      </c>
      <c r="J269" t="s">
        <v>86</v>
      </c>
      <c r="K269" t="s">
        <v>87</v>
      </c>
      <c r="L269" t="s">
        <v>1155</v>
      </c>
      <c r="M269" t="s">
        <v>29</v>
      </c>
      <c r="N269" t="s">
        <v>34</v>
      </c>
      <c r="O269" t="s">
        <v>1156</v>
      </c>
      <c r="P269">
        <v>388.43</v>
      </c>
      <c r="Q269">
        <v>5</v>
      </c>
      <c r="R269">
        <v>-88.784000000000006</v>
      </c>
      <c r="S269" t="s">
        <v>153</v>
      </c>
    </row>
    <row r="270" spans="1:19" x14ac:dyDescent="0.35">
      <c r="A270" t="s">
        <v>1157</v>
      </c>
      <c r="B270" s="1">
        <v>42696</v>
      </c>
      <c r="C270" s="1">
        <v>42700</v>
      </c>
      <c r="D270" t="s">
        <v>37</v>
      </c>
      <c r="E270" t="s">
        <v>1158</v>
      </c>
      <c r="F270" t="s">
        <v>1159</v>
      </c>
      <c r="G270" t="s">
        <v>84</v>
      </c>
      <c r="H270" t="s">
        <v>24</v>
      </c>
      <c r="I270" t="s">
        <v>165</v>
      </c>
      <c r="J270" t="s">
        <v>114</v>
      </c>
      <c r="K270" t="s">
        <v>63</v>
      </c>
      <c r="L270" t="s">
        <v>120</v>
      </c>
      <c r="M270" t="s">
        <v>29</v>
      </c>
      <c r="N270" t="s">
        <v>53</v>
      </c>
      <c r="O270" t="s">
        <v>121</v>
      </c>
      <c r="P270">
        <v>39.880000000000003</v>
      </c>
      <c r="Q270">
        <v>2</v>
      </c>
      <c r="R270">
        <v>11.166399999999999</v>
      </c>
      <c r="S270" t="s">
        <v>32</v>
      </c>
    </row>
    <row r="271" spans="1:19" x14ac:dyDescent="0.35">
      <c r="A271" t="s">
        <v>1160</v>
      </c>
      <c r="B271" s="1">
        <v>42727</v>
      </c>
      <c r="C271" s="1">
        <v>42729</v>
      </c>
      <c r="D271" t="s">
        <v>20</v>
      </c>
      <c r="E271" t="s">
        <v>1161</v>
      </c>
      <c r="F271" t="s">
        <v>1162</v>
      </c>
      <c r="G271" t="s">
        <v>23</v>
      </c>
      <c r="H271" t="s">
        <v>24</v>
      </c>
      <c r="I271" t="s">
        <v>869</v>
      </c>
      <c r="J271" t="s">
        <v>707</v>
      </c>
      <c r="K271" t="s">
        <v>27</v>
      </c>
      <c r="L271" t="s">
        <v>88</v>
      </c>
      <c r="M271" t="s">
        <v>29</v>
      </c>
      <c r="N271" t="s">
        <v>53</v>
      </c>
      <c r="O271" t="s">
        <v>89</v>
      </c>
      <c r="P271">
        <v>572.76</v>
      </c>
      <c r="Q271">
        <v>6</v>
      </c>
      <c r="R271">
        <v>166.10040000000001</v>
      </c>
      <c r="S271" t="s">
        <v>90</v>
      </c>
    </row>
    <row r="272" spans="1:19" x14ac:dyDescent="0.35">
      <c r="A272" t="s">
        <v>1160</v>
      </c>
      <c r="B272" s="1">
        <v>42727</v>
      </c>
      <c r="C272" s="1">
        <v>42729</v>
      </c>
      <c r="D272" t="s">
        <v>20</v>
      </c>
      <c r="E272" t="s">
        <v>1161</v>
      </c>
      <c r="F272" t="s">
        <v>1162</v>
      </c>
      <c r="G272" t="s">
        <v>23</v>
      </c>
      <c r="H272" t="s">
        <v>24</v>
      </c>
      <c r="I272" t="s">
        <v>869</v>
      </c>
      <c r="J272" t="s">
        <v>707</v>
      </c>
      <c r="K272" t="s">
        <v>27</v>
      </c>
      <c r="L272" t="s">
        <v>88</v>
      </c>
      <c r="M272" t="s">
        <v>29</v>
      </c>
      <c r="N272" t="s">
        <v>53</v>
      </c>
      <c r="O272" t="s">
        <v>89</v>
      </c>
      <c r="P272">
        <v>286.38</v>
      </c>
      <c r="Q272">
        <v>3</v>
      </c>
      <c r="R272">
        <v>83.050200000000004</v>
      </c>
      <c r="S272" t="s">
        <v>90</v>
      </c>
    </row>
    <row r="273" spans="1:19" x14ac:dyDescent="0.35">
      <c r="A273" t="s">
        <v>1163</v>
      </c>
      <c r="B273" s="1">
        <v>42266</v>
      </c>
      <c r="C273" s="1">
        <v>42271</v>
      </c>
      <c r="D273" t="s">
        <v>20</v>
      </c>
      <c r="E273" t="s">
        <v>1164</v>
      </c>
      <c r="F273" t="s">
        <v>1165</v>
      </c>
      <c r="G273" t="s">
        <v>94</v>
      </c>
      <c r="H273" t="s">
        <v>24</v>
      </c>
      <c r="I273" t="s">
        <v>680</v>
      </c>
      <c r="J273" t="s">
        <v>707</v>
      </c>
      <c r="K273" t="s">
        <v>27</v>
      </c>
      <c r="L273" t="s">
        <v>1166</v>
      </c>
      <c r="M273" t="s">
        <v>29</v>
      </c>
      <c r="N273" t="s">
        <v>30</v>
      </c>
      <c r="O273" t="s">
        <v>1167</v>
      </c>
      <c r="P273">
        <v>61.96</v>
      </c>
      <c r="Q273">
        <v>2</v>
      </c>
      <c r="R273">
        <v>4.3372000000000002</v>
      </c>
      <c r="S273" t="s">
        <v>72</v>
      </c>
    </row>
    <row r="274" spans="1:19" x14ac:dyDescent="0.35">
      <c r="A274" t="s">
        <v>1168</v>
      </c>
      <c r="B274" s="1">
        <v>42919</v>
      </c>
      <c r="C274" s="1">
        <v>42923</v>
      </c>
      <c r="D274" t="s">
        <v>37</v>
      </c>
      <c r="E274" t="s">
        <v>1169</v>
      </c>
      <c r="F274" t="s">
        <v>1170</v>
      </c>
      <c r="G274" t="s">
        <v>23</v>
      </c>
      <c r="H274" t="s">
        <v>24</v>
      </c>
      <c r="I274" t="s">
        <v>339</v>
      </c>
      <c r="J274" t="s">
        <v>658</v>
      </c>
      <c r="K274" t="s">
        <v>27</v>
      </c>
      <c r="L274" t="s">
        <v>1171</v>
      </c>
      <c r="M274" t="s">
        <v>29</v>
      </c>
      <c r="N274" t="s">
        <v>53</v>
      </c>
      <c r="O274" t="s">
        <v>1172</v>
      </c>
      <c r="P274">
        <v>23.99</v>
      </c>
      <c r="Q274">
        <v>1</v>
      </c>
      <c r="R274">
        <v>5.5176999999999996</v>
      </c>
      <c r="S274" t="s">
        <v>66</v>
      </c>
    </row>
    <row r="275" spans="1:19" x14ac:dyDescent="0.35">
      <c r="A275" t="s">
        <v>1173</v>
      </c>
      <c r="B275" s="1">
        <v>42541</v>
      </c>
      <c r="C275" s="1">
        <v>42542</v>
      </c>
      <c r="D275" t="s">
        <v>81</v>
      </c>
      <c r="E275" t="s">
        <v>1174</v>
      </c>
      <c r="F275" t="s">
        <v>1175</v>
      </c>
      <c r="G275" t="s">
        <v>23</v>
      </c>
      <c r="H275" t="s">
        <v>24</v>
      </c>
      <c r="I275" t="s">
        <v>1176</v>
      </c>
      <c r="J275" t="s">
        <v>50</v>
      </c>
      <c r="K275" t="s">
        <v>51</v>
      </c>
      <c r="L275" t="s">
        <v>1177</v>
      </c>
      <c r="M275" t="s">
        <v>29</v>
      </c>
      <c r="N275" t="s">
        <v>34</v>
      </c>
      <c r="O275" t="s">
        <v>1178</v>
      </c>
      <c r="P275">
        <v>161.56800000000001</v>
      </c>
      <c r="Q275">
        <v>2</v>
      </c>
      <c r="R275">
        <v>-8.0784000000000002</v>
      </c>
      <c r="S275" t="s">
        <v>55</v>
      </c>
    </row>
    <row r="276" spans="1:19" x14ac:dyDescent="0.35">
      <c r="A276" t="s">
        <v>1179</v>
      </c>
      <c r="B276" s="1">
        <v>42637</v>
      </c>
      <c r="C276" s="1">
        <v>42644</v>
      </c>
      <c r="D276" t="s">
        <v>37</v>
      </c>
      <c r="E276" t="s">
        <v>482</v>
      </c>
      <c r="F276" t="s">
        <v>483</v>
      </c>
      <c r="G276" t="s">
        <v>23</v>
      </c>
      <c r="H276" t="s">
        <v>24</v>
      </c>
      <c r="I276" t="s">
        <v>339</v>
      </c>
      <c r="J276" t="s">
        <v>223</v>
      </c>
      <c r="K276" t="s">
        <v>63</v>
      </c>
      <c r="L276" t="s">
        <v>812</v>
      </c>
      <c r="M276" t="s">
        <v>29</v>
      </c>
      <c r="N276" t="s">
        <v>34</v>
      </c>
      <c r="O276" t="s">
        <v>813</v>
      </c>
      <c r="P276">
        <v>155.37200000000001</v>
      </c>
      <c r="Q276">
        <v>2</v>
      </c>
      <c r="R276">
        <v>-13.317600000000001</v>
      </c>
      <c r="S276" t="s">
        <v>72</v>
      </c>
    </row>
    <row r="277" spans="1:19" x14ac:dyDescent="0.35">
      <c r="A277" t="s">
        <v>1180</v>
      </c>
      <c r="B277" s="1">
        <v>42722</v>
      </c>
      <c r="C277" s="1">
        <v>42727</v>
      </c>
      <c r="D277" t="s">
        <v>37</v>
      </c>
      <c r="E277" t="s">
        <v>1181</v>
      </c>
      <c r="F277" t="s">
        <v>1182</v>
      </c>
      <c r="G277" t="s">
        <v>84</v>
      </c>
      <c r="H277" t="s">
        <v>24</v>
      </c>
      <c r="I277" t="s">
        <v>49</v>
      </c>
      <c r="J277" t="s">
        <v>50</v>
      </c>
      <c r="K277" t="s">
        <v>51</v>
      </c>
      <c r="L277" t="s">
        <v>1183</v>
      </c>
      <c r="M277" t="s">
        <v>29</v>
      </c>
      <c r="N277" t="s">
        <v>53</v>
      </c>
      <c r="O277" t="s">
        <v>1184</v>
      </c>
      <c r="P277">
        <v>183.84</v>
      </c>
      <c r="Q277">
        <v>8</v>
      </c>
      <c r="R277">
        <v>62.505600000000001</v>
      </c>
      <c r="S277" t="s">
        <v>90</v>
      </c>
    </row>
    <row r="278" spans="1:19" x14ac:dyDescent="0.35">
      <c r="A278" t="s">
        <v>1185</v>
      </c>
      <c r="B278" s="1">
        <v>42169</v>
      </c>
      <c r="C278" s="1">
        <v>42173</v>
      </c>
      <c r="D278" t="s">
        <v>37</v>
      </c>
      <c r="E278" t="s">
        <v>196</v>
      </c>
      <c r="F278" t="s">
        <v>197</v>
      </c>
      <c r="G278" t="s">
        <v>94</v>
      </c>
      <c r="H278" t="s">
        <v>24</v>
      </c>
      <c r="I278" t="s">
        <v>61</v>
      </c>
      <c r="J278" t="s">
        <v>62</v>
      </c>
      <c r="K278" t="s">
        <v>63</v>
      </c>
      <c r="L278" t="s">
        <v>1104</v>
      </c>
      <c r="M278" t="s">
        <v>29</v>
      </c>
      <c r="N278" t="s">
        <v>53</v>
      </c>
      <c r="O278" t="s">
        <v>1105</v>
      </c>
      <c r="P278">
        <v>51.072000000000003</v>
      </c>
      <c r="Q278">
        <v>6</v>
      </c>
      <c r="R278">
        <v>5.1071999999999997</v>
      </c>
      <c r="S278" t="s">
        <v>55</v>
      </c>
    </row>
    <row r="279" spans="1:19" x14ac:dyDescent="0.35">
      <c r="A279" t="s">
        <v>1186</v>
      </c>
      <c r="B279" s="1">
        <v>42513</v>
      </c>
      <c r="C279" s="1">
        <v>42517</v>
      </c>
      <c r="D279" t="s">
        <v>37</v>
      </c>
      <c r="E279" t="s">
        <v>1187</v>
      </c>
      <c r="F279" t="s">
        <v>1188</v>
      </c>
      <c r="G279" t="s">
        <v>23</v>
      </c>
      <c r="H279" t="s">
        <v>24</v>
      </c>
      <c r="I279" t="s">
        <v>320</v>
      </c>
      <c r="J279" t="s">
        <v>50</v>
      </c>
      <c r="K279" t="s">
        <v>51</v>
      </c>
      <c r="L279" t="s">
        <v>1119</v>
      </c>
      <c r="M279" t="s">
        <v>29</v>
      </c>
      <c r="N279" t="s">
        <v>53</v>
      </c>
      <c r="O279" t="s">
        <v>1120</v>
      </c>
      <c r="P279">
        <v>37.049999999999997</v>
      </c>
      <c r="Q279">
        <v>3</v>
      </c>
      <c r="R279">
        <v>16.302</v>
      </c>
      <c r="S279" t="s">
        <v>153</v>
      </c>
    </row>
    <row r="280" spans="1:19" x14ac:dyDescent="0.35">
      <c r="A280" t="s">
        <v>1189</v>
      </c>
      <c r="B280" s="1">
        <v>42827</v>
      </c>
      <c r="C280" s="1">
        <v>42832</v>
      </c>
      <c r="D280" t="s">
        <v>37</v>
      </c>
      <c r="E280" t="s">
        <v>1190</v>
      </c>
      <c r="F280" t="s">
        <v>1191</v>
      </c>
      <c r="G280" t="s">
        <v>23</v>
      </c>
      <c r="H280" t="s">
        <v>24</v>
      </c>
      <c r="I280" t="s">
        <v>49</v>
      </c>
      <c r="J280" t="s">
        <v>50</v>
      </c>
      <c r="K280" t="s">
        <v>51</v>
      </c>
      <c r="L280" t="s">
        <v>1138</v>
      </c>
      <c r="M280" t="s">
        <v>29</v>
      </c>
      <c r="N280" t="s">
        <v>53</v>
      </c>
      <c r="O280" t="s">
        <v>1139</v>
      </c>
      <c r="P280">
        <v>25.11</v>
      </c>
      <c r="Q280">
        <v>3</v>
      </c>
      <c r="R280">
        <v>6.5286</v>
      </c>
      <c r="S280" t="s">
        <v>107</v>
      </c>
    </row>
    <row r="281" spans="1:19" x14ac:dyDescent="0.35">
      <c r="A281" t="s">
        <v>1192</v>
      </c>
      <c r="B281" s="1">
        <v>42825</v>
      </c>
      <c r="C281" s="1">
        <v>42827</v>
      </c>
      <c r="D281" t="s">
        <v>20</v>
      </c>
      <c r="E281" t="s">
        <v>1193</v>
      </c>
      <c r="F281" t="s">
        <v>1194</v>
      </c>
      <c r="G281" t="s">
        <v>23</v>
      </c>
      <c r="H281" t="s">
        <v>24</v>
      </c>
      <c r="I281" t="s">
        <v>165</v>
      </c>
      <c r="J281" t="s">
        <v>114</v>
      </c>
      <c r="K281" t="s">
        <v>63</v>
      </c>
      <c r="L281" t="s">
        <v>1195</v>
      </c>
      <c r="M281" t="s">
        <v>29</v>
      </c>
      <c r="N281" t="s">
        <v>53</v>
      </c>
      <c r="O281" t="s">
        <v>1196</v>
      </c>
      <c r="P281">
        <v>29.78</v>
      </c>
      <c r="Q281">
        <v>2</v>
      </c>
      <c r="R281">
        <v>8.0405999999999995</v>
      </c>
      <c r="S281" t="s">
        <v>187</v>
      </c>
    </row>
    <row r="282" spans="1:19" x14ac:dyDescent="0.35">
      <c r="A282" t="s">
        <v>1197</v>
      </c>
      <c r="B282" s="1">
        <v>41915</v>
      </c>
      <c r="C282" s="1">
        <v>41920</v>
      </c>
      <c r="D282" t="s">
        <v>20</v>
      </c>
      <c r="E282" t="s">
        <v>1198</v>
      </c>
      <c r="F282" t="s">
        <v>1199</v>
      </c>
      <c r="G282" t="s">
        <v>23</v>
      </c>
      <c r="H282" t="s">
        <v>24</v>
      </c>
      <c r="I282" t="s">
        <v>1200</v>
      </c>
      <c r="J282" t="s">
        <v>126</v>
      </c>
      <c r="K282" t="s">
        <v>87</v>
      </c>
      <c r="L282" t="s">
        <v>1019</v>
      </c>
      <c r="M282" t="s">
        <v>29</v>
      </c>
      <c r="N282" t="s">
        <v>34</v>
      </c>
      <c r="O282" t="s">
        <v>1020</v>
      </c>
      <c r="P282">
        <v>258.279</v>
      </c>
      <c r="Q282">
        <v>3</v>
      </c>
      <c r="R282">
        <v>-70.104299999999995</v>
      </c>
      <c r="S282" t="s">
        <v>45</v>
      </c>
    </row>
    <row r="283" spans="1:19" x14ac:dyDescent="0.35">
      <c r="A283" t="s">
        <v>1201</v>
      </c>
      <c r="B283" s="1">
        <v>42859</v>
      </c>
      <c r="C283" s="1">
        <v>42864</v>
      </c>
      <c r="D283" t="s">
        <v>37</v>
      </c>
      <c r="E283" t="s">
        <v>929</v>
      </c>
      <c r="F283" t="s">
        <v>930</v>
      </c>
      <c r="G283" t="s">
        <v>84</v>
      </c>
      <c r="H283" t="s">
        <v>24</v>
      </c>
      <c r="I283" t="s">
        <v>320</v>
      </c>
      <c r="J283" t="s">
        <v>50</v>
      </c>
      <c r="K283" t="s">
        <v>51</v>
      </c>
      <c r="L283" t="s">
        <v>298</v>
      </c>
      <c r="M283" t="s">
        <v>29</v>
      </c>
      <c r="N283" t="s">
        <v>43</v>
      </c>
      <c r="O283" t="s">
        <v>299</v>
      </c>
      <c r="P283">
        <v>300.904</v>
      </c>
      <c r="Q283">
        <v>1</v>
      </c>
      <c r="R283">
        <v>11.283899999999999</v>
      </c>
      <c r="S283" t="s">
        <v>153</v>
      </c>
    </row>
    <row r="284" spans="1:19" x14ac:dyDescent="0.35">
      <c r="A284" t="s">
        <v>1202</v>
      </c>
      <c r="B284" s="1">
        <v>42851</v>
      </c>
      <c r="C284" s="1">
        <v>42852</v>
      </c>
      <c r="D284" t="s">
        <v>81</v>
      </c>
      <c r="E284" t="s">
        <v>1203</v>
      </c>
      <c r="F284" t="s">
        <v>1204</v>
      </c>
      <c r="G284" t="s">
        <v>23</v>
      </c>
      <c r="H284" t="s">
        <v>24</v>
      </c>
      <c r="I284" t="s">
        <v>586</v>
      </c>
      <c r="J284" t="s">
        <v>86</v>
      </c>
      <c r="K284" t="s">
        <v>87</v>
      </c>
      <c r="L284" t="s">
        <v>641</v>
      </c>
      <c r="M284" t="s">
        <v>29</v>
      </c>
      <c r="N284" t="s">
        <v>53</v>
      </c>
      <c r="O284" t="s">
        <v>642</v>
      </c>
      <c r="P284">
        <v>1.988</v>
      </c>
      <c r="Q284">
        <v>1</v>
      </c>
      <c r="R284">
        <v>-1.4413</v>
      </c>
      <c r="S284" t="s">
        <v>107</v>
      </c>
    </row>
    <row r="285" spans="1:19" x14ac:dyDescent="0.35">
      <c r="A285" t="s">
        <v>1205</v>
      </c>
      <c r="B285" s="1">
        <v>41908</v>
      </c>
      <c r="C285" s="1">
        <v>41913</v>
      </c>
      <c r="D285" t="s">
        <v>20</v>
      </c>
      <c r="E285" t="s">
        <v>1206</v>
      </c>
      <c r="F285" t="s">
        <v>1207</v>
      </c>
      <c r="G285" t="s">
        <v>23</v>
      </c>
      <c r="H285" t="s">
        <v>24</v>
      </c>
      <c r="I285" t="s">
        <v>49</v>
      </c>
      <c r="J285" t="s">
        <v>50</v>
      </c>
      <c r="K285" t="s">
        <v>51</v>
      </c>
      <c r="L285" t="s">
        <v>1208</v>
      </c>
      <c r="M285" t="s">
        <v>29</v>
      </c>
      <c r="N285" t="s">
        <v>34</v>
      </c>
      <c r="O285" t="s">
        <v>1209</v>
      </c>
      <c r="P285">
        <v>145.56800000000001</v>
      </c>
      <c r="Q285">
        <v>2</v>
      </c>
      <c r="R285">
        <v>0</v>
      </c>
      <c r="S285" t="s">
        <v>72</v>
      </c>
    </row>
    <row r="286" spans="1:19" x14ac:dyDescent="0.35">
      <c r="A286" t="s">
        <v>1210</v>
      </c>
      <c r="B286" s="1">
        <v>43049</v>
      </c>
      <c r="C286" s="1">
        <v>43050</v>
      </c>
      <c r="D286" t="s">
        <v>81</v>
      </c>
      <c r="E286" t="s">
        <v>1211</v>
      </c>
      <c r="F286" t="s">
        <v>1212</v>
      </c>
      <c r="G286" t="s">
        <v>84</v>
      </c>
      <c r="H286" t="s">
        <v>24</v>
      </c>
      <c r="I286" t="s">
        <v>1213</v>
      </c>
      <c r="J286" t="s">
        <v>511</v>
      </c>
      <c r="K286" t="s">
        <v>51</v>
      </c>
      <c r="L286" t="s">
        <v>397</v>
      </c>
      <c r="M286" t="s">
        <v>29</v>
      </c>
      <c r="N286" t="s">
        <v>34</v>
      </c>
      <c r="O286" t="s">
        <v>398</v>
      </c>
      <c r="P286">
        <v>899.13599999999997</v>
      </c>
      <c r="Q286">
        <v>4</v>
      </c>
      <c r="R286">
        <v>-146.1096</v>
      </c>
      <c r="S286" t="s">
        <v>32</v>
      </c>
    </row>
    <row r="287" spans="1:19" x14ac:dyDescent="0.35">
      <c r="A287" t="s">
        <v>1214</v>
      </c>
      <c r="B287" s="1">
        <v>42924</v>
      </c>
      <c r="C287" s="1">
        <v>42927</v>
      </c>
      <c r="D287" t="s">
        <v>81</v>
      </c>
      <c r="E287" t="s">
        <v>1215</v>
      </c>
      <c r="F287" t="s">
        <v>1216</v>
      </c>
      <c r="G287" t="s">
        <v>94</v>
      </c>
      <c r="H287" t="s">
        <v>24</v>
      </c>
      <c r="I287" t="s">
        <v>1217</v>
      </c>
      <c r="J287" t="s">
        <v>50</v>
      </c>
      <c r="K287" t="s">
        <v>51</v>
      </c>
      <c r="L287" t="s">
        <v>381</v>
      </c>
      <c r="M287" t="s">
        <v>29</v>
      </c>
      <c r="N287" t="s">
        <v>53</v>
      </c>
      <c r="O287" t="s">
        <v>382</v>
      </c>
      <c r="P287">
        <v>145.9</v>
      </c>
      <c r="Q287">
        <v>5</v>
      </c>
      <c r="R287">
        <v>62.737000000000002</v>
      </c>
      <c r="S287" t="s">
        <v>66</v>
      </c>
    </row>
    <row r="288" spans="1:19" x14ac:dyDescent="0.35">
      <c r="A288" t="s">
        <v>1218</v>
      </c>
      <c r="B288" s="1">
        <v>42362</v>
      </c>
      <c r="C288" s="1">
        <v>42366</v>
      </c>
      <c r="D288" t="s">
        <v>37</v>
      </c>
      <c r="E288" t="s">
        <v>1219</v>
      </c>
      <c r="F288" t="s">
        <v>1220</v>
      </c>
      <c r="G288" t="s">
        <v>23</v>
      </c>
      <c r="H288" t="s">
        <v>24</v>
      </c>
      <c r="I288" t="s">
        <v>345</v>
      </c>
      <c r="J288" t="s">
        <v>172</v>
      </c>
      <c r="K288" t="s">
        <v>51</v>
      </c>
      <c r="L288" t="s">
        <v>252</v>
      </c>
      <c r="M288" t="s">
        <v>29</v>
      </c>
      <c r="N288" t="s">
        <v>30</v>
      </c>
      <c r="O288" t="s">
        <v>253</v>
      </c>
      <c r="P288">
        <v>590.05799999999999</v>
      </c>
      <c r="Q288">
        <v>7</v>
      </c>
      <c r="R288">
        <v>-786.74400000000003</v>
      </c>
      <c r="S288" t="s">
        <v>90</v>
      </c>
    </row>
    <row r="289" spans="1:19" x14ac:dyDescent="0.35">
      <c r="A289" t="s">
        <v>1221</v>
      </c>
      <c r="B289" s="1">
        <v>42261</v>
      </c>
      <c r="C289" s="1">
        <v>42266</v>
      </c>
      <c r="D289" t="s">
        <v>37</v>
      </c>
      <c r="E289" t="s">
        <v>1222</v>
      </c>
      <c r="F289" t="s">
        <v>1223</v>
      </c>
      <c r="G289" t="s">
        <v>23</v>
      </c>
      <c r="H289" t="s">
        <v>24</v>
      </c>
      <c r="I289" t="s">
        <v>1224</v>
      </c>
      <c r="J289" t="s">
        <v>71</v>
      </c>
      <c r="K289" t="s">
        <v>51</v>
      </c>
      <c r="L289" t="s">
        <v>1225</v>
      </c>
      <c r="M289" t="s">
        <v>29</v>
      </c>
      <c r="N289" t="s">
        <v>43</v>
      </c>
      <c r="O289" t="s">
        <v>1226</v>
      </c>
      <c r="P289">
        <v>912.75</v>
      </c>
      <c r="Q289">
        <v>5</v>
      </c>
      <c r="R289">
        <v>118.6575</v>
      </c>
      <c r="S289" t="s">
        <v>72</v>
      </c>
    </row>
    <row r="290" spans="1:19" x14ac:dyDescent="0.35">
      <c r="A290" t="s">
        <v>1227</v>
      </c>
      <c r="B290" s="1">
        <v>42616</v>
      </c>
      <c r="C290" s="1">
        <v>42622</v>
      </c>
      <c r="D290" t="s">
        <v>37</v>
      </c>
      <c r="E290" t="s">
        <v>1228</v>
      </c>
      <c r="F290" t="s">
        <v>1229</v>
      </c>
      <c r="G290" t="s">
        <v>94</v>
      </c>
      <c r="H290" t="s">
        <v>24</v>
      </c>
      <c r="I290" t="s">
        <v>171</v>
      </c>
      <c r="J290" t="s">
        <v>126</v>
      </c>
      <c r="K290" t="s">
        <v>87</v>
      </c>
      <c r="L290" t="s">
        <v>716</v>
      </c>
      <c r="M290" t="s">
        <v>29</v>
      </c>
      <c r="N290" t="s">
        <v>53</v>
      </c>
      <c r="O290" t="s">
        <v>717</v>
      </c>
      <c r="P290">
        <v>83.951999999999998</v>
      </c>
      <c r="Q290">
        <v>3</v>
      </c>
      <c r="R290">
        <v>-90.248400000000004</v>
      </c>
      <c r="S290" t="s">
        <v>72</v>
      </c>
    </row>
    <row r="291" spans="1:19" x14ac:dyDescent="0.35">
      <c r="A291" t="s">
        <v>1230</v>
      </c>
      <c r="B291" s="1">
        <v>42405</v>
      </c>
      <c r="C291" s="1">
        <v>42405</v>
      </c>
      <c r="D291" t="s">
        <v>417</v>
      </c>
      <c r="E291" t="s">
        <v>1231</v>
      </c>
      <c r="F291" t="s">
        <v>1232</v>
      </c>
      <c r="G291" t="s">
        <v>94</v>
      </c>
      <c r="H291" t="s">
        <v>24</v>
      </c>
      <c r="I291" t="s">
        <v>1233</v>
      </c>
      <c r="J291" t="s">
        <v>658</v>
      </c>
      <c r="K291" t="s">
        <v>27</v>
      </c>
      <c r="L291" t="s">
        <v>346</v>
      </c>
      <c r="M291" t="s">
        <v>29</v>
      </c>
      <c r="N291" t="s">
        <v>53</v>
      </c>
      <c r="O291" t="s">
        <v>1234</v>
      </c>
      <c r="P291">
        <v>18.84</v>
      </c>
      <c r="Q291">
        <v>3</v>
      </c>
      <c r="R291">
        <v>7.1592000000000002</v>
      </c>
      <c r="S291" t="s">
        <v>289</v>
      </c>
    </row>
    <row r="292" spans="1:19" x14ac:dyDescent="0.35">
      <c r="A292" t="s">
        <v>1230</v>
      </c>
      <c r="B292" s="1">
        <v>42405</v>
      </c>
      <c r="C292" s="1">
        <v>42405</v>
      </c>
      <c r="D292" t="s">
        <v>417</v>
      </c>
      <c r="E292" t="s">
        <v>1231</v>
      </c>
      <c r="F292" t="s">
        <v>1232</v>
      </c>
      <c r="G292" t="s">
        <v>94</v>
      </c>
      <c r="H292" t="s">
        <v>24</v>
      </c>
      <c r="I292" t="s">
        <v>1233</v>
      </c>
      <c r="J292" t="s">
        <v>658</v>
      </c>
      <c r="K292" t="s">
        <v>27</v>
      </c>
      <c r="L292" t="s">
        <v>701</v>
      </c>
      <c r="M292" t="s">
        <v>29</v>
      </c>
      <c r="N292" t="s">
        <v>30</v>
      </c>
      <c r="O292" t="s">
        <v>702</v>
      </c>
      <c r="P292">
        <v>239.98</v>
      </c>
      <c r="Q292">
        <v>2</v>
      </c>
      <c r="R292">
        <v>52.7956</v>
      </c>
      <c r="S292" t="s">
        <v>289</v>
      </c>
    </row>
    <row r="293" spans="1:19" x14ac:dyDescent="0.35">
      <c r="A293" t="s">
        <v>1235</v>
      </c>
      <c r="B293" s="1">
        <v>43017</v>
      </c>
      <c r="C293" s="1">
        <v>43022</v>
      </c>
      <c r="D293" t="s">
        <v>37</v>
      </c>
      <c r="E293" t="s">
        <v>1236</v>
      </c>
      <c r="F293" t="s">
        <v>1237</v>
      </c>
      <c r="G293" t="s">
        <v>84</v>
      </c>
      <c r="H293" t="s">
        <v>24</v>
      </c>
      <c r="I293" t="s">
        <v>171</v>
      </c>
      <c r="J293" t="s">
        <v>126</v>
      </c>
      <c r="K293" t="s">
        <v>87</v>
      </c>
      <c r="L293" t="s">
        <v>1238</v>
      </c>
      <c r="M293" t="s">
        <v>29</v>
      </c>
      <c r="N293" t="s">
        <v>43</v>
      </c>
      <c r="O293" t="s">
        <v>1239</v>
      </c>
      <c r="P293">
        <v>652.45000000000005</v>
      </c>
      <c r="Q293">
        <v>5</v>
      </c>
      <c r="R293">
        <v>-430.61700000000002</v>
      </c>
      <c r="S293" t="s">
        <v>45</v>
      </c>
    </row>
    <row r="294" spans="1:19" x14ac:dyDescent="0.35">
      <c r="A294" t="s">
        <v>1235</v>
      </c>
      <c r="B294" s="1">
        <v>43017</v>
      </c>
      <c r="C294" s="1">
        <v>43022</v>
      </c>
      <c r="D294" t="s">
        <v>37</v>
      </c>
      <c r="E294" t="s">
        <v>1236</v>
      </c>
      <c r="F294" t="s">
        <v>1237</v>
      </c>
      <c r="G294" t="s">
        <v>84</v>
      </c>
      <c r="H294" t="s">
        <v>24</v>
      </c>
      <c r="I294" t="s">
        <v>171</v>
      </c>
      <c r="J294" t="s">
        <v>126</v>
      </c>
      <c r="K294" t="s">
        <v>87</v>
      </c>
      <c r="L294" t="s">
        <v>1240</v>
      </c>
      <c r="M294" t="s">
        <v>29</v>
      </c>
      <c r="N294" t="s">
        <v>43</v>
      </c>
      <c r="O294" t="s">
        <v>1241</v>
      </c>
      <c r="P294">
        <v>66.644999999999996</v>
      </c>
      <c r="Q294">
        <v>3</v>
      </c>
      <c r="R294">
        <v>-42.652799999999999</v>
      </c>
      <c r="S294" t="s">
        <v>45</v>
      </c>
    </row>
    <row r="295" spans="1:19" x14ac:dyDescent="0.35">
      <c r="A295" t="s">
        <v>1242</v>
      </c>
      <c r="B295" s="1">
        <v>42479</v>
      </c>
      <c r="C295" s="1">
        <v>42485</v>
      </c>
      <c r="D295" t="s">
        <v>37</v>
      </c>
      <c r="E295" t="s">
        <v>1243</v>
      </c>
      <c r="F295" t="s">
        <v>1244</v>
      </c>
      <c r="G295" t="s">
        <v>94</v>
      </c>
      <c r="H295" t="s">
        <v>24</v>
      </c>
      <c r="I295" t="s">
        <v>339</v>
      </c>
      <c r="J295" t="s">
        <v>223</v>
      </c>
      <c r="K295" t="s">
        <v>63</v>
      </c>
      <c r="L295" t="s">
        <v>1245</v>
      </c>
      <c r="M295" t="s">
        <v>29</v>
      </c>
      <c r="N295" t="s">
        <v>43</v>
      </c>
      <c r="O295" t="s">
        <v>1246</v>
      </c>
      <c r="P295">
        <v>205.17599999999999</v>
      </c>
      <c r="Q295">
        <v>2</v>
      </c>
      <c r="R295">
        <v>-58.133200000000002</v>
      </c>
      <c r="S295" t="s">
        <v>107</v>
      </c>
    </row>
    <row r="296" spans="1:19" x14ac:dyDescent="0.35">
      <c r="A296" t="s">
        <v>1247</v>
      </c>
      <c r="B296" s="1">
        <v>41735</v>
      </c>
      <c r="C296" s="1">
        <v>41737</v>
      </c>
      <c r="D296" t="s">
        <v>81</v>
      </c>
      <c r="E296" t="s">
        <v>1248</v>
      </c>
      <c r="F296" t="s">
        <v>1249</v>
      </c>
      <c r="G296" t="s">
        <v>94</v>
      </c>
      <c r="H296" t="s">
        <v>24</v>
      </c>
      <c r="I296" t="s">
        <v>61</v>
      </c>
      <c r="J296" t="s">
        <v>62</v>
      </c>
      <c r="K296" t="s">
        <v>63</v>
      </c>
      <c r="L296" t="s">
        <v>1250</v>
      </c>
      <c r="M296" t="s">
        <v>29</v>
      </c>
      <c r="N296" t="s">
        <v>43</v>
      </c>
      <c r="O296" t="s">
        <v>1054</v>
      </c>
      <c r="P296">
        <v>154.76400000000001</v>
      </c>
      <c r="Q296">
        <v>3</v>
      </c>
      <c r="R296">
        <v>-36.111600000000003</v>
      </c>
      <c r="S296" t="s">
        <v>107</v>
      </c>
    </row>
    <row r="297" spans="1:19" x14ac:dyDescent="0.35">
      <c r="A297" t="s">
        <v>1251</v>
      </c>
      <c r="B297" s="1">
        <v>42615</v>
      </c>
      <c r="C297" s="1">
        <v>42619</v>
      </c>
      <c r="D297" t="s">
        <v>37</v>
      </c>
      <c r="E297" t="s">
        <v>1022</v>
      </c>
      <c r="F297" t="s">
        <v>1023</v>
      </c>
      <c r="G297" t="s">
        <v>23</v>
      </c>
      <c r="H297" t="s">
        <v>24</v>
      </c>
      <c r="I297" t="s">
        <v>165</v>
      </c>
      <c r="J297" t="s">
        <v>114</v>
      </c>
      <c r="K297" t="s">
        <v>63</v>
      </c>
      <c r="L297" t="s">
        <v>392</v>
      </c>
      <c r="M297" t="s">
        <v>29</v>
      </c>
      <c r="N297" t="s">
        <v>53</v>
      </c>
      <c r="O297" t="s">
        <v>393</v>
      </c>
      <c r="P297">
        <v>39.979999999999997</v>
      </c>
      <c r="Q297">
        <v>2</v>
      </c>
      <c r="R297">
        <v>9.9949999999999992</v>
      </c>
      <c r="S297" t="s">
        <v>72</v>
      </c>
    </row>
    <row r="298" spans="1:19" x14ac:dyDescent="0.35">
      <c r="A298" t="s">
        <v>1252</v>
      </c>
      <c r="B298" s="1">
        <v>42638</v>
      </c>
      <c r="C298" s="1">
        <v>42643</v>
      </c>
      <c r="D298" t="s">
        <v>37</v>
      </c>
      <c r="E298" t="s">
        <v>1253</v>
      </c>
      <c r="F298" t="s">
        <v>1254</v>
      </c>
      <c r="G298" t="s">
        <v>23</v>
      </c>
      <c r="H298" t="s">
        <v>24</v>
      </c>
      <c r="I298" t="s">
        <v>510</v>
      </c>
      <c r="J298" t="s">
        <v>511</v>
      </c>
      <c r="K298" t="s">
        <v>51</v>
      </c>
      <c r="L298" t="s">
        <v>906</v>
      </c>
      <c r="M298" t="s">
        <v>29</v>
      </c>
      <c r="N298" t="s">
        <v>43</v>
      </c>
      <c r="O298" t="s">
        <v>907</v>
      </c>
      <c r="P298">
        <v>393.16500000000002</v>
      </c>
      <c r="Q298">
        <v>3</v>
      </c>
      <c r="R298">
        <v>-204.44579999999999</v>
      </c>
      <c r="S298" t="s">
        <v>72</v>
      </c>
    </row>
    <row r="299" spans="1:19" x14ac:dyDescent="0.35">
      <c r="A299" t="s">
        <v>1255</v>
      </c>
      <c r="B299" s="1">
        <v>42560</v>
      </c>
      <c r="C299" s="1">
        <v>42564</v>
      </c>
      <c r="D299" t="s">
        <v>37</v>
      </c>
      <c r="E299" t="s">
        <v>217</v>
      </c>
      <c r="F299" t="s">
        <v>218</v>
      </c>
      <c r="G299" t="s">
        <v>84</v>
      </c>
      <c r="H299" t="s">
        <v>24</v>
      </c>
      <c r="I299" t="s">
        <v>165</v>
      </c>
      <c r="J299" t="s">
        <v>114</v>
      </c>
      <c r="K299" t="s">
        <v>63</v>
      </c>
      <c r="L299" t="s">
        <v>796</v>
      </c>
      <c r="M299" t="s">
        <v>29</v>
      </c>
      <c r="N299" t="s">
        <v>34</v>
      </c>
      <c r="O299" t="s">
        <v>797</v>
      </c>
      <c r="P299">
        <v>408.00599999999997</v>
      </c>
      <c r="Q299">
        <v>2</v>
      </c>
      <c r="R299">
        <v>72.534400000000005</v>
      </c>
      <c r="S299" t="s">
        <v>66</v>
      </c>
    </row>
    <row r="300" spans="1:19" x14ac:dyDescent="0.35">
      <c r="A300" t="s">
        <v>1255</v>
      </c>
      <c r="B300" s="1">
        <v>42560</v>
      </c>
      <c r="C300" s="1">
        <v>42564</v>
      </c>
      <c r="D300" t="s">
        <v>37</v>
      </c>
      <c r="E300" t="s">
        <v>217</v>
      </c>
      <c r="F300" t="s">
        <v>218</v>
      </c>
      <c r="G300" t="s">
        <v>84</v>
      </c>
      <c r="H300" t="s">
        <v>24</v>
      </c>
      <c r="I300" t="s">
        <v>165</v>
      </c>
      <c r="J300" t="s">
        <v>114</v>
      </c>
      <c r="K300" t="s">
        <v>63</v>
      </c>
      <c r="L300" t="s">
        <v>587</v>
      </c>
      <c r="M300" t="s">
        <v>29</v>
      </c>
      <c r="N300" t="s">
        <v>53</v>
      </c>
      <c r="O300" t="s">
        <v>588</v>
      </c>
      <c r="P300">
        <v>165.28</v>
      </c>
      <c r="Q300">
        <v>4</v>
      </c>
      <c r="R300">
        <v>14.8752</v>
      </c>
      <c r="S300" t="s">
        <v>66</v>
      </c>
    </row>
    <row r="301" spans="1:19" x14ac:dyDescent="0.35">
      <c r="A301" t="s">
        <v>1256</v>
      </c>
      <c r="B301" s="1">
        <v>42763</v>
      </c>
      <c r="C301" s="1">
        <v>42766</v>
      </c>
      <c r="D301" t="s">
        <v>20</v>
      </c>
      <c r="E301" t="s">
        <v>1257</v>
      </c>
      <c r="F301" t="s">
        <v>1258</v>
      </c>
      <c r="G301" t="s">
        <v>94</v>
      </c>
      <c r="H301" t="s">
        <v>24</v>
      </c>
      <c r="I301" t="s">
        <v>541</v>
      </c>
      <c r="J301" t="s">
        <v>50</v>
      </c>
      <c r="K301" t="s">
        <v>51</v>
      </c>
      <c r="L301" t="s">
        <v>1259</v>
      </c>
      <c r="M301" t="s">
        <v>29</v>
      </c>
      <c r="N301" t="s">
        <v>53</v>
      </c>
      <c r="O301" t="s">
        <v>1260</v>
      </c>
      <c r="P301">
        <v>37.74</v>
      </c>
      <c r="Q301">
        <v>3</v>
      </c>
      <c r="R301">
        <v>12.8316</v>
      </c>
      <c r="S301" t="s">
        <v>161</v>
      </c>
    </row>
    <row r="302" spans="1:19" x14ac:dyDescent="0.35">
      <c r="A302" t="s">
        <v>1261</v>
      </c>
      <c r="B302" s="1">
        <v>42268</v>
      </c>
      <c r="C302" s="1">
        <v>42271</v>
      </c>
      <c r="D302" t="s">
        <v>81</v>
      </c>
      <c r="E302" t="s">
        <v>1262</v>
      </c>
      <c r="F302" t="s">
        <v>1263</v>
      </c>
      <c r="G302" t="s">
        <v>84</v>
      </c>
      <c r="H302" t="s">
        <v>24</v>
      </c>
      <c r="I302" t="s">
        <v>95</v>
      </c>
      <c r="J302" t="s">
        <v>86</v>
      </c>
      <c r="K302" t="s">
        <v>87</v>
      </c>
      <c r="L302" t="s">
        <v>105</v>
      </c>
      <c r="M302" t="s">
        <v>29</v>
      </c>
      <c r="N302" t="s">
        <v>53</v>
      </c>
      <c r="O302" t="s">
        <v>106</v>
      </c>
      <c r="P302">
        <v>4.9279999999999999</v>
      </c>
      <c r="Q302">
        <v>4</v>
      </c>
      <c r="R302">
        <v>-1.4783999999999999</v>
      </c>
      <c r="S302" t="s">
        <v>72</v>
      </c>
    </row>
    <row r="303" spans="1:19" x14ac:dyDescent="0.35">
      <c r="A303" t="s">
        <v>1264</v>
      </c>
      <c r="B303" s="1">
        <v>41992</v>
      </c>
      <c r="C303" s="1">
        <v>41994</v>
      </c>
      <c r="D303" t="s">
        <v>20</v>
      </c>
      <c r="E303" t="s">
        <v>1265</v>
      </c>
      <c r="F303" t="s">
        <v>1266</v>
      </c>
      <c r="G303" t="s">
        <v>23</v>
      </c>
      <c r="H303" t="s">
        <v>24</v>
      </c>
      <c r="I303" t="s">
        <v>845</v>
      </c>
      <c r="J303" t="s">
        <v>1267</v>
      </c>
      <c r="K303" t="s">
        <v>27</v>
      </c>
      <c r="L303" t="s">
        <v>134</v>
      </c>
      <c r="M303" t="s">
        <v>29</v>
      </c>
      <c r="N303" t="s">
        <v>34</v>
      </c>
      <c r="O303" t="s">
        <v>135</v>
      </c>
      <c r="P303">
        <v>1819.86</v>
      </c>
      <c r="Q303">
        <v>14</v>
      </c>
      <c r="R303">
        <v>163.78739999999999</v>
      </c>
      <c r="S303" t="s">
        <v>90</v>
      </c>
    </row>
    <row r="304" spans="1:19" x14ac:dyDescent="0.35">
      <c r="A304" t="s">
        <v>1268</v>
      </c>
      <c r="B304" s="1">
        <v>42292</v>
      </c>
      <c r="C304" s="1">
        <v>42292</v>
      </c>
      <c r="D304" t="s">
        <v>417</v>
      </c>
      <c r="E304" t="s">
        <v>130</v>
      </c>
      <c r="F304" t="s">
        <v>131</v>
      </c>
      <c r="G304" t="s">
        <v>23</v>
      </c>
      <c r="H304" t="s">
        <v>24</v>
      </c>
      <c r="I304" t="s">
        <v>519</v>
      </c>
      <c r="J304" t="s">
        <v>86</v>
      </c>
      <c r="K304" t="s">
        <v>87</v>
      </c>
      <c r="L304" t="s">
        <v>592</v>
      </c>
      <c r="M304" t="s">
        <v>29</v>
      </c>
      <c r="N304" t="s">
        <v>34</v>
      </c>
      <c r="O304" t="s">
        <v>593</v>
      </c>
      <c r="P304">
        <v>2453.4299999999998</v>
      </c>
      <c r="Q304">
        <v>5</v>
      </c>
      <c r="R304">
        <v>-350.49</v>
      </c>
      <c r="S304" t="s">
        <v>45</v>
      </c>
    </row>
    <row r="305" spans="1:19" x14ac:dyDescent="0.35">
      <c r="A305" t="s">
        <v>1269</v>
      </c>
      <c r="B305" s="1">
        <v>42899</v>
      </c>
      <c r="C305" s="1">
        <v>42902</v>
      </c>
      <c r="D305" t="s">
        <v>81</v>
      </c>
      <c r="E305" t="s">
        <v>1248</v>
      </c>
      <c r="F305" t="s">
        <v>1249</v>
      </c>
      <c r="G305" t="s">
        <v>94</v>
      </c>
      <c r="H305" t="s">
        <v>24</v>
      </c>
      <c r="I305" t="s">
        <v>125</v>
      </c>
      <c r="J305" t="s">
        <v>126</v>
      </c>
      <c r="K305" t="s">
        <v>87</v>
      </c>
      <c r="L305" t="s">
        <v>1270</v>
      </c>
      <c r="M305" t="s">
        <v>29</v>
      </c>
      <c r="N305" t="s">
        <v>34</v>
      </c>
      <c r="O305" t="s">
        <v>1271</v>
      </c>
      <c r="P305">
        <v>470.30200000000002</v>
      </c>
      <c r="Q305">
        <v>7</v>
      </c>
      <c r="R305">
        <v>-87.341800000000006</v>
      </c>
      <c r="S305" t="s">
        <v>55</v>
      </c>
    </row>
    <row r="306" spans="1:19" x14ac:dyDescent="0.35">
      <c r="A306" t="s">
        <v>1272</v>
      </c>
      <c r="B306" s="1">
        <v>42898</v>
      </c>
      <c r="C306" s="1">
        <v>42905</v>
      </c>
      <c r="D306" t="s">
        <v>37</v>
      </c>
      <c r="E306" t="s">
        <v>1273</v>
      </c>
      <c r="F306" t="s">
        <v>1274</v>
      </c>
      <c r="G306" t="s">
        <v>94</v>
      </c>
      <c r="H306" t="s">
        <v>24</v>
      </c>
      <c r="I306" t="s">
        <v>339</v>
      </c>
      <c r="J306" t="s">
        <v>658</v>
      </c>
      <c r="K306" t="s">
        <v>27</v>
      </c>
      <c r="L306" t="s">
        <v>1275</v>
      </c>
      <c r="M306" t="s">
        <v>29</v>
      </c>
      <c r="N306" t="s">
        <v>43</v>
      </c>
      <c r="O306" t="s">
        <v>1276</v>
      </c>
      <c r="P306">
        <v>452.94</v>
      </c>
      <c r="Q306">
        <v>3</v>
      </c>
      <c r="R306">
        <v>67.941000000000003</v>
      </c>
      <c r="S306" t="s">
        <v>55</v>
      </c>
    </row>
    <row r="307" spans="1:19" x14ac:dyDescent="0.35">
      <c r="A307" t="s">
        <v>1277</v>
      </c>
      <c r="B307" s="1">
        <v>41763</v>
      </c>
      <c r="C307" s="1">
        <v>41763</v>
      </c>
      <c r="D307" t="s">
        <v>417</v>
      </c>
      <c r="E307" t="s">
        <v>1278</v>
      </c>
      <c r="F307" t="s">
        <v>1279</v>
      </c>
      <c r="G307" t="s">
        <v>23</v>
      </c>
      <c r="H307" t="s">
        <v>24</v>
      </c>
      <c r="I307" t="s">
        <v>1280</v>
      </c>
      <c r="J307" t="s">
        <v>421</v>
      </c>
      <c r="K307" t="s">
        <v>63</v>
      </c>
      <c r="L307" t="s">
        <v>1281</v>
      </c>
      <c r="M307" t="s">
        <v>29</v>
      </c>
      <c r="N307" t="s">
        <v>53</v>
      </c>
      <c r="O307" t="s">
        <v>1282</v>
      </c>
      <c r="P307">
        <v>27.46</v>
      </c>
      <c r="Q307">
        <v>2</v>
      </c>
      <c r="R307">
        <v>9.8856000000000002</v>
      </c>
      <c r="S307" t="s">
        <v>153</v>
      </c>
    </row>
    <row r="308" spans="1:19" x14ac:dyDescent="0.35">
      <c r="A308" t="s">
        <v>1283</v>
      </c>
      <c r="B308" s="1">
        <v>42440</v>
      </c>
      <c r="C308" s="1">
        <v>42444</v>
      </c>
      <c r="D308" t="s">
        <v>37</v>
      </c>
      <c r="E308" t="s">
        <v>1284</v>
      </c>
      <c r="F308" t="s">
        <v>1285</v>
      </c>
      <c r="G308" t="s">
        <v>23</v>
      </c>
      <c r="H308" t="s">
        <v>24</v>
      </c>
      <c r="I308" t="s">
        <v>1286</v>
      </c>
      <c r="J308" t="s">
        <v>354</v>
      </c>
      <c r="K308" t="s">
        <v>63</v>
      </c>
      <c r="L308" t="s">
        <v>775</v>
      </c>
      <c r="M308" t="s">
        <v>29</v>
      </c>
      <c r="N308" t="s">
        <v>43</v>
      </c>
      <c r="O308" t="s">
        <v>776</v>
      </c>
      <c r="P308">
        <v>244.006</v>
      </c>
      <c r="Q308">
        <v>2</v>
      </c>
      <c r="R308">
        <v>-31.372199999999999</v>
      </c>
      <c r="S308" t="s">
        <v>187</v>
      </c>
    </row>
    <row r="309" spans="1:19" x14ac:dyDescent="0.35">
      <c r="A309" t="s">
        <v>1287</v>
      </c>
      <c r="B309" s="1">
        <v>42608</v>
      </c>
      <c r="C309" s="1">
        <v>42610</v>
      </c>
      <c r="D309" t="s">
        <v>81</v>
      </c>
      <c r="E309" t="s">
        <v>1288</v>
      </c>
      <c r="F309" t="s">
        <v>1289</v>
      </c>
      <c r="G309" t="s">
        <v>84</v>
      </c>
      <c r="H309" t="s">
        <v>24</v>
      </c>
      <c r="I309" t="s">
        <v>1176</v>
      </c>
      <c r="J309" t="s">
        <v>86</v>
      </c>
      <c r="K309" t="s">
        <v>87</v>
      </c>
      <c r="L309" t="s">
        <v>1073</v>
      </c>
      <c r="M309" t="s">
        <v>29</v>
      </c>
      <c r="N309" t="s">
        <v>34</v>
      </c>
      <c r="O309" t="s">
        <v>1074</v>
      </c>
      <c r="P309">
        <v>1024.7159999999999</v>
      </c>
      <c r="Q309">
        <v>6</v>
      </c>
      <c r="R309">
        <v>-29.2776</v>
      </c>
      <c r="S309" t="s">
        <v>245</v>
      </c>
    </row>
    <row r="310" spans="1:19" x14ac:dyDescent="0.35">
      <c r="A310" t="s">
        <v>1290</v>
      </c>
      <c r="B310" s="1">
        <v>41859</v>
      </c>
      <c r="C310" s="1">
        <v>41865</v>
      </c>
      <c r="D310" t="s">
        <v>37</v>
      </c>
      <c r="E310" t="s">
        <v>1291</v>
      </c>
      <c r="F310" t="s">
        <v>1292</v>
      </c>
      <c r="G310" t="s">
        <v>23</v>
      </c>
      <c r="H310" t="s">
        <v>24</v>
      </c>
      <c r="I310" t="s">
        <v>1293</v>
      </c>
      <c r="J310" t="s">
        <v>511</v>
      </c>
      <c r="K310" t="s">
        <v>51</v>
      </c>
      <c r="L310" t="s">
        <v>958</v>
      </c>
      <c r="M310" t="s">
        <v>29</v>
      </c>
      <c r="N310" t="s">
        <v>53</v>
      </c>
      <c r="O310" t="s">
        <v>959</v>
      </c>
      <c r="P310">
        <v>121.376</v>
      </c>
      <c r="Q310">
        <v>4</v>
      </c>
      <c r="R310">
        <v>-3.0344000000000002</v>
      </c>
      <c r="S310" t="s">
        <v>245</v>
      </c>
    </row>
    <row r="311" spans="1:19" x14ac:dyDescent="0.35">
      <c r="A311" t="s">
        <v>1294</v>
      </c>
      <c r="B311" s="1">
        <v>43078</v>
      </c>
      <c r="C311" s="1">
        <v>43082</v>
      </c>
      <c r="D311" t="s">
        <v>37</v>
      </c>
      <c r="E311" t="s">
        <v>1295</v>
      </c>
      <c r="F311" t="s">
        <v>1296</v>
      </c>
      <c r="G311" t="s">
        <v>84</v>
      </c>
      <c r="H311" t="s">
        <v>24</v>
      </c>
      <c r="I311" t="s">
        <v>280</v>
      </c>
      <c r="J311" t="s">
        <v>281</v>
      </c>
      <c r="K311" t="s">
        <v>87</v>
      </c>
      <c r="L311" t="s">
        <v>1297</v>
      </c>
      <c r="M311" t="s">
        <v>29</v>
      </c>
      <c r="N311" t="s">
        <v>34</v>
      </c>
      <c r="O311" t="s">
        <v>1298</v>
      </c>
      <c r="P311">
        <v>872.94</v>
      </c>
      <c r="Q311">
        <v>3</v>
      </c>
      <c r="R311">
        <v>226.96440000000001</v>
      </c>
      <c r="S311" t="s">
        <v>90</v>
      </c>
    </row>
    <row r="312" spans="1:19" x14ac:dyDescent="0.35">
      <c r="A312" t="s">
        <v>1299</v>
      </c>
      <c r="B312" s="1">
        <v>42339</v>
      </c>
      <c r="C312" s="1">
        <v>42340</v>
      </c>
      <c r="D312" t="s">
        <v>417</v>
      </c>
      <c r="E312" t="s">
        <v>1300</v>
      </c>
      <c r="F312" t="s">
        <v>1301</v>
      </c>
      <c r="G312" t="s">
        <v>23</v>
      </c>
      <c r="H312" t="s">
        <v>24</v>
      </c>
      <c r="I312" t="s">
        <v>95</v>
      </c>
      <c r="J312" t="s">
        <v>86</v>
      </c>
      <c r="K312" t="s">
        <v>87</v>
      </c>
      <c r="L312" t="s">
        <v>1302</v>
      </c>
      <c r="M312" t="s">
        <v>29</v>
      </c>
      <c r="N312" t="s">
        <v>53</v>
      </c>
      <c r="O312" t="s">
        <v>1303</v>
      </c>
      <c r="P312">
        <v>6.6879999999999997</v>
      </c>
      <c r="Q312">
        <v>4</v>
      </c>
      <c r="R312">
        <v>-4.0128000000000004</v>
      </c>
      <c r="S312" t="s">
        <v>90</v>
      </c>
    </row>
    <row r="313" spans="1:19" x14ac:dyDescent="0.35">
      <c r="A313" t="s">
        <v>1304</v>
      </c>
      <c r="B313" s="1">
        <v>42311</v>
      </c>
      <c r="C313" s="1">
        <v>42315</v>
      </c>
      <c r="D313" t="s">
        <v>37</v>
      </c>
      <c r="E313" t="s">
        <v>1305</v>
      </c>
      <c r="F313" t="s">
        <v>1306</v>
      </c>
      <c r="G313" t="s">
        <v>94</v>
      </c>
      <c r="H313" t="s">
        <v>24</v>
      </c>
      <c r="I313" t="s">
        <v>49</v>
      </c>
      <c r="J313" t="s">
        <v>50</v>
      </c>
      <c r="K313" t="s">
        <v>51</v>
      </c>
      <c r="L313" t="s">
        <v>476</v>
      </c>
      <c r="M313" t="s">
        <v>29</v>
      </c>
      <c r="N313" t="s">
        <v>53</v>
      </c>
      <c r="O313" t="s">
        <v>477</v>
      </c>
      <c r="P313">
        <v>42.6</v>
      </c>
      <c r="Q313">
        <v>3</v>
      </c>
      <c r="R313">
        <v>16.614000000000001</v>
      </c>
      <c r="S313" t="s">
        <v>32</v>
      </c>
    </row>
    <row r="314" spans="1:19" x14ac:dyDescent="0.35">
      <c r="A314" t="s">
        <v>1307</v>
      </c>
      <c r="B314" s="1">
        <v>43063</v>
      </c>
      <c r="C314" s="1">
        <v>43067</v>
      </c>
      <c r="D314" t="s">
        <v>37</v>
      </c>
      <c r="E314" t="s">
        <v>1308</v>
      </c>
      <c r="F314" t="s">
        <v>1309</v>
      </c>
      <c r="G314" t="s">
        <v>84</v>
      </c>
      <c r="H314" t="s">
        <v>24</v>
      </c>
      <c r="I314" t="s">
        <v>165</v>
      </c>
      <c r="J314" t="s">
        <v>114</v>
      </c>
      <c r="K314" t="s">
        <v>63</v>
      </c>
      <c r="L314" t="s">
        <v>412</v>
      </c>
      <c r="M314" t="s">
        <v>29</v>
      </c>
      <c r="N314" t="s">
        <v>34</v>
      </c>
      <c r="O314" t="s">
        <v>413</v>
      </c>
      <c r="P314">
        <v>977.29200000000003</v>
      </c>
      <c r="Q314">
        <v>6</v>
      </c>
      <c r="R314">
        <v>173.74080000000001</v>
      </c>
      <c r="S314" t="s">
        <v>32</v>
      </c>
    </row>
    <row r="315" spans="1:19" x14ac:dyDescent="0.35">
      <c r="A315" t="s">
        <v>1310</v>
      </c>
      <c r="B315" s="1">
        <v>43038</v>
      </c>
      <c r="C315" s="1">
        <v>43042</v>
      </c>
      <c r="D315" t="s">
        <v>37</v>
      </c>
      <c r="E315" t="s">
        <v>1311</v>
      </c>
      <c r="F315" t="s">
        <v>1312</v>
      </c>
      <c r="G315" t="s">
        <v>84</v>
      </c>
      <c r="H315" t="s">
        <v>24</v>
      </c>
      <c r="I315" t="s">
        <v>673</v>
      </c>
      <c r="J315" t="s">
        <v>184</v>
      </c>
      <c r="K315" t="s">
        <v>51</v>
      </c>
      <c r="L315" t="s">
        <v>950</v>
      </c>
      <c r="M315" t="s">
        <v>29</v>
      </c>
      <c r="N315" t="s">
        <v>53</v>
      </c>
      <c r="O315" t="s">
        <v>951</v>
      </c>
      <c r="P315">
        <v>9.64</v>
      </c>
      <c r="Q315">
        <v>2</v>
      </c>
      <c r="R315">
        <v>3.6631999999999998</v>
      </c>
      <c r="S315" t="s">
        <v>45</v>
      </c>
    </row>
    <row r="316" spans="1:19" x14ac:dyDescent="0.35">
      <c r="A316" t="s">
        <v>1313</v>
      </c>
      <c r="B316" s="1">
        <v>42698</v>
      </c>
      <c r="C316" s="1">
        <v>42705</v>
      </c>
      <c r="D316" t="s">
        <v>37</v>
      </c>
      <c r="E316" t="s">
        <v>1314</v>
      </c>
      <c r="F316" t="s">
        <v>1315</v>
      </c>
      <c r="G316" t="s">
        <v>94</v>
      </c>
      <c r="H316" t="s">
        <v>24</v>
      </c>
      <c r="I316" t="s">
        <v>49</v>
      </c>
      <c r="J316" t="s">
        <v>50</v>
      </c>
      <c r="K316" t="s">
        <v>51</v>
      </c>
      <c r="L316" t="s">
        <v>641</v>
      </c>
      <c r="M316" t="s">
        <v>29</v>
      </c>
      <c r="N316" t="s">
        <v>53</v>
      </c>
      <c r="O316" t="s">
        <v>642</v>
      </c>
      <c r="P316">
        <v>9.94</v>
      </c>
      <c r="Q316">
        <v>2</v>
      </c>
      <c r="R316">
        <v>3.0813999999999999</v>
      </c>
      <c r="S316" t="s">
        <v>32</v>
      </c>
    </row>
    <row r="317" spans="1:19" x14ac:dyDescent="0.35">
      <c r="A317" t="s">
        <v>1316</v>
      </c>
      <c r="B317" s="1">
        <v>42217</v>
      </c>
      <c r="C317" s="1">
        <v>42223</v>
      </c>
      <c r="D317" t="s">
        <v>37</v>
      </c>
      <c r="E317" t="s">
        <v>1317</v>
      </c>
      <c r="F317" t="s">
        <v>1318</v>
      </c>
      <c r="G317" t="s">
        <v>94</v>
      </c>
      <c r="H317" t="s">
        <v>24</v>
      </c>
      <c r="I317" t="s">
        <v>49</v>
      </c>
      <c r="J317" t="s">
        <v>50</v>
      </c>
      <c r="K317" t="s">
        <v>51</v>
      </c>
      <c r="L317" t="s">
        <v>1319</v>
      </c>
      <c r="M317" t="s">
        <v>29</v>
      </c>
      <c r="N317" t="s">
        <v>43</v>
      </c>
      <c r="O317" t="s">
        <v>1320</v>
      </c>
      <c r="P317">
        <v>1004.976</v>
      </c>
      <c r="Q317">
        <v>6</v>
      </c>
      <c r="R317">
        <v>-175.8708</v>
      </c>
      <c r="S317" t="s">
        <v>245</v>
      </c>
    </row>
    <row r="318" spans="1:19" x14ac:dyDescent="0.35">
      <c r="A318" t="s">
        <v>1321</v>
      </c>
      <c r="B318" s="1">
        <v>42990</v>
      </c>
      <c r="C318" s="1">
        <v>42993</v>
      </c>
      <c r="D318" t="s">
        <v>81</v>
      </c>
      <c r="E318" t="s">
        <v>1322</v>
      </c>
      <c r="F318" t="s">
        <v>1323</v>
      </c>
      <c r="G318" t="s">
        <v>23</v>
      </c>
      <c r="H318" t="s">
        <v>24</v>
      </c>
      <c r="I318" t="s">
        <v>49</v>
      </c>
      <c r="J318" t="s">
        <v>50</v>
      </c>
      <c r="K318" t="s">
        <v>51</v>
      </c>
      <c r="L318" t="s">
        <v>1302</v>
      </c>
      <c r="M318" t="s">
        <v>29</v>
      </c>
      <c r="N318" t="s">
        <v>53</v>
      </c>
      <c r="O318" t="s">
        <v>1303</v>
      </c>
      <c r="P318">
        <v>8.36</v>
      </c>
      <c r="Q318">
        <v>2</v>
      </c>
      <c r="R318">
        <v>3.0095999999999998</v>
      </c>
      <c r="S318" t="s">
        <v>72</v>
      </c>
    </row>
    <row r="319" spans="1:19" x14ac:dyDescent="0.35">
      <c r="A319" t="s">
        <v>1324</v>
      </c>
      <c r="B319" s="1">
        <v>43080</v>
      </c>
      <c r="C319" s="1">
        <v>43086</v>
      </c>
      <c r="D319" t="s">
        <v>37</v>
      </c>
      <c r="E319" t="s">
        <v>1325</v>
      </c>
      <c r="F319" t="s">
        <v>1326</v>
      </c>
      <c r="G319" t="s">
        <v>23</v>
      </c>
      <c r="H319" t="s">
        <v>24</v>
      </c>
      <c r="I319" t="s">
        <v>61</v>
      </c>
      <c r="J319" t="s">
        <v>62</v>
      </c>
      <c r="K319" t="s">
        <v>63</v>
      </c>
      <c r="L319" t="s">
        <v>1208</v>
      </c>
      <c r="M319" t="s">
        <v>29</v>
      </c>
      <c r="N319" t="s">
        <v>34</v>
      </c>
      <c r="O319" t="s">
        <v>1209</v>
      </c>
      <c r="P319">
        <v>63.686</v>
      </c>
      <c r="Q319">
        <v>1</v>
      </c>
      <c r="R319">
        <v>-9.0980000000000008</v>
      </c>
      <c r="S319" t="s">
        <v>90</v>
      </c>
    </row>
    <row r="320" spans="1:19" x14ac:dyDescent="0.35">
      <c r="A320" t="s">
        <v>1327</v>
      </c>
      <c r="B320" s="1">
        <v>43079</v>
      </c>
      <c r="C320" s="1">
        <v>43083</v>
      </c>
      <c r="D320" t="s">
        <v>20</v>
      </c>
      <c r="E320" t="s">
        <v>1328</v>
      </c>
      <c r="F320" t="s">
        <v>1329</v>
      </c>
      <c r="G320" t="s">
        <v>23</v>
      </c>
      <c r="H320" t="s">
        <v>24</v>
      </c>
      <c r="I320" t="s">
        <v>1330</v>
      </c>
      <c r="J320" t="s">
        <v>1331</v>
      </c>
      <c r="K320" t="s">
        <v>51</v>
      </c>
      <c r="L320" t="s">
        <v>603</v>
      </c>
      <c r="M320" t="s">
        <v>29</v>
      </c>
      <c r="N320" t="s">
        <v>43</v>
      </c>
      <c r="O320" t="s">
        <v>604</v>
      </c>
      <c r="P320">
        <v>1669.6</v>
      </c>
      <c r="Q320">
        <v>4</v>
      </c>
      <c r="R320">
        <v>116.872</v>
      </c>
      <c r="S320" t="s">
        <v>90</v>
      </c>
    </row>
    <row r="321" spans="1:19" x14ac:dyDescent="0.35">
      <c r="A321" t="s">
        <v>1332</v>
      </c>
      <c r="B321" s="1">
        <v>42344</v>
      </c>
      <c r="C321" s="1">
        <v>42349</v>
      </c>
      <c r="D321" t="s">
        <v>37</v>
      </c>
      <c r="E321" t="s">
        <v>1333</v>
      </c>
      <c r="F321" t="s">
        <v>1334</v>
      </c>
      <c r="G321" t="s">
        <v>23</v>
      </c>
      <c r="H321" t="s">
        <v>24</v>
      </c>
      <c r="I321" t="s">
        <v>1213</v>
      </c>
      <c r="J321" t="s">
        <v>511</v>
      </c>
      <c r="K321" t="s">
        <v>51</v>
      </c>
      <c r="L321" t="s">
        <v>736</v>
      </c>
      <c r="M321" t="s">
        <v>29</v>
      </c>
      <c r="N321" t="s">
        <v>53</v>
      </c>
      <c r="O321" t="s">
        <v>737</v>
      </c>
      <c r="P321">
        <v>206.11199999999999</v>
      </c>
      <c r="Q321">
        <v>6</v>
      </c>
      <c r="R321">
        <v>48.951599999999999</v>
      </c>
      <c r="S321" t="s">
        <v>90</v>
      </c>
    </row>
    <row r="322" spans="1:19" x14ac:dyDescent="0.35">
      <c r="A322" t="s">
        <v>1335</v>
      </c>
      <c r="B322" s="1">
        <v>42573</v>
      </c>
      <c r="C322" s="1">
        <v>42578</v>
      </c>
      <c r="D322" t="s">
        <v>37</v>
      </c>
      <c r="E322" t="s">
        <v>1336</v>
      </c>
      <c r="F322" t="s">
        <v>1337</v>
      </c>
      <c r="G322" t="s">
        <v>23</v>
      </c>
      <c r="H322" t="s">
        <v>24</v>
      </c>
      <c r="I322" t="s">
        <v>1338</v>
      </c>
      <c r="J322" t="s">
        <v>62</v>
      </c>
      <c r="K322" t="s">
        <v>63</v>
      </c>
      <c r="L322" t="s">
        <v>1339</v>
      </c>
      <c r="M322" t="s">
        <v>29</v>
      </c>
      <c r="N322" t="s">
        <v>53</v>
      </c>
      <c r="O322" t="s">
        <v>1340</v>
      </c>
      <c r="P322">
        <v>11.648</v>
      </c>
      <c r="Q322">
        <v>2</v>
      </c>
      <c r="R322">
        <v>3.3488000000000002</v>
      </c>
      <c r="S322" t="s">
        <v>66</v>
      </c>
    </row>
    <row r="323" spans="1:19" x14ac:dyDescent="0.35">
      <c r="A323" t="s">
        <v>1341</v>
      </c>
      <c r="B323" s="1">
        <v>42776</v>
      </c>
      <c r="C323" s="1">
        <v>42780</v>
      </c>
      <c r="D323" t="s">
        <v>37</v>
      </c>
      <c r="E323" t="s">
        <v>1342</v>
      </c>
      <c r="F323" t="s">
        <v>1343</v>
      </c>
      <c r="G323" t="s">
        <v>94</v>
      </c>
      <c r="H323" t="s">
        <v>24</v>
      </c>
      <c r="I323" t="s">
        <v>1344</v>
      </c>
      <c r="J323" t="s">
        <v>50</v>
      </c>
      <c r="K323" t="s">
        <v>51</v>
      </c>
      <c r="L323" t="s">
        <v>701</v>
      </c>
      <c r="M323" t="s">
        <v>29</v>
      </c>
      <c r="N323" t="s">
        <v>30</v>
      </c>
      <c r="O323" t="s">
        <v>702</v>
      </c>
      <c r="P323">
        <v>203.983</v>
      </c>
      <c r="Q323">
        <v>2</v>
      </c>
      <c r="R323">
        <v>16.7986</v>
      </c>
      <c r="S323" t="s">
        <v>289</v>
      </c>
    </row>
    <row r="324" spans="1:19" x14ac:dyDescent="0.35">
      <c r="A324" t="s">
        <v>1345</v>
      </c>
      <c r="B324" s="1">
        <v>42993</v>
      </c>
      <c r="C324" s="1">
        <v>42995</v>
      </c>
      <c r="D324" t="s">
        <v>20</v>
      </c>
      <c r="E324" t="s">
        <v>1346</v>
      </c>
      <c r="F324" t="s">
        <v>1347</v>
      </c>
      <c r="G324" t="s">
        <v>23</v>
      </c>
      <c r="H324" t="s">
        <v>24</v>
      </c>
      <c r="I324" t="s">
        <v>1348</v>
      </c>
      <c r="J324" t="s">
        <v>425</v>
      </c>
      <c r="K324" t="s">
        <v>63</v>
      </c>
      <c r="L324" t="s">
        <v>96</v>
      </c>
      <c r="M324" t="s">
        <v>29</v>
      </c>
      <c r="N324" t="s">
        <v>30</v>
      </c>
      <c r="O324" t="s">
        <v>97</v>
      </c>
      <c r="P324">
        <v>782.94</v>
      </c>
      <c r="Q324">
        <v>3</v>
      </c>
      <c r="R324">
        <v>203.56440000000001</v>
      </c>
      <c r="S324" t="s">
        <v>72</v>
      </c>
    </row>
    <row r="325" spans="1:19" x14ac:dyDescent="0.35">
      <c r="A325" t="s">
        <v>1349</v>
      </c>
      <c r="B325" s="1">
        <v>41709</v>
      </c>
      <c r="C325" s="1">
        <v>41714</v>
      </c>
      <c r="D325" t="s">
        <v>20</v>
      </c>
      <c r="E325" t="s">
        <v>1350</v>
      </c>
      <c r="F325" t="s">
        <v>1351</v>
      </c>
      <c r="G325" t="s">
        <v>23</v>
      </c>
      <c r="H325" t="s">
        <v>24</v>
      </c>
      <c r="I325" t="s">
        <v>339</v>
      </c>
      <c r="J325" t="s">
        <v>223</v>
      </c>
      <c r="K325" t="s">
        <v>63</v>
      </c>
      <c r="L325" t="s">
        <v>1352</v>
      </c>
      <c r="M325" t="s">
        <v>29</v>
      </c>
      <c r="N325" t="s">
        <v>53</v>
      </c>
      <c r="O325" t="s">
        <v>415</v>
      </c>
      <c r="P325">
        <v>8.32</v>
      </c>
      <c r="Q325">
        <v>5</v>
      </c>
      <c r="R325">
        <v>2.2879999999999998</v>
      </c>
      <c r="S325" t="s">
        <v>187</v>
      </c>
    </row>
    <row r="326" spans="1:19" x14ac:dyDescent="0.35">
      <c r="A326" t="s">
        <v>1353</v>
      </c>
      <c r="B326" s="1">
        <v>42004</v>
      </c>
      <c r="C326" s="1">
        <v>42008</v>
      </c>
      <c r="D326" t="s">
        <v>20</v>
      </c>
      <c r="E326" t="s">
        <v>1354</v>
      </c>
      <c r="F326" t="s">
        <v>1355</v>
      </c>
      <c r="G326" t="s">
        <v>84</v>
      </c>
      <c r="H326" t="s">
        <v>24</v>
      </c>
      <c r="I326" t="s">
        <v>1356</v>
      </c>
      <c r="J326" t="s">
        <v>114</v>
      </c>
      <c r="K326" t="s">
        <v>63</v>
      </c>
      <c r="L326" t="s">
        <v>252</v>
      </c>
      <c r="M326" t="s">
        <v>29</v>
      </c>
      <c r="N326" t="s">
        <v>30</v>
      </c>
      <c r="O326" t="s">
        <v>253</v>
      </c>
      <c r="P326">
        <v>1573.4880000000001</v>
      </c>
      <c r="Q326">
        <v>7</v>
      </c>
      <c r="R326">
        <v>196.68600000000001</v>
      </c>
      <c r="S326" t="s">
        <v>90</v>
      </c>
    </row>
    <row r="327" spans="1:19" x14ac:dyDescent="0.35">
      <c r="A327" t="s">
        <v>1357</v>
      </c>
      <c r="B327" s="1">
        <v>42079</v>
      </c>
      <c r="C327" s="1">
        <v>42081</v>
      </c>
      <c r="D327" t="s">
        <v>20</v>
      </c>
      <c r="E327" t="s">
        <v>528</v>
      </c>
      <c r="F327" t="s">
        <v>529</v>
      </c>
      <c r="G327" t="s">
        <v>23</v>
      </c>
      <c r="H327" t="s">
        <v>24</v>
      </c>
      <c r="I327" t="s">
        <v>183</v>
      </c>
      <c r="J327" t="s">
        <v>184</v>
      </c>
      <c r="K327" t="s">
        <v>51</v>
      </c>
      <c r="L327" t="s">
        <v>1250</v>
      </c>
      <c r="M327" t="s">
        <v>29</v>
      </c>
      <c r="N327" t="s">
        <v>43</v>
      </c>
      <c r="O327" t="s">
        <v>1054</v>
      </c>
      <c r="P327">
        <v>171.96</v>
      </c>
      <c r="Q327">
        <v>2</v>
      </c>
      <c r="R327">
        <v>44.709600000000002</v>
      </c>
      <c r="S327" t="s">
        <v>187</v>
      </c>
    </row>
    <row r="328" spans="1:19" x14ac:dyDescent="0.35">
      <c r="A328" t="s">
        <v>1358</v>
      </c>
      <c r="B328" s="1">
        <v>42916</v>
      </c>
      <c r="C328" s="1">
        <v>42916</v>
      </c>
      <c r="D328" t="s">
        <v>417</v>
      </c>
      <c r="E328" t="s">
        <v>1359</v>
      </c>
      <c r="F328" t="s">
        <v>1360</v>
      </c>
      <c r="G328" t="s">
        <v>23</v>
      </c>
      <c r="H328" t="s">
        <v>24</v>
      </c>
      <c r="I328" t="s">
        <v>165</v>
      </c>
      <c r="J328" t="s">
        <v>114</v>
      </c>
      <c r="K328" t="s">
        <v>63</v>
      </c>
      <c r="L328" t="s">
        <v>42</v>
      </c>
      <c r="M328" t="s">
        <v>29</v>
      </c>
      <c r="N328" t="s">
        <v>43</v>
      </c>
      <c r="O328" t="s">
        <v>44</v>
      </c>
      <c r="P328">
        <v>1044.6300000000001</v>
      </c>
      <c r="Q328">
        <v>5</v>
      </c>
      <c r="R328">
        <v>-295.9785</v>
      </c>
      <c r="S328" t="s">
        <v>55</v>
      </c>
    </row>
    <row r="329" spans="1:19" x14ac:dyDescent="0.35">
      <c r="A329" t="s">
        <v>1361</v>
      </c>
      <c r="B329" s="1">
        <v>41966</v>
      </c>
      <c r="C329" s="1">
        <v>41968</v>
      </c>
      <c r="D329" t="s">
        <v>81</v>
      </c>
      <c r="E329" t="s">
        <v>498</v>
      </c>
      <c r="F329" t="s">
        <v>499</v>
      </c>
      <c r="G329" t="s">
        <v>23</v>
      </c>
      <c r="H329" t="s">
        <v>24</v>
      </c>
      <c r="I329" t="s">
        <v>49</v>
      </c>
      <c r="J329" t="s">
        <v>50</v>
      </c>
      <c r="K329" t="s">
        <v>51</v>
      </c>
      <c r="L329" t="s">
        <v>151</v>
      </c>
      <c r="M329" t="s">
        <v>29</v>
      </c>
      <c r="N329" t="s">
        <v>34</v>
      </c>
      <c r="O329" t="s">
        <v>152</v>
      </c>
      <c r="P329">
        <v>603.91999999999996</v>
      </c>
      <c r="Q329">
        <v>5</v>
      </c>
      <c r="R329">
        <v>-67.941000000000003</v>
      </c>
      <c r="S329" t="s">
        <v>32</v>
      </c>
    </row>
    <row r="330" spans="1:19" x14ac:dyDescent="0.35">
      <c r="A330" t="s">
        <v>1361</v>
      </c>
      <c r="B330" s="1">
        <v>41966</v>
      </c>
      <c r="C330" s="1">
        <v>41968</v>
      </c>
      <c r="D330" t="s">
        <v>81</v>
      </c>
      <c r="E330" t="s">
        <v>498</v>
      </c>
      <c r="F330" t="s">
        <v>499</v>
      </c>
      <c r="G330" t="s">
        <v>23</v>
      </c>
      <c r="H330" t="s">
        <v>24</v>
      </c>
      <c r="I330" t="s">
        <v>49</v>
      </c>
      <c r="J330" t="s">
        <v>50</v>
      </c>
      <c r="K330" t="s">
        <v>51</v>
      </c>
      <c r="L330" t="s">
        <v>571</v>
      </c>
      <c r="M330" t="s">
        <v>29</v>
      </c>
      <c r="N330" t="s">
        <v>34</v>
      </c>
      <c r="O330" t="s">
        <v>572</v>
      </c>
      <c r="P330">
        <v>381.44</v>
      </c>
      <c r="Q330">
        <v>2</v>
      </c>
      <c r="R330">
        <v>23.84</v>
      </c>
      <c r="S330" t="s">
        <v>32</v>
      </c>
    </row>
    <row r="331" spans="1:19" x14ac:dyDescent="0.35">
      <c r="A331" t="s">
        <v>1362</v>
      </c>
      <c r="B331" s="1">
        <v>41988</v>
      </c>
      <c r="C331" s="1">
        <v>41991</v>
      </c>
      <c r="D331" t="s">
        <v>81</v>
      </c>
      <c r="E331" t="s">
        <v>1363</v>
      </c>
      <c r="F331" t="s">
        <v>1364</v>
      </c>
      <c r="G331" t="s">
        <v>23</v>
      </c>
      <c r="H331" t="s">
        <v>24</v>
      </c>
      <c r="I331" t="s">
        <v>1365</v>
      </c>
      <c r="J331" t="s">
        <v>86</v>
      </c>
      <c r="K331" t="s">
        <v>87</v>
      </c>
      <c r="L331" t="s">
        <v>807</v>
      </c>
      <c r="M331" t="s">
        <v>29</v>
      </c>
      <c r="N331" t="s">
        <v>34</v>
      </c>
      <c r="O331" t="s">
        <v>808</v>
      </c>
      <c r="P331">
        <v>763.28</v>
      </c>
      <c r="Q331">
        <v>5</v>
      </c>
      <c r="R331">
        <v>-21.808</v>
      </c>
      <c r="S331" t="s">
        <v>90</v>
      </c>
    </row>
    <row r="332" spans="1:19" x14ac:dyDescent="0.35">
      <c r="A332" t="s">
        <v>1366</v>
      </c>
      <c r="B332" s="1">
        <v>42225</v>
      </c>
      <c r="C332" s="1">
        <v>42228</v>
      </c>
      <c r="D332" t="s">
        <v>81</v>
      </c>
      <c r="E332" t="s">
        <v>704</v>
      </c>
      <c r="F332" t="s">
        <v>705</v>
      </c>
      <c r="G332" t="s">
        <v>23</v>
      </c>
      <c r="H332" t="s">
        <v>24</v>
      </c>
      <c r="I332" t="s">
        <v>165</v>
      </c>
      <c r="J332" t="s">
        <v>114</v>
      </c>
      <c r="K332" t="s">
        <v>63</v>
      </c>
      <c r="L332" t="s">
        <v>309</v>
      </c>
      <c r="M332" t="s">
        <v>29</v>
      </c>
      <c r="N332" t="s">
        <v>43</v>
      </c>
      <c r="O332" t="s">
        <v>310</v>
      </c>
      <c r="P332">
        <v>382.80599999999998</v>
      </c>
      <c r="Q332">
        <v>9</v>
      </c>
      <c r="R332">
        <v>-153.1224</v>
      </c>
      <c r="S332" t="s">
        <v>245</v>
      </c>
    </row>
    <row r="333" spans="1:19" x14ac:dyDescent="0.35">
      <c r="A333" t="s">
        <v>1366</v>
      </c>
      <c r="B333" s="1">
        <v>42225</v>
      </c>
      <c r="C333" s="1">
        <v>42228</v>
      </c>
      <c r="D333" t="s">
        <v>81</v>
      </c>
      <c r="E333" t="s">
        <v>704</v>
      </c>
      <c r="F333" t="s">
        <v>705</v>
      </c>
      <c r="G333" t="s">
        <v>23</v>
      </c>
      <c r="H333" t="s">
        <v>24</v>
      </c>
      <c r="I333" t="s">
        <v>165</v>
      </c>
      <c r="J333" t="s">
        <v>114</v>
      </c>
      <c r="K333" t="s">
        <v>63</v>
      </c>
      <c r="L333" t="s">
        <v>193</v>
      </c>
      <c r="M333" t="s">
        <v>29</v>
      </c>
      <c r="N333" t="s">
        <v>53</v>
      </c>
      <c r="O333" t="s">
        <v>194</v>
      </c>
      <c r="P333">
        <v>47.04</v>
      </c>
      <c r="Q333">
        <v>3</v>
      </c>
      <c r="R333">
        <v>18.345600000000001</v>
      </c>
      <c r="S333" t="s">
        <v>245</v>
      </c>
    </row>
    <row r="334" spans="1:19" x14ac:dyDescent="0.35">
      <c r="A334" t="s">
        <v>1366</v>
      </c>
      <c r="B334" s="1">
        <v>42225</v>
      </c>
      <c r="C334" s="1">
        <v>42228</v>
      </c>
      <c r="D334" t="s">
        <v>81</v>
      </c>
      <c r="E334" t="s">
        <v>704</v>
      </c>
      <c r="F334" t="s">
        <v>705</v>
      </c>
      <c r="G334" t="s">
        <v>23</v>
      </c>
      <c r="H334" t="s">
        <v>24</v>
      </c>
      <c r="I334" t="s">
        <v>165</v>
      </c>
      <c r="J334" t="s">
        <v>114</v>
      </c>
      <c r="K334" t="s">
        <v>63</v>
      </c>
      <c r="L334" t="s">
        <v>105</v>
      </c>
      <c r="M334" t="s">
        <v>29</v>
      </c>
      <c r="N334" t="s">
        <v>53</v>
      </c>
      <c r="O334" t="s">
        <v>106</v>
      </c>
      <c r="P334">
        <v>6.16</v>
      </c>
      <c r="Q334">
        <v>2</v>
      </c>
      <c r="R334">
        <v>2.9567999999999999</v>
      </c>
      <c r="S334" t="s">
        <v>245</v>
      </c>
    </row>
    <row r="335" spans="1:19" x14ac:dyDescent="0.35">
      <c r="A335" t="s">
        <v>1367</v>
      </c>
      <c r="B335" s="1">
        <v>42087</v>
      </c>
      <c r="C335" s="1">
        <v>42090</v>
      </c>
      <c r="D335" t="s">
        <v>81</v>
      </c>
      <c r="E335" t="s">
        <v>1368</v>
      </c>
      <c r="F335" t="s">
        <v>1369</v>
      </c>
      <c r="G335" t="s">
        <v>94</v>
      </c>
      <c r="H335" t="s">
        <v>24</v>
      </c>
      <c r="I335" t="s">
        <v>1370</v>
      </c>
      <c r="J335" t="s">
        <v>126</v>
      </c>
      <c r="K335" t="s">
        <v>87</v>
      </c>
      <c r="L335" t="s">
        <v>1371</v>
      </c>
      <c r="M335" t="s">
        <v>29</v>
      </c>
      <c r="N335" t="s">
        <v>30</v>
      </c>
      <c r="O335" t="s">
        <v>1372</v>
      </c>
      <c r="P335">
        <v>359.05799999999999</v>
      </c>
      <c r="Q335">
        <v>3</v>
      </c>
      <c r="R335">
        <v>-35.905799999999999</v>
      </c>
      <c r="S335" t="s">
        <v>187</v>
      </c>
    </row>
    <row r="336" spans="1:19" x14ac:dyDescent="0.35">
      <c r="A336" t="s">
        <v>1373</v>
      </c>
      <c r="B336" s="1">
        <v>42863</v>
      </c>
      <c r="C336" s="1">
        <v>42867</v>
      </c>
      <c r="D336" t="s">
        <v>37</v>
      </c>
      <c r="E336" t="s">
        <v>1374</v>
      </c>
      <c r="F336" t="s">
        <v>1375</v>
      </c>
      <c r="G336" t="s">
        <v>23</v>
      </c>
      <c r="H336" t="s">
        <v>24</v>
      </c>
      <c r="I336" t="s">
        <v>339</v>
      </c>
      <c r="J336" t="s">
        <v>223</v>
      </c>
      <c r="K336" t="s">
        <v>63</v>
      </c>
      <c r="L336" t="s">
        <v>1093</v>
      </c>
      <c r="M336" t="s">
        <v>29</v>
      </c>
      <c r="N336" t="s">
        <v>34</v>
      </c>
      <c r="O336" t="s">
        <v>1094</v>
      </c>
      <c r="P336">
        <v>47.991999999999997</v>
      </c>
      <c r="Q336">
        <v>2</v>
      </c>
      <c r="R336">
        <v>-2.0568</v>
      </c>
      <c r="S336" t="s">
        <v>153</v>
      </c>
    </row>
    <row r="337" spans="1:19" x14ac:dyDescent="0.35">
      <c r="A337" t="s">
        <v>1376</v>
      </c>
      <c r="B337" s="1">
        <v>43024</v>
      </c>
      <c r="C337" s="1">
        <v>43026</v>
      </c>
      <c r="D337" t="s">
        <v>81</v>
      </c>
      <c r="E337" t="s">
        <v>547</v>
      </c>
      <c r="F337" t="s">
        <v>548</v>
      </c>
      <c r="G337" t="s">
        <v>84</v>
      </c>
      <c r="H337" t="s">
        <v>24</v>
      </c>
      <c r="I337" t="s">
        <v>165</v>
      </c>
      <c r="J337" t="s">
        <v>114</v>
      </c>
      <c r="K337" t="s">
        <v>63</v>
      </c>
      <c r="L337" t="s">
        <v>557</v>
      </c>
      <c r="M337" t="s">
        <v>29</v>
      </c>
      <c r="N337" t="s">
        <v>53</v>
      </c>
      <c r="O337" t="s">
        <v>558</v>
      </c>
      <c r="P337">
        <v>547.29999999999995</v>
      </c>
      <c r="Q337">
        <v>13</v>
      </c>
      <c r="R337">
        <v>175.136</v>
      </c>
      <c r="S337" t="s">
        <v>45</v>
      </c>
    </row>
    <row r="338" spans="1:19" x14ac:dyDescent="0.35">
      <c r="A338" t="s">
        <v>1377</v>
      </c>
      <c r="B338" s="1">
        <v>43058</v>
      </c>
      <c r="C338" s="1">
        <v>43060</v>
      </c>
      <c r="D338" t="s">
        <v>20</v>
      </c>
      <c r="E338" t="s">
        <v>1378</v>
      </c>
      <c r="F338" t="s">
        <v>1379</v>
      </c>
      <c r="G338" t="s">
        <v>23</v>
      </c>
      <c r="H338" t="s">
        <v>24</v>
      </c>
      <c r="I338" t="s">
        <v>1380</v>
      </c>
      <c r="J338" t="s">
        <v>86</v>
      </c>
      <c r="K338" t="s">
        <v>87</v>
      </c>
      <c r="L338" t="s">
        <v>392</v>
      </c>
      <c r="M338" t="s">
        <v>29</v>
      </c>
      <c r="N338" t="s">
        <v>53</v>
      </c>
      <c r="O338" t="s">
        <v>393</v>
      </c>
      <c r="P338">
        <v>15.992000000000001</v>
      </c>
      <c r="Q338">
        <v>2</v>
      </c>
      <c r="R338">
        <v>-13.993</v>
      </c>
      <c r="S338" t="s">
        <v>32</v>
      </c>
    </row>
    <row r="339" spans="1:19" x14ac:dyDescent="0.35">
      <c r="A339" t="s">
        <v>1381</v>
      </c>
      <c r="B339" s="1">
        <v>42498</v>
      </c>
      <c r="C339" s="1">
        <v>42503</v>
      </c>
      <c r="D339" t="s">
        <v>20</v>
      </c>
      <c r="E339" t="s">
        <v>1071</v>
      </c>
      <c r="F339" t="s">
        <v>1072</v>
      </c>
      <c r="G339" t="s">
        <v>84</v>
      </c>
      <c r="H339" t="s">
        <v>24</v>
      </c>
      <c r="I339" t="s">
        <v>732</v>
      </c>
      <c r="J339" t="s">
        <v>192</v>
      </c>
      <c r="K339" t="s">
        <v>63</v>
      </c>
      <c r="L339" t="s">
        <v>1382</v>
      </c>
      <c r="M339" t="s">
        <v>29</v>
      </c>
      <c r="N339" t="s">
        <v>53</v>
      </c>
      <c r="O339" t="s">
        <v>1383</v>
      </c>
      <c r="P339">
        <v>211.96</v>
      </c>
      <c r="Q339">
        <v>2</v>
      </c>
      <c r="R339">
        <v>42.392000000000003</v>
      </c>
      <c r="S339" t="s">
        <v>153</v>
      </c>
    </row>
    <row r="340" spans="1:19" x14ac:dyDescent="0.35">
      <c r="A340" t="s">
        <v>1384</v>
      </c>
      <c r="B340" s="1">
        <v>41785</v>
      </c>
      <c r="C340" s="1">
        <v>41789</v>
      </c>
      <c r="D340" t="s">
        <v>37</v>
      </c>
      <c r="E340" t="s">
        <v>1385</v>
      </c>
      <c r="F340" t="s">
        <v>1386</v>
      </c>
      <c r="G340" t="s">
        <v>84</v>
      </c>
      <c r="H340" t="s">
        <v>24</v>
      </c>
      <c r="I340" t="s">
        <v>49</v>
      </c>
      <c r="J340" t="s">
        <v>50</v>
      </c>
      <c r="K340" t="s">
        <v>51</v>
      </c>
      <c r="L340" t="s">
        <v>1371</v>
      </c>
      <c r="M340" t="s">
        <v>29</v>
      </c>
      <c r="N340" t="s">
        <v>30</v>
      </c>
      <c r="O340" t="s">
        <v>1372</v>
      </c>
      <c r="P340">
        <v>290.666</v>
      </c>
      <c r="Q340">
        <v>2</v>
      </c>
      <c r="R340">
        <v>27.3568</v>
      </c>
      <c r="S340" t="s">
        <v>153</v>
      </c>
    </row>
    <row r="341" spans="1:19" x14ac:dyDescent="0.35">
      <c r="A341" t="s">
        <v>1387</v>
      </c>
      <c r="B341" s="1">
        <v>42924</v>
      </c>
      <c r="C341" s="1">
        <v>42931</v>
      </c>
      <c r="D341" t="s">
        <v>37</v>
      </c>
      <c r="E341" t="s">
        <v>1388</v>
      </c>
      <c r="F341" t="s">
        <v>1389</v>
      </c>
      <c r="G341" t="s">
        <v>23</v>
      </c>
      <c r="H341" t="s">
        <v>24</v>
      </c>
      <c r="I341" t="s">
        <v>1390</v>
      </c>
      <c r="J341" t="s">
        <v>184</v>
      </c>
      <c r="K341" t="s">
        <v>51</v>
      </c>
      <c r="L341" t="s">
        <v>1391</v>
      </c>
      <c r="M341" t="s">
        <v>29</v>
      </c>
      <c r="N341" t="s">
        <v>53</v>
      </c>
      <c r="O341" t="s">
        <v>1392</v>
      </c>
      <c r="P341">
        <v>198.46</v>
      </c>
      <c r="Q341">
        <v>2</v>
      </c>
      <c r="R341">
        <v>99.23</v>
      </c>
      <c r="S341" t="s">
        <v>66</v>
      </c>
    </row>
    <row r="342" spans="1:19" x14ac:dyDescent="0.35">
      <c r="A342" t="s">
        <v>1393</v>
      </c>
      <c r="B342" s="1">
        <v>42271</v>
      </c>
      <c r="C342" s="1">
        <v>42277</v>
      </c>
      <c r="D342" t="s">
        <v>37</v>
      </c>
      <c r="E342" t="s">
        <v>1394</v>
      </c>
      <c r="F342" t="s">
        <v>1395</v>
      </c>
      <c r="G342" t="s">
        <v>23</v>
      </c>
      <c r="H342" t="s">
        <v>24</v>
      </c>
      <c r="I342" t="s">
        <v>1396</v>
      </c>
      <c r="J342" t="s">
        <v>1397</v>
      </c>
      <c r="K342" t="s">
        <v>27</v>
      </c>
      <c r="L342" t="s">
        <v>1081</v>
      </c>
      <c r="M342" t="s">
        <v>29</v>
      </c>
      <c r="N342" t="s">
        <v>34</v>
      </c>
      <c r="O342" t="s">
        <v>1082</v>
      </c>
      <c r="P342">
        <v>517.5</v>
      </c>
      <c r="Q342">
        <v>6</v>
      </c>
      <c r="R342">
        <v>155.25</v>
      </c>
      <c r="S342" t="s">
        <v>72</v>
      </c>
    </row>
    <row r="343" spans="1:19" x14ac:dyDescent="0.35">
      <c r="A343" t="s">
        <v>1398</v>
      </c>
      <c r="B343" s="1">
        <v>42907</v>
      </c>
      <c r="C343" s="1">
        <v>42911</v>
      </c>
      <c r="D343" t="s">
        <v>20</v>
      </c>
      <c r="E343" t="s">
        <v>634</v>
      </c>
      <c r="F343" t="s">
        <v>635</v>
      </c>
      <c r="G343" t="s">
        <v>23</v>
      </c>
      <c r="H343" t="s">
        <v>24</v>
      </c>
      <c r="I343" t="s">
        <v>684</v>
      </c>
      <c r="J343" t="s">
        <v>223</v>
      </c>
      <c r="K343" t="s">
        <v>63</v>
      </c>
      <c r="L343" t="s">
        <v>1399</v>
      </c>
      <c r="M343" t="s">
        <v>29</v>
      </c>
      <c r="N343" t="s">
        <v>53</v>
      </c>
      <c r="O343" t="s">
        <v>1400</v>
      </c>
      <c r="P343">
        <v>17.920000000000002</v>
      </c>
      <c r="Q343">
        <v>5</v>
      </c>
      <c r="R343">
        <v>2.464</v>
      </c>
      <c r="S343" t="s">
        <v>55</v>
      </c>
    </row>
    <row r="344" spans="1:19" x14ac:dyDescent="0.35">
      <c r="A344" t="s">
        <v>1401</v>
      </c>
      <c r="B344" s="1">
        <v>42516</v>
      </c>
      <c r="C344" s="1">
        <v>42522</v>
      </c>
      <c r="D344" t="s">
        <v>37</v>
      </c>
      <c r="E344" t="s">
        <v>1402</v>
      </c>
      <c r="F344" t="s">
        <v>1403</v>
      </c>
      <c r="G344" t="s">
        <v>23</v>
      </c>
      <c r="H344" t="s">
        <v>24</v>
      </c>
      <c r="I344" t="s">
        <v>184</v>
      </c>
      <c r="J344" t="s">
        <v>971</v>
      </c>
      <c r="K344" t="s">
        <v>63</v>
      </c>
      <c r="L344" t="s">
        <v>166</v>
      </c>
      <c r="M344" t="s">
        <v>29</v>
      </c>
      <c r="N344" t="s">
        <v>53</v>
      </c>
      <c r="O344" t="s">
        <v>167</v>
      </c>
      <c r="P344">
        <v>41.37</v>
      </c>
      <c r="Q344">
        <v>3</v>
      </c>
      <c r="R344">
        <v>17.375399999999999</v>
      </c>
      <c r="S344" t="s">
        <v>153</v>
      </c>
    </row>
    <row r="345" spans="1:19" x14ac:dyDescent="0.35">
      <c r="A345" t="s">
        <v>1404</v>
      </c>
      <c r="B345" s="1">
        <v>41771</v>
      </c>
      <c r="C345" s="1">
        <v>41774</v>
      </c>
      <c r="D345" t="s">
        <v>81</v>
      </c>
      <c r="E345" t="s">
        <v>1046</v>
      </c>
      <c r="F345" t="s">
        <v>1047</v>
      </c>
      <c r="G345" t="s">
        <v>23</v>
      </c>
      <c r="H345" t="s">
        <v>24</v>
      </c>
      <c r="I345" t="s">
        <v>896</v>
      </c>
      <c r="J345" t="s">
        <v>230</v>
      </c>
      <c r="K345" t="s">
        <v>87</v>
      </c>
      <c r="L345" t="s">
        <v>641</v>
      </c>
      <c r="M345" t="s">
        <v>29</v>
      </c>
      <c r="N345" t="s">
        <v>53</v>
      </c>
      <c r="O345" t="s">
        <v>642</v>
      </c>
      <c r="P345">
        <v>34.79</v>
      </c>
      <c r="Q345">
        <v>7</v>
      </c>
      <c r="R345">
        <v>10.7849</v>
      </c>
      <c r="S345" t="s">
        <v>153</v>
      </c>
    </row>
    <row r="346" spans="1:19" x14ac:dyDescent="0.35">
      <c r="A346" t="s">
        <v>1405</v>
      </c>
      <c r="B346" s="1">
        <v>42014</v>
      </c>
      <c r="C346" s="1">
        <v>42019</v>
      </c>
      <c r="D346" t="s">
        <v>37</v>
      </c>
      <c r="E346" t="s">
        <v>1406</v>
      </c>
      <c r="F346" t="s">
        <v>1407</v>
      </c>
      <c r="G346" t="s">
        <v>23</v>
      </c>
      <c r="H346" t="s">
        <v>24</v>
      </c>
      <c r="I346" t="s">
        <v>165</v>
      </c>
      <c r="J346" t="s">
        <v>114</v>
      </c>
      <c r="K346" t="s">
        <v>63</v>
      </c>
      <c r="L346" t="s">
        <v>512</v>
      </c>
      <c r="M346" t="s">
        <v>29</v>
      </c>
      <c r="N346" t="s">
        <v>43</v>
      </c>
      <c r="O346" t="s">
        <v>513</v>
      </c>
      <c r="P346">
        <v>1018.104</v>
      </c>
      <c r="Q346">
        <v>4</v>
      </c>
      <c r="R346">
        <v>-373.3048</v>
      </c>
      <c r="S346" t="s">
        <v>161</v>
      </c>
    </row>
    <row r="347" spans="1:19" x14ac:dyDescent="0.35">
      <c r="A347" t="s">
        <v>1408</v>
      </c>
      <c r="B347" s="1">
        <v>42264</v>
      </c>
      <c r="C347" s="1">
        <v>42268</v>
      </c>
      <c r="D347" t="s">
        <v>37</v>
      </c>
      <c r="E347" t="s">
        <v>644</v>
      </c>
      <c r="F347" t="s">
        <v>645</v>
      </c>
      <c r="G347" t="s">
        <v>84</v>
      </c>
      <c r="H347" t="s">
        <v>24</v>
      </c>
      <c r="I347" t="s">
        <v>95</v>
      </c>
      <c r="J347" t="s">
        <v>86</v>
      </c>
      <c r="K347" t="s">
        <v>87</v>
      </c>
      <c r="L347" t="s">
        <v>1140</v>
      </c>
      <c r="M347" t="s">
        <v>29</v>
      </c>
      <c r="N347" t="s">
        <v>53</v>
      </c>
      <c r="O347" t="s">
        <v>1141</v>
      </c>
      <c r="P347">
        <v>21.936</v>
      </c>
      <c r="Q347">
        <v>2</v>
      </c>
      <c r="R347">
        <v>-10.419600000000001</v>
      </c>
      <c r="S347" t="s">
        <v>72</v>
      </c>
    </row>
    <row r="348" spans="1:19" x14ac:dyDescent="0.35">
      <c r="A348" t="s">
        <v>1409</v>
      </c>
      <c r="B348" s="1">
        <v>41889</v>
      </c>
      <c r="C348" s="1">
        <v>41895</v>
      </c>
      <c r="D348" t="s">
        <v>37</v>
      </c>
      <c r="E348" t="s">
        <v>1410</v>
      </c>
      <c r="F348" t="s">
        <v>1411</v>
      </c>
      <c r="G348" t="s">
        <v>84</v>
      </c>
      <c r="H348" t="s">
        <v>24</v>
      </c>
      <c r="I348" t="s">
        <v>61</v>
      </c>
      <c r="J348" t="s">
        <v>62</v>
      </c>
      <c r="K348" t="s">
        <v>63</v>
      </c>
      <c r="L348" t="s">
        <v>1412</v>
      </c>
      <c r="M348" t="s">
        <v>29</v>
      </c>
      <c r="N348" t="s">
        <v>53</v>
      </c>
      <c r="O348" t="s">
        <v>1413</v>
      </c>
      <c r="P348">
        <v>42.368000000000002</v>
      </c>
      <c r="Q348">
        <v>2</v>
      </c>
      <c r="R348">
        <v>8.4735999999999994</v>
      </c>
      <c r="S348" t="s">
        <v>72</v>
      </c>
    </row>
    <row r="349" spans="1:19" x14ac:dyDescent="0.35">
      <c r="A349" t="s">
        <v>1414</v>
      </c>
      <c r="B349" s="1">
        <v>42681</v>
      </c>
      <c r="C349" s="1">
        <v>42686</v>
      </c>
      <c r="D349" t="s">
        <v>37</v>
      </c>
      <c r="E349" t="s">
        <v>1059</v>
      </c>
      <c r="F349" t="s">
        <v>1060</v>
      </c>
      <c r="G349" t="s">
        <v>84</v>
      </c>
      <c r="H349" t="s">
        <v>24</v>
      </c>
      <c r="I349" t="s">
        <v>320</v>
      </c>
      <c r="J349" t="s">
        <v>50</v>
      </c>
      <c r="K349" t="s">
        <v>51</v>
      </c>
      <c r="L349" t="s">
        <v>793</v>
      </c>
      <c r="M349" t="s">
        <v>29</v>
      </c>
      <c r="N349" t="s">
        <v>53</v>
      </c>
      <c r="O349" t="s">
        <v>794</v>
      </c>
      <c r="P349">
        <v>14.82</v>
      </c>
      <c r="Q349">
        <v>3</v>
      </c>
      <c r="R349">
        <v>6.2244000000000002</v>
      </c>
      <c r="S349" t="s">
        <v>32</v>
      </c>
    </row>
    <row r="350" spans="1:19" x14ac:dyDescent="0.35">
      <c r="A350" t="s">
        <v>1415</v>
      </c>
      <c r="B350" s="1">
        <v>43079</v>
      </c>
      <c r="C350" s="1">
        <v>43081</v>
      </c>
      <c r="D350" t="s">
        <v>81</v>
      </c>
      <c r="E350" t="s">
        <v>1416</v>
      </c>
      <c r="F350" t="s">
        <v>1417</v>
      </c>
      <c r="G350" t="s">
        <v>23</v>
      </c>
      <c r="H350" t="s">
        <v>24</v>
      </c>
      <c r="I350" t="s">
        <v>61</v>
      </c>
      <c r="J350" t="s">
        <v>62</v>
      </c>
      <c r="K350" t="s">
        <v>63</v>
      </c>
      <c r="L350" t="s">
        <v>781</v>
      </c>
      <c r="M350" t="s">
        <v>29</v>
      </c>
      <c r="N350" t="s">
        <v>53</v>
      </c>
      <c r="O350" t="s">
        <v>782</v>
      </c>
      <c r="P350">
        <v>310.88</v>
      </c>
      <c r="Q350">
        <v>2</v>
      </c>
      <c r="R350">
        <v>23.315999999999999</v>
      </c>
      <c r="S350" t="s">
        <v>90</v>
      </c>
    </row>
    <row r="351" spans="1:19" x14ac:dyDescent="0.35">
      <c r="A351" t="s">
        <v>1418</v>
      </c>
      <c r="B351" s="1">
        <v>41867</v>
      </c>
      <c r="C351" s="1">
        <v>41871</v>
      </c>
      <c r="D351" t="s">
        <v>37</v>
      </c>
      <c r="E351" t="s">
        <v>1419</v>
      </c>
      <c r="F351" t="s">
        <v>1420</v>
      </c>
      <c r="G351" t="s">
        <v>23</v>
      </c>
      <c r="H351" t="s">
        <v>24</v>
      </c>
      <c r="I351" t="s">
        <v>61</v>
      </c>
      <c r="J351" t="s">
        <v>62</v>
      </c>
      <c r="K351" t="s">
        <v>63</v>
      </c>
      <c r="L351" t="s">
        <v>56</v>
      </c>
      <c r="M351" t="s">
        <v>29</v>
      </c>
      <c r="N351" t="s">
        <v>43</v>
      </c>
      <c r="O351" t="s">
        <v>57</v>
      </c>
      <c r="P351">
        <v>853.09199999999998</v>
      </c>
      <c r="Q351">
        <v>6</v>
      </c>
      <c r="R351">
        <v>-227.49119999999999</v>
      </c>
      <c r="S351" t="s">
        <v>245</v>
      </c>
    </row>
    <row r="352" spans="1:19" x14ac:dyDescent="0.35">
      <c r="A352" t="s">
        <v>1421</v>
      </c>
      <c r="B352" s="1">
        <v>42443</v>
      </c>
      <c r="C352" s="1">
        <v>42448</v>
      </c>
      <c r="D352" t="s">
        <v>37</v>
      </c>
      <c r="E352" t="s">
        <v>1422</v>
      </c>
      <c r="F352" t="s">
        <v>1423</v>
      </c>
      <c r="G352" t="s">
        <v>23</v>
      </c>
      <c r="H352" t="s">
        <v>24</v>
      </c>
      <c r="I352" t="s">
        <v>339</v>
      </c>
      <c r="J352" t="s">
        <v>223</v>
      </c>
      <c r="K352" t="s">
        <v>63</v>
      </c>
      <c r="L352" t="s">
        <v>611</v>
      </c>
      <c r="M352" t="s">
        <v>29</v>
      </c>
      <c r="N352" t="s">
        <v>53</v>
      </c>
      <c r="O352" t="s">
        <v>612</v>
      </c>
      <c r="P352">
        <v>21.88</v>
      </c>
      <c r="Q352">
        <v>5</v>
      </c>
      <c r="R352">
        <v>6.2904999999999998</v>
      </c>
      <c r="S352" t="s">
        <v>187</v>
      </c>
    </row>
    <row r="353" spans="1:19" x14ac:dyDescent="0.35">
      <c r="A353" t="s">
        <v>1424</v>
      </c>
      <c r="B353" s="1">
        <v>41793</v>
      </c>
      <c r="C353" s="1">
        <v>41797</v>
      </c>
      <c r="D353" t="s">
        <v>20</v>
      </c>
      <c r="E353" t="s">
        <v>189</v>
      </c>
      <c r="F353" t="s">
        <v>190</v>
      </c>
      <c r="G353" t="s">
        <v>23</v>
      </c>
      <c r="H353" t="s">
        <v>24</v>
      </c>
      <c r="I353" t="s">
        <v>183</v>
      </c>
      <c r="J353" t="s">
        <v>184</v>
      </c>
      <c r="K353" t="s">
        <v>51</v>
      </c>
      <c r="L353" t="s">
        <v>1053</v>
      </c>
      <c r="M353" t="s">
        <v>29</v>
      </c>
      <c r="N353" t="s">
        <v>43</v>
      </c>
      <c r="O353" t="s">
        <v>1054</v>
      </c>
      <c r="P353">
        <v>515.88</v>
      </c>
      <c r="Q353">
        <v>6</v>
      </c>
      <c r="R353">
        <v>113.4936</v>
      </c>
      <c r="S353" t="s">
        <v>55</v>
      </c>
    </row>
    <row r="354" spans="1:19" x14ac:dyDescent="0.35">
      <c r="A354" t="s">
        <v>1425</v>
      </c>
      <c r="B354" s="1">
        <v>42198</v>
      </c>
      <c r="C354" s="1">
        <v>42200</v>
      </c>
      <c r="D354" t="s">
        <v>20</v>
      </c>
      <c r="E354" t="s">
        <v>1426</v>
      </c>
      <c r="F354" t="s">
        <v>1427</v>
      </c>
      <c r="G354" t="s">
        <v>23</v>
      </c>
      <c r="H354" t="s">
        <v>24</v>
      </c>
      <c r="I354" t="s">
        <v>165</v>
      </c>
      <c r="J354" t="s">
        <v>114</v>
      </c>
      <c r="K354" t="s">
        <v>63</v>
      </c>
      <c r="L354" t="s">
        <v>571</v>
      </c>
      <c r="M354" t="s">
        <v>29</v>
      </c>
      <c r="N354" t="s">
        <v>34</v>
      </c>
      <c r="O354" t="s">
        <v>572</v>
      </c>
      <c r="P354">
        <v>1931.04</v>
      </c>
      <c r="Q354">
        <v>9</v>
      </c>
      <c r="R354">
        <v>321.83999999999997</v>
      </c>
      <c r="S354" t="s">
        <v>66</v>
      </c>
    </row>
    <row r="355" spans="1:19" x14ac:dyDescent="0.35">
      <c r="A355" t="s">
        <v>1428</v>
      </c>
      <c r="B355" s="1">
        <v>43038</v>
      </c>
      <c r="C355" s="1">
        <v>43044</v>
      </c>
      <c r="D355" t="s">
        <v>37</v>
      </c>
      <c r="E355" t="s">
        <v>1429</v>
      </c>
      <c r="F355" t="s">
        <v>1430</v>
      </c>
      <c r="G355" t="s">
        <v>23</v>
      </c>
      <c r="H355" t="s">
        <v>24</v>
      </c>
      <c r="I355" t="s">
        <v>320</v>
      </c>
      <c r="J355" t="s">
        <v>50</v>
      </c>
      <c r="K355" t="s">
        <v>51</v>
      </c>
      <c r="L355" t="s">
        <v>108</v>
      </c>
      <c r="M355" t="s">
        <v>29</v>
      </c>
      <c r="N355" t="s">
        <v>34</v>
      </c>
      <c r="O355" t="s">
        <v>109</v>
      </c>
      <c r="P355">
        <v>71.992000000000004</v>
      </c>
      <c r="Q355">
        <v>1</v>
      </c>
      <c r="R355">
        <v>-0.89990000000000003</v>
      </c>
      <c r="S355" t="s">
        <v>45</v>
      </c>
    </row>
    <row r="356" spans="1:19" x14ac:dyDescent="0.35">
      <c r="A356" t="s">
        <v>1431</v>
      </c>
      <c r="B356" s="1">
        <v>42986</v>
      </c>
      <c r="C356" s="1">
        <v>42991</v>
      </c>
      <c r="D356" t="s">
        <v>20</v>
      </c>
      <c r="E356" t="s">
        <v>1432</v>
      </c>
      <c r="F356" t="s">
        <v>1433</v>
      </c>
      <c r="G356" t="s">
        <v>23</v>
      </c>
      <c r="H356" t="s">
        <v>24</v>
      </c>
      <c r="I356" t="s">
        <v>125</v>
      </c>
      <c r="J356" t="s">
        <v>126</v>
      </c>
      <c r="K356" t="s">
        <v>87</v>
      </c>
      <c r="L356" t="s">
        <v>258</v>
      </c>
      <c r="M356" t="s">
        <v>29</v>
      </c>
      <c r="N356" t="s">
        <v>43</v>
      </c>
      <c r="O356" t="s">
        <v>259</v>
      </c>
      <c r="P356">
        <v>765.625</v>
      </c>
      <c r="Q356">
        <v>7</v>
      </c>
      <c r="R356">
        <v>-566.5625</v>
      </c>
      <c r="S356" t="s">
        <v>72</v>
      </c>
    </row>
    <row r="357" spans="1:19" x14ac:dyDescent="0.35">
      <c r="A357" t="s">
        <v>1434</v>
      </c>
      <c r="B357" s="1">
        <v>43015</v>
      </c>
      <c r="C357" s="1">
        <v>43021</v>
      </c>
      <c r="D357" t="s">
        <v>37</v>
      </c>
      <c r="E357" t="s">
        <v>1435</v>
      </c>
      <c r="F357" t="s">
        <v>1436</v>
      </c>
      <c r="G357" t="s">
        <v>23</v>
      </c>
      <c r="H357" t="s">
        <v>24</v>
      </c>
      <c r="I357" t="s">
        <v>320</v>
      </c>
      <c r="J357" t="s">
        <v>50</v>
      </c>
      <c r="K357" t="s">
        <v>51</v>
      </c>
      <c r="L357" t="s">
        <v>1437</v>
      </c>
      <c r="M357" t="s">
        <v>29</v>
      </c>
      <c r="N357" t="s">
        <v>30</v>
      </c>
      <c r="O357" t="s">
        <v>1438</v>
      </c>
      <c r="P357">
        <v>307.666</v>
      </c>
      <c r="Q357">
        <v>2</v>
      </c>
      <c r="R357">
        <v>-14.478400000000001</v>
      </c>
      <c r="S357" t="s">
        <v>45</v>
      </c>
    </row>
    <row r="358" spans="1:19" x14ac:dyDescent="0.35">
      <c r="A358" t="s">
        <v>1439</v>
      </c>
      <c r="B358" s="1">
        <v>42509</v>
      </c>
      <c r="C358" s="1">
        <v>42514</v>
      </c>
      <c r="D358" t="s">
        <v>37</v>
      </c>
      <c r="E358" t="s">
        <v>1440</v>
      </c>
      <c r="F358" t="s">
        <v>1441</v>
      </c>
      <c r="G358" t="s">
        <v>23</v>
      </c>
      <c r="H358" t="s">
        <v>24</v>
      </c>
      <c r="I358" t="s">
        <v>165</v>
      </c>
      <c r="J358" t="s">
        <v>114</v>
      </c>
      <c r="K358" t="s">
        <v>63</v>
      </c>
      <c r="L358" t="s">
        <v>1442</v>
      </c>
      <c r="M358" t="s">
        <v>29</v>
      </c>
      <c r="N358" t="s">
        <v>53</v>
      </c>
      <c r="O358" t="s">
        <v>1443</v>
      </c>
      <c r="P358">
        <v>35.92</v>
      </c>
      <c r="Q358">
        <v>4</v>
      </c>
      <c r="R358">
        <v>15.086399999999999</v>
      </c>
      <c r="S358" t="s">
        <v>153</v>
      </c>
    </row>
    <row r="359" spans="1:19" x14ac:dyDescent="0.35">
      <c r="A359" t="s">
        <v>1439</v>
      </c>
      <c r="B359" s="1">
        <v>42509</v>
      </c>
      <c r="C359" s="1">
        <v>42514</v>
      </c>
      <c r="D359" t="s">
        <v>37</v>
      </c>
      <c r="E359" t="s">
        <v>1440</v>
      </c>
      <c r="F359" t="s">
        <v>1441</v>
      </c>
      <c r="G359" t="s">
        <v>23</v>
      </c>
      <c r="H359" t="s">
        <v>24</v>
      </c>
      <c r="I359" t="s">
        <v>165</v>
      </c>
      <c r="J359" t="s">
        <v>114</v>
      </c>
      <c r="K359" t="s">
        <v>63</v>
      </c>
      <c r="L359" t="s">
        <v>641</v>
      </c>
      <c r="M359" t="s">
        <v>29</v>
      </c>
      <c r="N359" t="s">
        <v>53</v>
      </c>
      <c r="O359" t="s">
        <v>642</v>
      </c>
      <c r="P359">
        <v>39.76</v>
      </c>
      <c r="Q359">
        <v>8</v>
      </c>
      <c r="R359">
        <v>12.3256</v>
      </c>
      <c r="S359" t="s">
        <v>153</v>
      </c>
    </row>
    <row r="360" spans="1:19" x14ac:dyDescent="0.35">
      <c r="A360" t="s">
        <v>1444</v>
      </c>
      <c r="B360" s="1">
        <v>42358</v>
      </c>
      <c r="C360" s="1">
        <v>42363</v>
      </c>
      <c r="D360" t="s">
        <v>37</v>
      </c>
      <c r="E360" t="s">
        <v>1445</v>
      </c>
      <c r="F360" t="s">
        <v>1446</v>
      </c>
      <c r="G360" t="s">
        <v>23</v>
      </c>
      <c r="H360" t="s">
        <v>24</v>
      </c>
      <c r="I360" t="s">
        <v>125</v>
      </c>
      <c r="J360" t="s">
        <v>126</v>
      </c>
      <c r="K360" t="s">
        <v>87</v>
      </c>
      <c r="L360" t="s">
        <v>1447</v>
      </c>
      <c r="M360" t="s">
        <v>29</v>
      </c>
      <c r="N360" t="s">
        <v>30</v>
      </c>
      <c r="O360" t="s">
        <v>1448</v>
      </c>
      <c r="P360">
        <v>359.05799999999999</v>
      </c>
      <c r="Q360">
        <v>3</v>
      </c>
      <c r="R360">
        <v>-71.811599999999999</v>
      </c>
      <c r="S360" t="s">
        <v>90</v>
      </c>
    </row>
    <row r="361" spans="1:19" x14ac:dyDescent="0.35">
      <c r="A361" t="s">
        <v>1449</v>
      </c>
      <c r="B361" s="1">
        <v>42854</v>
      </c>
      <c r="C361" s="1">
        <v>42859</v>
      </c>
      <c r="D361" t="s">
        <v>20</v>
      </c>
      <c r="E361" t="s">
        <v>1450</v>
      </c>
      <c r="F361" t="s">
        <v>1451</v>
      </c>
      <c r="G361" t="s">
        <v>84</v>
      </c>
      <c r="H361" t="s">
        <v>24</v>
      </c>
      <c r="I361" t="s">
        <v>274</v>
      </c>
      <c r="J361" t="s">
        <v>223</v>
      </c>
      <c r="K361" t="s">
        <v>63</v>
      </c>
      <c r="L361" t="s">
        <v>1452</v>
      </c>
      <c r="M361" t="s">
        <v>29</v>
      </c>
      <c r="N361" t="s">
        <v>43</v>
      </c>
      <c r="O361" t="s">
        <v>1453</v>
      </c>
      <c r="P361">
        <v>1048.3499999999999</v>
      </c>
      <c r="Q361">
        <v>5</v>
      </c>
      <c r="R361">
        <v>-69.89</v>
      </c>
      <c r="S361" t="s">
        <v>107</v>
      </c>
    </row>
    <row r="362" spans="1:19" x14ac:dyDescent="0.35">
      <c r="A362" t="s">
        <v>1454</v>
      </c>
      <c r="B362" s="1">
        <v>43038</v>
      </c>
      <c r="C362" s="1">
        <v>43042</v>
      </c>
      <c r="D362" t="s">
        <v>37</v>
      </c>
      <c r="E362" t="s">
        <v>1363</v>
      </c>
      <c r="F362" t="s">
        <v>1364</v>
      </c>
      <c r="G362" t="s">
        <v>23</v>
      </c>
      <c r="H362" t="s">
        <v>24</v>
      </c>
      <c r="I362" t="s">
        <v>61</v>
      </c>
      <c r="J362" t="s">
        <v>62</v>
      </c>
      <c r="K362" t="s">
        <v>63</v>
      </c>
      <c r="L362" t="s">
        <v>1399</v>
      </c>
      <c r="M362" t="s">
        <v>29</v>
      </c>
      <c r="N362" t="s">
        <v>53</v>
      </c>
      <c r="O362" t="s">
        <v>1400</v>
      </c>
      <c r="P362">
        <v>7.1680000000000001</v>
      </c>
      <c r="Q362">
        <v>2</v>
      </c>
      <c r="R362">
        <v>0.98560000000000003</v>
      </c>
      <c r="S362" t="s">
        <v>45</v>
      </c>
    </row>
    <row r="363" spans="1:19" x14ac:dyDescent="0.35">
      <c r="A363" t="s">
        <v>1455</v>
      </c>
      <c r="B363" s="1">
        <v>42330</v>
      </c>
      <c r="C363" s="1">
        <v>42335</v>
      </c>
      <c r="D363" t="s">
        <v>37</v>
      </c>
      <c r="E363" t="s">
        <v>650</v>
      </c>
      <c r="F363" t="s">
        <v>651</v>
      </c>
      <c r="G363" t="s">
        <v>94</v>
      </c>
      <c r="H363" t="s">
        <v>24</v>
      </c>
      <c r="I363" t="s">
        <v>237</v>
      </c>
      <c r="J363" t="s">
        <v>86</v>
      </c>
      <c r="K363" t="s">
        <v>87</v>
      </c>
      <c r="L363" t="s">
        <v>1456</v>
      </c>
      <c r="M363" t="s">
        <v>29</v>
      </c>
      <c r="N363" t="s">
        <v>43</v>
      </c>
      <c r="O363" t="s">
        <v>1457</v>
      </c>
      <c r="P363">
        <v>206.96199999999999</v>
      </c>
      <c r="Q363">
        <v>2</v>
      </c>
      <c r="R363">
        <v>-32.522599999999997</v>
      </c>
      <c r="S363" t="s">
        <v>32</v>
      </c>
    </row>
    <row r="364" spans="1:19" x14ac:dyDescent="0.35">
      <c r="A364" t="s">
        <v>1458</v>
      </c>
      <c r="B364" s="1">
        <v>43022</v>
      </c>
      <c r="C364" s="1">
        <v>43025</v>
      </c>
      <c r="D364" t="s">
        <v>81</v>
      </c>
      <c r="E364" t="s">
        <v>1459</v>
      </c>
      <c r="F364" t="s">
        <v>1460</v>
      </c>
      <c r="G364" t="s">
        <v>23</v>
      </c>
      <c r="H364" t="s">
        <v>24</v>
      </c>
      <c r="I364" t="s">
        <v>1461</v>
      </c>
      <c r="J364" t="s">
        <v>50</v>
      </c>
      <c r="K364" t="s">
        <v>51</v>
      </c>
      <c r="L364" t="s">
        <v>371</v>
      </c>
      <c r="M364" t="s">
        <v>29</v>
      </c>
      <c r="N364" t="s">
        <v>53</v>
      </c>
      <c r="O364" t="s">
        <v>372</v>
      </c>
      <c r="P364">
        <v>9.4600000000000009</v>
      </c>
      <c r="Q364">
        <v>2</v>
      </c>
      <c r="R364">
        <v>3.6894</v>
      </c>
      <c r="S364" t="s">
        <v>45</v>
      </c>
    </row>
    <row r="365" spans="1:19" x14ac:dyDescent="0.35">
      <c r="A365" t="s">
        <v>1462</v>
      </c>
      <c r="B365" s="1">
        <v>42252</v>
      </c>
      <c r="C365" s="1">
        <v>42256</v>
      </c>
      <c r="D365" t="s">
        <v>37</v>
      </c>
      <c r="E365" t="s">
        <v>1463</v>
      </c>
      <c r="F365" t="s">
        <v>1464</v>
      </c>
      <c r="G365" t="s">
        <v>23</v>
      </c>
      <c r="H365" t="s">
        <v>24</v>
      </c>
      <c r="I365" t="s">
        <v>630</v>
      </c>
      <c r="J365" t="s">
        <v>50</v>
      </c>
      <c r="K365" t="s">
        <v>51</v>
      </c>
      <c r="L365" t="s">
        <v>1465</v>
      </c>
      <c r="M365" t="s">
        <v>29</v>
      </c>
      <c r="N365" t="s">
        <v>30</v>
      </c>
      <c r="O365" t="s">
        <v>1466</v>
      </c>
      <c r="P365">
        <v>411.33199999999999</v>
      </c>
      <c r="Q365">
        <v>4</v>
      </c>
      <c r="R365">
        <v>-4.8391999999999999</v>
      </c>
      <c r="S365" t="s">
        <v>72</v>
      </c>
    </row>
    <row r="366" spans="1:19" x14ac:dyDescent="0.35">
      <c r="A366" t="s">
        <v>1462</v>
      </c>
      <c r="B366" s="1">
        <v>42252</v>
      </c>
      <c r="C366" s="1">
        <v>42256</v>
      </c>
      <c r="D366" t="s">
        <v>37</v>
      </c>
      <c r="E366" t="s">
        <v>1463</v>
      </c>
      <c r="F366" t="s">
        <v>1464</v>
      </c>
      <c r="G366" t="s">
        <v>23</v>
      </c>
      <c r="H366" t="s">
        <v>24</v>
      </c>
      <c r="I366" t="s">
        <v>630</v>
      </c>
      <c r="J366" t="s">
        <v>50</v>
      </c>
      <c r="K366" t="s">
        <v>51</v>
      </c>
      <c r="L366" t="s">
        <v>1467</v>
      </c>
      <c r="M366" t="s">
        <v>29</v>
      </c>
      <c r="N366" t="s">
        <v>30</v>
      </c>
      <c r="O366" t="s">
        <v>1468</v>
      </c>
      <c r="P366">
        <v>293.19900000000001</v>
      </c>
      <c r="Q366">
        <v>3</v>
      </c>
      <c r="R366">
        <v>-20.696400000000001</v>
      </c>
      <c r="S366" t="s">
        <v>72</v>
      </c>
    </row>
    <row r="367" spans="1:19" x14ac:dyDescent="0.35">
      <c r="A367" t="s">
        <v>1469</v>
      </c>
      <c r="B367" s="1">
        <v>42586</v>
      </c>
      <c r="C367" s="1">
        <v>42590</v>
      </c>
      <c r="D367" t="s">
        <v>37</v>
      </c>
      <c r="E367" t="s">
        <v>1470</v>
      </c>
      <c r="F367" t="s">
        <v>1471</v>
      </c>
      <c r="G367" t="s">
        <v>94</v>
      </c>
      <c r="H367" t="s">
        <v>24</v>
      </c>
      <c r="I367" t="s">
        <v>1472</v>
      </c>
      <c r="J367" t="s">
        <v>707</v>
      </c>
      <c r="K367" t="s">
        <v>27</v>
      </c>
      <c r="L367" t="s">
        <v>1473</v>
      </c>
      <c r="M367" t="s">
        <v>29</v>
      </c>
      <c r="N367" t="s">
        <v>53</v>
      </c>
      <c r="O367" t="s">
        <v>1474</v>
      </c>
      <c r="P367">
        <v>109.8</v>
      </c>
      <c r="Q367">
        <v>9</v>
      </c>
      <c r="R367">
        <v>46.116</v>
      </c>
      <c r="S367" t="s">
        <v>245</v>
      </c>
    </row>
    <row r="368" spans="1:19" x14ac:dyDescent="0.35">
      <c r="A368" t="s">
        <v>1475</v>
      </c>
      <c r="B368" s="1">
        <v>41974</v>
      </c>
      <c r="C368" s="1">
        <v>41976</v>
      </c>
      <c r="D368" t="s">
        <v>81</v>
      </c>
      <c r="E368" t="s">
        <v>682</v>
      </c>
      <c r="F368" t="s">
        <v>683</v>
      </c>
      <c r="G368" t="s">
        <v>23</v>
      </c>
      <c r="H368" t="s">
        <v>24</v>
      </c>
      <c r="I368" t="s">
        <v>1476</v>
      </c>
      <c r="J368" t="s">
        <v>230</v>
      </c>
      <c r="K368" t="s">
        <v>87</v>
      </c>
      <c r="L368" t="s">
        <v>1477</v>
      </c>
      <c r="M368" t="s">
        <v>29</v>
      </c>
      <c r="N368" t="s">
        <v>34</v>
      </c>
      <c r="O368" t="s">
        <v>1478</v>
      </c>
      <c r="P368">
        <v>2807.84</v>
      </c>
      <c r="Q368">
        <v>8</v>
      </c>
      <c r="R368">
        <v>673.88160000000005</v>
      </c>
      <c r="S368" t="s">
        <v>90</v>
      </c>
    </row>
    <row r="369" spans="1:19" x14ac:dyDescent="0.35">
      <c r="A369" t="s">
        <v>1479</v>
      </c>
      <c r="B369" s="1">
        <v>42558</v>
      </c>
      <c r="C369" s="1">
        <v>42562</v>
      </c>
      <c r="D369" t="s">
        <v>37</v>
      </c>
      <c r="E369" t="s">
        <v>1480</v>
      </c>
      <c r="F369" t="s">
        <v>1481</v>
      </c>
      <c r="G369" t="s">
        <v>23</v>
      </c>
      <c r="H369" t="s">
        <v>24</v>
      </c>
      <c r="I369" t="s">
        <v>1482</v>
      </c>
      <c r="J369" t="s">
        <v>50</v>
      </c>
      <c r="K369" t="s">
        <v>51</v>
      </c>
      <c r="L369" t="s">
        <v>598</v>
      </c>
      <c r="M369" t="s">
        <v>29</v>
      </c>
      <c r="N369" t="s">
        <v>53</v>
      </c>
      <c r="O369" t="s">
        <v>599</v>
      </c>
      <c r="P369">
        <v>215.65</v>
      </c>
      <c r="Q369">
        <v>5</v>
      </c>
      <c r="R369">
        <v>73.320999999999998</v>
      </c>
      <c r="S369" t="s">
        <v>66</v>
      </c>
    </row>
    <row r="370" spans="1:19" x14ac:dyDescent="0.35">
      <c r="A370" t="s">
        <v>1483</v>
      </c>
      <c r="B370" s="1">
        <v>42687</v>
      </c>
      <c r="C370" s="1">
        <v>42693</v>
      </c>
      <c r="D370" t="s">
        <v>37</v>
      </c>
      <c r="E370" t="s">
        <v>1484</v>
      </c>
      <c r="F370" t="s">
        <v>1485</v>
      </c>
      <c r="G370" t="s">
        <v>94</v>
      </c>
      <c r="H370" t="s">
        <v>24</v>
      </c>
      <c r="I370" t="s">
        <v>943</v>
      </c>
      <c r="J370" t="s">
        <v>184</v>
      </c>
      <c r="K370" t="s">
        <v>51</v>
      </c>
      <c r="L370" t="s">
        <v>1302</v>
      </c>
      <c r="M370" t="s">
        <v>29</v>
      </c>
      <c r="N370" t="s">
        <v>53</v>
      </c>
      <c r="O370" t="s">
        <v>1303</v>
      </c>
      <c r="P370">
        <v>4.18</v>
      </c>
      <c r="Q370">
        <v>1</v>
      </c>
      <c r="R370">
        <v>1.5047999999999999</v>
      </c>
      <c r="S370" t="s">
        <v>32</v>
      </c>
    </row>
    <row r="371" spans="1:19" x14ac:dyDescent="0.35">
      <c r="A371" t="s">
        <v>1486</v>
      </c>
      <c r="B371" s="1">
        <v>42666</v>
      </c>
      <c r="C371" s="1">
        <v>42672</v>
      </c>
      <c r="D371" t="s">
        <v>37</v>
      </c>
      <c r="E371" t="s">
        <v>261</v>
      </c>
      <c r="F371" t="s">
        <v>262</v>
      </c>
      <c r="G371" t="s">
        <v>84</v>
      </c>
      <c r="H371" t="s">
        <v>24</v>
      </c>
      <c r="I371" t="s">
        <v>125</v>
      </c>
      <c r="J371" t="s">
        <v>126</v>
      </c>
      <c r="K371" t="s">
        <v>87</v>
      </c>
      <c r="L371" t="s">
        <v>1487</v>
      </c>
      <c r="M371" t="s">
        <v>29</v>
      </c>
      <c r="N371" t="s">
        <v>53</v>
      </c>
      <c r="O371" t="s">
        <v>1488</v>
      </c>
      <c r="P371">
        <v>16.155999999999999</v>
      </c>
      <c r="Q371">
        <v>7</v>
      </c>
      <c r="R371">
        <v>-12.117000000000001</v>
      </c>
      <c r="S371" t="s">
        <v>45</v>
      </c>
    </row>
    <row r="372" spans="1:19" x14ac:dyDescent="0.35">
      <c r="A372" t="s">
        <v>1489</v>
      </c>
      <c r="B372" s="1">
        <v>41799</v>
      </c>
      <c r="C372" s="1">
        <v>41801</v>
      </c>
      <c r="D372" t="s">
        <v>20</v>
      </c>
      <c r="E372" t="s">
        <v>1490</v>
      </c>
      <c r="F372" t="s">
        <v>1491</v>
      </c>
      <c r="G372" t="s">
        <v>23</v>
      </c>
      <c r="H372" t="s">
        <v>24</v>
      </c>
      <c r="I372" t="s">
        <v>1067</v>
      </c>
      <c r="J372" t="s">
        <v>707</v>
      </c>
      <c r="K372" t="s">
        <v>27</v>
      </c>
      <c r="L372" t="s">
        <v>204</v>
      </c>
      <c r="M372" t="s">
        <v>29</v>
      </c>
      <c r="N372" t="s">
        <v>43</v>
      </c>
      <c r="O372" t="s">
        <v>205</v>
      </c>
      <c r="P372">
        <v>1441.3</v>
      </c>
      <c r="Q372">
        <v>7</v>
      </c>
      <c r="R372">
        <v>245.02099999999999</v>
      </c>
      <c r="S372" t="s">
        <v>55</v>
      </c>
    </row>
    <row r="373" spans="1:19" x14ac:dyDescent="0.35">
      <c r="A373" t="s">
        <v>1492</v>
      </c>
      <c r="B373" s="1">
        <v>43059</v>
      </c>
      <c r="C373" s="1">
        <v>43065</v>
      </c>
      <c r="D373" t="s">
        <v>37</v>
      </c>
      <c r="E373" t="s">
        <v>1493</v>
      </c>
      <c r="F373" t="s">
        <v>1494</v>
      </c>
      <c r="G373" t="s">
        <v>23</v>
      </c>
      <c r="H373" t="s">
        <v>24</v>
      </c>
      <c r="I373" t="s">
        <v>222</v>
      </c>
      <c r="J373" t="s">
        <v>223</v>
      </c>
      <c r="K373" t="s">
        <v>63</v>
      </c>
      <c r="L373" t="s">
        <v>355</v>
      </c>
      <c r="M373" t="s">
        <v>29</v>
      </c>
      <c r="N373" t="s">
        <v>53</v>
      </c>
      <c r="O373" t="s">
        <v>356</v>
      </c>
      <c r="P373">
        <v>77.599999999999994</v>
      </c>
      <c r="Q373">
        <v>5</v>
      </c>
      <c r="R373">
        <v>28.13</v>
      </c>
      <c r="S373" t="s">
        <v>32</v>
      </c>
    </row>
    <row r="374" spans="1:19" x14ac:dyDescent="0.35">
      <c r="A374" t="s">
        <v>1492</v>
      </c>
      <c r="B374" s="1">
        <v>43059</v>
      </c>
      <c r="C374" s="1">
        <v>43065</v>
      </c>
      <c r="D374" t="s">
        <v>37</v>
      </c>
      <c r="E374" t="s">
        <v>1493</v>
      </c>
      <c r="F374" t="s">
        <v>1494</v>
      </c>
      <c r="G374" t="s">
        <v>23</v>
      </c>
      <c r="H374" t="s">
        <v>24</v>
      </c>
      <c r="I374" t="s">
        <v>222</v>
      </c>
      <c r="J374" t="s">
        <v>223</v>
      </c>
      <c r="K374" t="s">
        <v>63</v>
      </c>
      <c r="L374" t="s">
        <v>491</v>
      </c>
      <c r="M374" t="s">
        <v>29</v>
      </c>
      <c r="N374" t="s">
        <v>53</v>
      </c>
      <c r="O374" t="s">
        <v>492</v>
      </c>
      <c r="P374">
        <v>4.6559999999999997</v>
      </c>
      <c r="Q374">
        <v>2</v>
      </c>
      <c r="R374">
        <v>1.5713999999999999</v>
      </c>
      <c r="S374" t="s">
        <v>32</v>
      </c>
    </row>
    <row r="375" spans="1:19" x14ac:dyDescent="0.35">
      <c r="A375" t="s">
        <v>1495</v>
      </c>
      <c r="B375" s="1">
        <v>42261</v>
      </c>
      <c r="C375" s="1">
        <v>42265</v>
      </c>
      <c r="D375" t="s">
        <v>37</v>
      </c>
      <c r="E375" t="s">
        <v>1102</v>
      </c>
      <c r="F375" t="s">
        <v>1103</v>
      </c>
      <c r="G375" t="s">
        <v>84</v>
      </c>
      <c r="H375" t="s">
        <v>24</v>
      </c>
      <c r="I375" t="s">
        <v>49</v>
      </c>
      <c r="J375" t="s">
        <v>50</v>
      </c>
      <c r="K375" t="s">
        <v>51</v>
      </c>
      <c r="L375" t="s">
        <v>309</v>
      </c>
      <c r="M375" t="s">
        <v>29</v>
      </c>
      <c r="N375" t="s">
        <v>43</v>
      </c>
      <c r="O375" t="s">
        <v>310</v>
      </c>
      <c r="P375">
        <v>170.136</v>
      </c>
      <c r="Q375">
        <v>3</v>
      </c>
      <c r="R375">
        <v>-8.5068000000000001</v>
      </c>
      <c r="S375" t="s">
        <v>72</v>
      </c>
    </row>
    <row r="376" spans="1:19" x14ac:dyDescent="0.35">
      <c r="A376" t="s">
        <v>1496</v>
      </c>
      <c r="B376" s="1">
        <v>41784</v>
      </c>
      <c r="C376" s="1">
        <v>41788</v>
      </c>
      <c r="D376" t="s">
        <v>37</v>
      </c>
      <c r="E376" t="s">
        <v>1497</v>
      </c>
      <c r="F376" t="s">
        <v>1498</v>
      </c>
      <c r="G376" t="s">
        <v>23</v>
      </c>
      <c r="H376" t="s">
        <v>24</v>
      </c>
      <c r="I376" t="s">
        <v>125</v>
      </c>
      <c r="J376" t="s">
        <v>126</v>
      </c>
      <c r="K376" t="s">
        <v>87</v>
      </c>
      <c r="L376" t="s">
        <v>1499</v>
      </c>
      <c r="M376" t="s">
        <v>29</v>
      </c>
      <c r="N376" t="s">
        <v>53</v>
      </c>
      <c r="O376" t="s">
        <v>1500</v>
      </c>
      <c r="P376">
        <v>29.32</v>
      </c>
      <c r="Q376">
        <v>2</v>
      </c>
      <c r="R376">
        <v>-24.189</v>
      </c>
      <c r="S376" t="s">
        <v>153</v>
      </c>
    </row>
    <row r="377" spans="1:19" x14ac:dyDescent="0.35">
      <c r="A377" t="s">
        <v>1501</v>
      </c>
      <c r="B377" s="1">
        <v>42416</v>
      </c>
      <c r="C377" s="1">
        <v>42420</v>
      </c>
      <c r="D377" t="s">
        <v>37</v>
      </c>
      <c r="E377" t="s">
        <v>1502</v>
      </c>
      <c r="F377" t="s">
        <v>1503</v>
      </c>
      <c r="G377" t="s">
        <v>84</v>
      </c>
      <c r="H377" t="s">
        <v>24</v>
      </c>
      <c r="I377" t="s">
        <v>125</v>
      </c>
      <c r="J377" t="s">
        <v>126</v>
      </c>
      <c r="K377" t="s">
        <v>87</v>
      </c>
      <c r="L377" t="s">
        <v>1504</v>
      </c>
      <c r="M377" t="s">
        <v>29</v>
      </c>
      <c r="N377" t="s">
        <v>34</v>
      </c>
      <c r="O377" t="s">
        <v>1505</v>
      </c>
      <c r="P377">
        <v>62.957999999999998</v>
      </c>
      <c r="Q377">
        <v>3</v>
      </c>
      <c r="R377">
        <v>-2.6981999999999999</v>
      </c>
      <c r="S377" t="s">
        <v>289</v>
      </c>
    </row>
    <row r="378" spans="1:19" x14ac:dyDescent="0.35">
      <c r="A378" t="s">
        <v>1506</v>
      </c>
      <c r="B378" s="1">
        <v>42726</v>
      </c>
      <c r="C378" s="1">
        <v>42732</v>
      </c>
      <c r="D378" t="s">
        <v>37</v>
      </c>
      <c r="E378" t="s">
        <v>810</v>
      </c>
      <c r="F378" t="s">
        <v>811</v>
      </c>
      <c r="G378" t="s">
        <v>23</v>
      </c>
      <c r="H378" t="s">
        <v>24</v>
      </c>
      <c r="I378" t="s">
        <v>1507</v>
      </c>
      <c r="J378" t="s">
        <v>1508</v>
      </c>
      <c r="K378" t="s">
        <v>51</v>
      </c>
      <c r="L378" t="s">
        <v>437</v>
      </c>
      <c r="M378" t="s">
        <v>29</v>
      </c>
      <c r="N378" t="s">
        <v>53</v>
      </c>
      <c r="O378" t="s">
        <v>438</v>
      </c>
      <c r="P378">
        <v>11.84</v>
      </c>
      <c r="Q378">
        <v>4</v>
      </c>
      <c r="R378">
        <v>3.1080000000000001</v>
      </c>
      <c r="S378" t="s">
        <v>90</v>
      </c>
    </row>
    <row r="379" spans="1:19" x14ac:dyDescent="0.35">
      <c r="A379" t="s">
        <v>1506</v>
      </c>
      <c r="B379" s="1">
        <v>42726</v>
      </c>
      <c r="C379" s="1">
        <v>42732</v>
      </c>
      <c r="D379" t="s">
        <v>37</v>
      </c>
      <c r="E379" t="s">
        <v>810</v>
      </c>
      <c r="F379" t="s">
        <v>811</v>
      </c>
      <c r="G379" t="s">
        <v>23</v>
      </c>
      <c r="H379" t="s">
        <v>24</v>
      </c>
      <c r="I379" t="s">
        <v>1507</v>
      </c>
      <c r="J379" t="s">
        <v>1508</v>
      </c>
      <c r="K379" t="s">
        <v>51</v>
      </c>
      <c r="L379" t="s">
        <v>1509</v>
      </c>
      <c r="M379" t="s">
        <v>29</v>
      </c>
      <c r="N379" t="s">
        <v>53</v>
      </c>
      <c r="O379" t="s">
        <v>1510</v>
      </c>
      <c r="P379">
        <v>22.783999999999999</v>
      </c>
      <c r="Q379">
        <v>1</v>
      </c>
      <c r="R379">
        <v>4.8415999999999997</v>
      </c>
      <c r="S379" t="s">
        <v>90</v>
      </c>
    </row>
    <row r="380" spans="1:19" x14ac:dyDescent="0.35">
      <c r="A380" t="s">
        <v>1511</v>
      </c>
      <c r="B380" s="1">
        <v>43029</v>
      </c>
      <c r="C380" s="1">
        <v>43029</v>
      </c>
      <c r="D380" t="s">
        <v>417</v>
      </c>
      <c r="E380" t="s">
        <v>945</v>
      </c>
      <c r="F380" t="s">
        <v>946</v>
      </c>
      <c r="G380" t="s">
        <v>94</v>
      </c>
      <c r="H380" t="s">
        <v>24</v>
      </c>
      <c r="I380" t="s">
        <v>1512</v>
      </c>
      <c r="J380" t="s">
        <v>1513</v>
      </c>
      <c r="K380" t="s">
        <v>87</v>
      </c>
      <c r="L380" t="s">
        <v>906</v>
      </c>
      <c r="M380" t="s">
        <v>29</v>
      </c>
      <c r="N380" t="s">
        <v>43</v>
      </c>
      <c r="O380" t="s">
        <v>907</v>
      </c>
      <c r="P380">
        <v>262.11</v>
      </c>
      <c r="Q380">
        <v>1</v>
      </c>
      <c r="R380">
        <v>62.906399999999998</v>
      </c>
      <c r="S380" t="s">
        <v>45</v>
      </c>
    </row>
    <row r="381" spans="1:19" x14ac:dyDescent="0.35">
      <c r="A381" t="s">
        <v>1514</v>
      </c>
      <c r="B381" s="1">
        <v>42313</v>
      </c>
      <c r="C381" s="1">
        <v>42317</v>
      </c>
      <c r="D381" t="s">
        <v>37</v>
      </c>
      <c r="E381" t="s">
        <v>1071</v>
      </c>
      <c r="F381" t="s">
        <v>1072</v>
      </c>
      <c r="G381" t="s">
        <v>84</v>
      </c>
      <c r="H381" t="s">
        <v>24</v>
      </c>
      <c r="I381" t="s">
        <v>1026</v>
      </c>
      <c r="J381" t="s">
        <v>1027</v>
      </c>
      <c r="K381" t="s">
        <v>27</v>
      </c>
      <c r="L381" t="s">
        <v>1081</v>
      </c>
      <c r="M381" t="s">
        <v>29</v>
      </c>
      <c r="N381" t="s">
        <v>34</v>
      </c>
      <c r="O381" t="s">
        <v>1082</v>
      </c>
      <c r="P381">
        <v>207</v>
      </c>
      <c r="Q381">
        <v>3</v>
      </c>
      <c r="R381">
        <v>25.875</v>
      </c>
      <c r="S381" t="s">
        <v>32</v>
      </c>
    </row>
    <row r="382" spans="1:19" x14ac:dyDescent="0.35">
      <c r="A382" t="s">
        <v>1515</v>
      </c>
      <c r="B382" s="1">
        <v>41852</v>
      </c>
      <c r="C382" s="1">
        <v>41856</v>
      </c>
      <c r="D382" t="s">
        <v>37</v>
      </c>
      <c r="E382" t="s">
        <v>1516</v>
      </c>
      <c r="F382" t="s">
        <v>1517</v>
      </c>
      <c r="G382" t="s">
        <v>84</v>
      </c>
      <c r="H382" t="s">
        <v>24</v>
      </c>
      <c r="I382" t="s">
        <v>1518</v>
      </c>
      <c r="J382" t="s">
        <v>1027</v>
      </c>
      <c r="K382" t="s">
        <v>27</v>
      </c>
      <c r="L382" t="s">
        <v>166</v>
      </c>
      <c r="M382" t="s">
        <v>29</v>
      </c>
      <c r="N382" t="s">
        <v>53</v>
      </c>
      <c r="O382" t="s">
        <v>167</v>
      </c>
      <c r="P382">
        <v>44.128</v>
      </c>
      <c r="Q382">
        <v>4</v>
      </c>
      <c r="R382">
        <v>12.135199999999999</v>
      </c>
      <c r="S382" t="s">
        <v>245</v>
      </c>
    </row>
    <row r="383" spans="1:19" x14ac:dyDescent="0.35">
      <c r="A383" t="s">
        <v>1519</v>
      </c>
      <c r="B383" s="1">
        <v>42569</v>
      </c>
      <c r="C383" s="1">
        <v>42574</v>
      </c>
      <c r="D383" t="s">
        <v>37</v>
      </c>
      <c r="E383" t="s">
        <v>1520</v>
      </c>
      <c r="F383" t="s">
        <v>1521</v>
      </c>
      <c r="G383" t="s">
        <v>84</v>
      </c>
      <c r="H383" t="s">
        <v>24</v>
      </c>
      <c r="I383" t="s">
        <v>1522</v>
      </c>
      <c r="J383" t="s">
        <v>26</v>
      </c>
      <c r="K383" t="s">
        <v>27</v>
      </c>
      <c r="L383" t="s">
        <v>1523</v>
      </c>
      <c r="M383" t="s">
        <v>29</v>
      </c>
      <c r="N383" t="s">
        <v>34</v>
      </c>
      <c r="O383" t="s">
        <v>1524</v>
      </c>
      <c r="P383">
        <v>140.81</v>
      </c>
      <c r="Q383">
        <v>1</v>
      </c>
      <c r="R383">
        <v>39.4268</v>
      </c>
      <c r="S383" t="s">
        <v>66</v>
      </c>
    </row>
    <row r="384" spans="1:19" x14ac:dyDescent="0.35">
      <c r="A384" t="s">
        <v>1525</v>
      </c>
      <c r="B384" s="1">
        <v>42044</v>
      </c>
      <c r="C384" s="1">
        <v>42046</v>
      </c>
      <c r="D384" t="s">
        <v>20</v>
      </c>
      <c r="E384" t="s">
        <v>1526</v>
      </c>
      <c r="F384" t="s">
        <v>1527</v>
      </c>
      <c r="G384" t="s">
        <v>84</v>
      </c>
      <c r="H384" t="s">
        <v>24</v>
      </c>
      <c r="I384" t="s">
        <v>237</v>
      </c>
      <c r="J384" t="s">
        <v>86</v>
      </c>
      <c r="K384" t="s">
        <v>87</v>
      </c>
      <c r="L384" t="s">
        <v>1528</v>
      </c>
      <c r="M384" t="s">
        <v>29</v>
      </c>
      <c r="N384" t="s">
        <v>53</v>
      </c>
      <c r="O384" t="s">
        <v>1529</v>
      </c>
      <c r="P384">
        <v>40.783999999999999</v>
      </c>
      <c r="Q384">
        <v>2</v>
      </c>
      <c r="R384">
        <v>-30.588000000000001</v>
      </c>
      <c r="S384" t="s">
        <v>289</v>
      </c>
    </row>
    <row r="385" spans="1:19" x14ac:dyDescent="0.35">
      <c r="A385" t="s">
        <v>1530</v>
      </c>
      <c r="B385" s="1">
        <v>42747</v>
      </c>
      <c r="C385" s="1">
        <v>42752</v>
      </c>
      <c r="D385" t="s">
        <v>20</v>
      </c>
      <c r="E385" t="s">
        <v>1531</v>
      </c>
      <c r="F385" t="s">
        <v>1532</v>
      </c>
      <c r="G385" t="s">
        <v>94</v>
      </c>
      <c r="H385" t="s">
        <v>24</v>
      </c>
      <c r="I385" t="s">
        <v>184</v>
      </c>
      <c r="J385" t="s">
        <v>971</v>
      </c>
      <c r="K385" t="s">
        <v>63</v>
      </c>
      <c r="L385" t="s">
        <v>1533</v>
      </c>
      <c r="M385" t="s">
        <v>29</v>
      </c>
      <c r="N385" t="s">
        <v>53</v>
      </c>
      <c r="O385" t="s">
        <v>1534</v>
      </c>
      <c r="P385">
        <v>37.68</v>
      </c>
      <c r="Q385">
        <v>2</v>
      </c>
      <c r="R385">
        <v>15.8256</v>
      </c>
      <c r="S385" t="s">
        <v>161</v>
      </c>
    </row>
    <row r="386" spans="1:19" x14ac:dyDescent="0.35">
      <c r="A386" t="s">
        <v>1535</v>
      </c>
      <c r="B386" s="1">
        <v>42988</v>
      </c>
      <c r="C386" s="1">
        <v>42988</v>
      </c>
      <c r="D386" t="s">
        <v>417</v>
      </c>
      <c r="E386" t="s">
        <v>1536</v>
      </c>
      <c r="F386" t="s">
        <v>1537</v>
      </c>
      <c r="G386" t="s">
        <v>84</v>
      </c>
      <c r="H386" t="s">
        <v>24</v>
      </c>
      <c r="I386" t="s">
        <v>49</v>
      </c>
      <c r="J386" t="s">
        <v>50</v>
      </c>
      <c r="K386" t="s">
        <v>51</v>
      </c>
      <c r="L386" t="s">
        <v>386</v>
      </c>
      <c r="M386" t="s">
        <v>29</v>
      </c>
      <c r="N386" t="s">
        <v>34</v>
      </c>
      <c r="O386" t="s">
        <v>387</v>
      </c>
      <c r="P386">
        <v>362.35199999999998</v>
      </c>
      <c r="Q386">
        <v>3</v>
      </c>
      <c r="R386">
        <v>27.176400000000001</v>
      </c>
      <c r="S386" t="s">
        <v>72</v>
      </c>
    </row>
    <row r="387" spans="1:19" x14ac:dyDescent="0.35">
      <c r="A387" t="s">
        <v>1538</v>
      </c>
      <c r="B387" s="1">
        <v>42820</v>
      </c>
      <c r="C387" s="1">
        <v>42821</v>
      </c>
      <c r="D387" t="s">
        <v>81</v>
      </c>
      <c r="E387" t="s">
        <v>824</v>
      </c>
      <c r="F387" t="s">
        <v>825</v>
      </c>
      <c r="G387" t="s">
        <v>23</v>
      </c>
      <c r="H387" t="s">
        <v>24</v>
      </c>
      <c r="I387" t="s">
        <v>165</v>
      </c>
      <c r="J387" t="s">
        <v>114</v>
      </c>
      <c r="K387" t="s">
        <v>63</v>
      </c>
      <c r="L387" t="s">
        <v>1539</v>
      </c>
      <c r="M387" t="s">
        <v>29</v>
      </c>
      <c r="N387" t="s">
        <v>30</v>
      </c>
      <c r="O387" t="s">
        <v>1540</v>
      </c>
      <c r="P387">
        <v>257.56799999999998</v>
      </c>
      <c r="Q387">
        <v>2</v>
      </c>
      <c r="R387">
        <v>-28.976400000000002</v>
      </c>
      <c r="S387" t="s">
        <v>187</v>
      </c>
    </row>
    <row r="388" spans="1:19" x14ac:dyDescent="0.35">
      <c r="A388" t="s">
        <v>1541</v>
      </c>
      <c r="B388" s="1">
        <v>42656</v>
      </c>
      <c r="C388" s="1">
        <v>42660</v>
      </c>
      <c r="D388" t="s">
        <v>37</v>
      </c>
      <c r="E388" t="s">
        <v>1542</v>
      </c>
      <c r="F388" t="s">
        <v>1543</v>
      </c>
      <c r="G388" t="s">
        <v>84</v>
      </c>
      <c r="H388" t="s">
        <v>24</v>
      </c>
      <c r="I388" t="s">
        <v>171</v>
      </c>
      <c r="J388" t="s">
        <v>172</v>
      </c>
      <c r="K388" t="s">
        <v>51</v>
      </c>
      <c r="L388" t="s">
        <v>402</v>
      </c>
      <c r="M388" t="s">
        <v>29</v>
      </c>
      <c r="N388" t="s">
        <v>43</v>
      </c>
      <c r="O388" t="s">
        <v>403</v>
      </c>
      <c r="P388">
        <v>727.45</v>
      </c>
      <c r="Q388">
        <v>5</v>
      </c>
      <c r="R388">
        <v>-465.56799999999998</v>
      </c>
      <c r="S388" t="s">
        <v>45</v>
      </c>
    </row>
    <row r="389" spans="1:19" x14ac:dyDescent="0.35">
      <c r="A389" t="s">
        <v>1541</v>
      </c>
      <c r="B389" s="1">
        <v>42656</v>
      </c>
      <c r="C389" s="1">
        <v>42660</v>
      </c>
      <c r="D389" t="s">
        <v>37</v>
      </c>
      <c r="E389" t="s">
        <v>1542</v>
      </c>
      <c r="F389" t="s">
        <v>1543</v>
      </c>
      <c r="G389" t="s">
        <v>84</v>
      </c>
      <c r="H389" t="s">
        <v>24</v>
      </c>
      <c r="I389" t="s">
        <v>171</v>
      </c>
      <c r="J389" t="s">
        <v>172</v>
      </c>
      <c r="K389" t="s">
        <v>51</v>
      </c>
      <c r="L389" t="s">
        <v>1544</v>
      </c>
      <c r="M389" t="s">
        <v>29</v>
      </c>
      <c r="N389" t="s">
        <v>53</v>
      </c>
      <c r="O389" t="s">
        <v>1545</v>
      </c>
      <c r="P389">
        <v>24.96</v>
      </c>
      <c r="Q389">
        <v>3</v>
      </c>
      <c r="R389">
        <v>4.3680000000000003</v>
      </c>
      <c r="S389" t="s">
        <v>45</v>
      </c>
    </row>
    <row r="390" spans="1:19" x14ac:dyDescent="0.35">
      <c r="A390" t="s">
        <v>1546</v>
      </c>
      <c r="B390" s="1">
        <v>42840</v>
      </c>
      <c r="C390" s="1">
        <v>42843</v>
      </c>
      <c r="D390" t="s">
        <v>81</v>
      </c>
      <c r="E390" t="s">
        <v>1547</v>
      </c>
      <c r="F390" t="s">
        <v>1548</v>
      </c>
      <c r="G390" t="s">
        <v>84</v>
      </c>
      <c r="H390" t="s">
        <v>24</v>
      </c>
      <c r="I390" t="s">
        <v>25</v>
      </c>
      <c r="J390" t="s">
        <v>1331</v>
      </c>
      <c r="K390" t="s">
        <v>51</v>
      </c>
      <c r="L390" t="s">
        <v>1003</v>
      </c>
      <c r="M390" t="s">
        <v>29</v>
      </c>
      <c r="N390" t="s">
        <v>53</v>
      </c>
      <c r="O390" t="s">
        <v>1004</v>
      </c>
      <c r="P390">
        <v>196.45</v>
      </c>
      <c r="Q390">
        <v>5</v>
      </c>
      <c r="R390">
        <v>70.721999999999994</v>
      </c>
      <c r="S390" t="s">
        <v>107</v>
      </c>
    </row>
    <row r="391" spans="1:19" x14ac:dyDescent="0.35">
      <c r="A391" t="s">
        <v>1549</v>
      </c>
      <c r="B391" s="1">
        <v>41841</v>
      </c>
      <c r="C391" s="1">
        <v>41845</v>
      </c>
      <c r="D391" t="s">
        <v>37</v>
      </c>
      <c r="E391" t="s">
        <v>1550</v>
      </c>
      <c r="F391" t="s">
        <v>1551</v>
      </c>
      <c r="G391" t="s">
        <v>84</v>
      </c>
      <c r="H391" t="s">
        <v>24</v>
      </c>
      <c r="I391" t="s">
        <v>320</v>
      </c>
      <c r="J391" t="s">
        <v>50</v>
      </c>
      <c r="K391" t="s">
        <v>51</v>
      </c>
      <c r="L391" t="s">
        <v>550</v>
      </c>
      <c r="M391" t="s">
        <v>29</v>
      </c>
      <c r="N391" t="s">
        <v>34</v>
      </c>
      <c r="O391" t="s">
        <v>551</v>
      </c>
      <c r="P391">
        <v>801.56799999999998</v>
      </c>
      <c r="Q391">
        <v>2</v>
      </c>
      <c r="R391">
        <v>50.097999999999999</v>
      </c>
      <c r="S391" t="s">
        <v>66</v>
      </c>
    </row>
    <row r="392" spans="1:19" x14ac:dyDescent="0.35">
      <c r="A392" t="s">
        <v>1549</v>
      </c>
      <c r="B392" s="1">
        <v>41841</v>
      </c>
      <c r="C392" s="1">
        <v>41845</v>
      </c>
      <c r="D392" t="s">
        <v>37</v>
      </c>
      <c r="E392" t="s">
        <v>1550</v>
      </c>
      <c r="F392" t="s">
        <v>1551</v>
      </c>
      <c r="G392" t="s">
        <v>84</v>
      </c>
      <c r="H392" t="s">
        <v>24</v>
      </c>
      <c r="I392" t="s">
        <v>320</v>
      </c>
      <c r="J392" t="s">
        <v>50</v>
      </c>
      <c r="K392" t="s">
        <v>51</v>
      </c>
      <c r="L392" t="s">
        <v>1552</v>
      </c>
      <c r="M392" t="s">
        <v>29</v>
      </c>
      <c r="N392" t="s">
        <v>43</v>
      </c>
      <c r="O392" t="s">
        <v>1553</v>
      </c>
      <c r="P392">
        <v>272.84800000000001</v>
      </c>
      <c r="Q392">
        <v>1</v>
      </c>
      <c r="R392">
        <v>27.284800000000001</v>
      </c>
      <c r="S392" t="s">
        <v>66</v>
      </c>
    </row>
    <row r="393" spans="1:19" x14ac:dyDescent="0.35">
      <c r="A393" t="s">
        <v>1554</v>
      </c>
      <c r="B393" s="1">
        <v>43060</v>
      </c>
      <c r="C393" s="1">
        <v>43064</v>
      </c>
      <c r="D393" t="s">
        <v>37</v>
      </c>
      <c r="E393" t="s">
        <v>1555</v>
      </c>
      <c r="F393" t="s">
        <v>1556</v>
      </c>
      <c r="G393" t="s">
        <v>23</v>
      </c>
      <c r="H393" t="s">
        <v>24</v>
      </c>
      <c r="I393" t="s">
        <v>1557</v>
      </c>
      <c r="J393" t="s">
        <v>184</v>
      </c>
      <c r="K393" t="s">
        <v>51</v>
      </c>
      <c r="L393" t="s">
        <v>1558</v>
      </c>
      <c r="M393" t="s">
        <v>29</v>
      </c>
      <c r="N393" t="s">
        <v>43</v>
      </c>
      <c r="O393" t="s">
        <v>1559</v>
      </c>
      <c r="P393">
        <v>70.98</v>
      </c>
      <c r="Q393">
        <v>1</v>
      </c>
      <c r="R393">
        <v>20.584199999999999</v>
      </c>
      <c r="S393" t="s">
        <v>32</v>
      </c>
    </row>
    <row r="394" spans="1:19" x14ac:dyDescent="0.35">
      <c r="A394" t="s">
        <v>1560</v>
      </c>
      <c r="B394" s="1">
        <v>42439</v>
      </c>
      <c r="C394" s="1">
        <v>42445</v>
      </c>
      <c r="D394" t="s">
        <v>37</v>
      </c>
      <c r="E394" t="s">
        <v>1336</v>
      </c>
      <c r="F394" t="s">
        <v>1337</v>
      </c>
      <c r="G394" t="s">
        <v>23</v>
      </c>
      <c r="H394" t="s">
        <v>24</v>
      </c>
      <c r="I394" t="s">
        <v>721</v>
      </c>
      <c r="J394" t="s">
        <v>114</v>
      </c>
      <c r="K394" t="s">
        <v>63</v>
      </c>
      <c r="L394" t="s">
        <v>727</v>
      </c>
      <c r="M394" t="s">
        <v>29</v>
      </c>
      <c r="N394" t="s">
        <v>30</v>
      </c>
      <c r="O394" t="s">
        <v>728</v>
      </c>
      <c r="P394">
        <v>176.78399999999999</v>
      </c>
      <c r="Q394">
        <v>1</v>
      </c>
      <c r="R394">
        <v>-22.097999999999999</v>
      </c>
      <c r="S394" t="s">
        <v>187</v>
      </c>
    </row>
    <row r="395" spans="1:19" x14ac:dyDescent="0.35">
      <c r="A395" t="s">
        <v>1561</v>
      </c>
      <c r="B395" s="1">
        <v>43098</v>
      </c>
      <c r="C395" s="1">
        <v>43102</v>
      </c>
      <c r="D395" t="s">
        <v>37</v>
      </c>
      <c r="E395" t="s">
        <v>1562</v>
      </c>
      <c r="F395" t="s">
        <v>1563</v>
      </c>
      <c r="G395" t="s">
        <v>23</v>
      </c>
      <c r="H395" t="s">
        <v>24</v>
      </c>
      <c r="I395" t="s">
        <v>49</v>
      </c>
      <c r="J395" t="s">
        <v>50</v>
      </c>
      <c r="K395" t="s">
        <v>51</v>
      </c>
      <c r="L395" t="s">
        <v>1019</v>
      </c>
      <c r="M395" t="s">
        <v>29</v>
      </c>
      <c r="N395" t="s">
        <v>34</v>
      </c>
      <c r="O395" t="s">
        <v>1020</v>
      </c>
      <c r="P395">
        <v>393.56799999999998</v>
      </c>
      <c r="Q395">
        <v>4</v>
      </c>
      <c r="R395">
        <v>-44.276400000000002</v>
      </c>
      <c r="S395" t="s">
        <v>90</v>
      </c>
    </row>
    <row r="396" spans="1:19" x14ac:dyDescent="0.35">
      <c r="A396" t="s">
        <v>1564</v>
      </c>
      <c r="B396" s="1">
        <v>42068</v>
      </c>
      <c r="C396" s="1">
        <v>42068</v>
      </c>
      <c r="D396" t="s">
        <v>417</v>
      </c>
      <c r="E396" t="s">
        <v>1565</v>
      </c>
      <c r="F396" t="s">
        <v>1566</v>
      </c>
      <c r="G396" t="s">
        <v>23</v>
      </c>
      <c r="H396" t="s">
        <v>24</v>
      </c>
      <c r="I396" t="s">
        <v>165</v>
      </c>
      <c r="J396" t="s">
        <v>114</v>
      </c>
      <c r="K396" t="s">
        <v>63</v>
      </c>
      <c r="L396" t="s">
        <v>127</v>
      </c>
      <c r="M396" t="s">
        <v>29</v>
      </c>
      <c r="N396" t="s">
        <v>34</v>
      </c>
      <c r="O396" t="s">
        <v>128</v>
      </c>
      <c r="P396">
        <v>383.60700000000003</v>
      </c>
      <c r="Q396">
        <v>7</v>
      </c>
      <c r="R396">
        <v>63.9345</v>
      </c>
      <c r="S396" t="s">
        <v>187</v>
      </c>
    </row>
    <row r="397" spans="1:19" x14ac:dyDescent="0.35">
      <c r="A397" t="s">
        <v>1567</v>
      </c>
      <c r="B397" s="1">
        <v>42482</v>
      </c>
      <c r="C397" s="1">
        <v>42486</v>
      </c>
      <c r="D397" t="s">
        <v>20</v>
      </c>
      <c r="E397" t="s">
        <v>584</v>
      </c>
      <c r="F397" t="s">
        <v>585</v>
      </c>
      <c r="G397" t="s">
        <v>23</v>
      </c>
      <c r="H397" t="s">
        <v>24</v>
      </c>
      <c r="I397" t="s">
        <v>320</v>
      </c>
      <c r="J397" t="s">
        <v>50</v>
      </c>
      <c r="K397" t="s">
        <v>51</v>
      </c>
      <c r="L397" t="s">
        <v>1568</v>
      </c>
      <c r="M397" t="s">
        <v>29</v>
      </c>
      <c r="N397" t="s">
        <v>53</v>
      </c>
      <c r="O397" t="s">
        <v>1569</v>
      </c>
      <c r="P397">
        <v>31.56</v>
      </c>
      <c r="Q397">
        <v>3</v>
      </c>
      <c r="R397">
        <v>10.4148</v>
      </c>
      <c r="S397" t="s">
        <v>107</v>
      </c>
    </row>
    <row r="398" spans="1:19" x14ac:dyDescent="0.35">
      <c r="A398" t="s">
        <v>1570</v>
      </c>
      <c r="B398" s="1">
        <v>41933</v>
      </c>
      <c r="C398" s="1">
        <v>41934</v>
      </c>
      <c r="D398" t="s">
        <v>81</v>
      </c>
      <c r="E398" t="s">
        <v>74</v>
      </c>
      <c r="F398" t="s">
        <v>75</v>
      </c>
      <c r="G398" t="s">
        <v>23</v>
      </c>
      <c r="H398" t="s">
        <v>24</v>
      </c>
      <c r="I398" t="s">
        <v>1571</v>
      </c>
      <c r="J398" t="s">
        <v>223</v>
      </c>
      <c r="K398" t="s">
        <v>63</v>
      </c>
      <c r="L398" t="s">
        <v>432</v>
      </c>
      <c r="M398" t="s">
        <v>29</v>
      </c>
      <c r="N398" t="s">
        <v>43</v>
      </c>
      <c r="O398" t="s">
        <v>433</v>
      </c>
      <c r="P398">
        <v>409.59</v>
      </c>
      <c r="Q398">
        <v>3</v>
      </c>
      <c r="R398">
        <v>-122.877</v>
      </c>
      <c r="S398" t="s">
        <v>45</v>
      </c>
    </row>
    <row r="399" spans="1:19" x14ac:dyDescent="0.35">
      <c r="A399" t="s">
        <v>1572</v>
      </c>
      <c r="B399" s="1">
        <v>41880</v>
      </c>
      <c r="C399" s="1">
        <v>41884</v>
      </c>
      <c r="D399" t="s">
        <v>20</v>
      </c>
      <c r="E399" t="s">
        <v>1573</v>
      </c>
      <c r="F399" t="s">
        <v>1574</v>
      </c>
      <c r="G399" t="s">
        <v>23</v>
      </c>
      <c r="H399" t="s">
        <v>24</v>
      </c>
      <c r="I399" t="s">
        <v>997</v>
      </c>
      <c r="J399" t="s">
        <v>41</v>
      </c>
      <c r="K399" t="s">
        <v>27</v>
      </c>
      <c r="L399" t="s">
        <v>538</v>
      </c>
      <c r="M399" t="s">
        <v>29</v>
      </c>
      <c r="N399" t="s">
        <v>43</v>
      </c>
      <c r="O399" t="s">
        <v>539</v>
      </c>
      <c r="P399">
        <v>174.05850000000001</v>
      </c>
      <c r="Q399">
        <v>3</v>
      </c>
      <c r="R399">
        <v>-110.7645</v>
      </c>
      <c r="S399" t="s">
        <v>245</v>
      </c>
    </row>
    <row r="400" spans="1:19" x14ac:dyDescent="0.35">
      <c r="A400" t="s">
        <v>1575</v>
      </c>
      <c r="B400" s="1">
        <v>43029</v>
      </c>
      <c r="C400" s="1">
        <v>43030</v>
      </c>
      <c r="D400" t="s">
        <v>81</v>
      </c>
      <c r="E400" t="s">
        <v>1295</v>
      </c>
      <c r="F400" t="s">
        <v>1296</v>
      </c>
      <c r="G400" t="s">
        <v>84</v>
      </c>
      <c r="H400" t="s">
        <v>24</v>
      </c>
      <c r="I400" t="s">
        <v>869</v>
      </c>
      <c r="J400" t="s">
        <v>1508</v>
      </c>
      <c r="K400" t="s">
        <v>51</v>
      </c>
      <c r="L400" t="s">
        <v>1576</v>
      </c>
      <c r="M400" t="s">
        <v>29</v>
      </c>
      <c r="N400" t="s">
        <v>34</v>
      </c>
      <c r="O400" t="s">
        <v>1577</v>
      </c>
      <c r="P400">
        <v>478.48</v>
      </c>
      <c r="Q400">
        <v>2</v>
      </c>
      <c r="R400">
        <v>47.847999999999999</v>
      </c>
      <c r="S400" t="s">
        <v>45</v>
      </c>
    </row>
    <row r="401" spans="1:19" x14ac:dyDescent="0.35">
      <c r="A401" t="s">
        <v>1578</v>
      </c>
      <c r="B401" s="1">
        <v>42038</v>
      </c>
      <c r="C401" s="1">
        <v>42039</v>
      </c>
      <c r="D401" t="s">
        <v>81</v>
      </c>
      <c r="E401" t="s">
        <v>1579</v>
      </c>
      <c r="F401" t="s">
        <v>1580</v>
      </c>
      <c r="G401" t="s">
        <v>84</v>
      </c>
      <c r="H401" t="s">
        <v>24</v>
      </c>
      <c r="I401" t="s">
        <v>49</v>
      </c>
      <c r="J401" t="s">
        <v>50</v>
      </c>
      <c r="K401" t="s">
        <v>51</v>
      </c>
      <c r="L401" t="s">
        <v>1581</v>
      </c>
      <c r="M401" t="s">
        <v>29</v>
      </c>
      <c r="N401" t="s">
        <v>53</v>
      </c>
      <c r="O401" t="s">
        <v>1582</v>
      </c>
      <c r="P401">
        <v>136.91999999999999</v>
      </c>
      <c r="Q401">
        <v>4</v>
      </c>
      <c r="R401">
        <v>41.076000000000001</v>
      </c>
      <c r="S401" t="s">
        <v>289</v>
      </c>
    </row>
    <row r="402" spans="1:19" x14ac:dyDescent="0.35">
      <c r="A402" t="s">
        <v>1583</v>
      </c>
      <c r="B402" s="1">
        <v>43087</v>
      </c>
      <c r="C402" s="1">
        <v>43092</v>
      </c>
      <c r="D402" t="s">
        <v>37</v>
      </c>
      <c r="E402" t="s">
        <v>1584</v>
      </c>
      <c r="F402" t="s">
        <v>1585</v>
      </c>
      <c r="G402" t="s">
        <v>23</v>
      </c>
      <c r="H402" t="s">
        <v>24</v>
      </c>
      <c r="I402" t="s">
        <v>752</v>
      </c>
      <c r="J402" t="s">
        <v>114</v>
      </c>
      <c r="K402" t="s">
        <v>63</v>
      </c>
      <c r="L402" t="s">
        <v>1586</v>
      </c>
      <c r="M402" t="s">
        <v>29</v>
      </c>
      <c r="N402" t="s">
        <v>53</v>
      </c>
      <c r="O402" t="s">
        <v>1587</v>
      </c>
      <c r="P402">
        <v>18.96</v>
      </c>
      <c r="Q402">
        <v>2</v>
      </c>
      <c r="R402">
        <v>8.532</v>
      </c>
      <c r="S402" t="s">
        <v>90</v>
      </c>
    </row>
    <row r="403" spans="1:19" x14ac:dyDescent="0.35">
      <c r="A403" t="s">
        <v>1588</v>
      </c>
      <c r="B403" s="1">
        <v>42964</v>
      </c>
      <c r="C403" s="1">
        <v>42966</v>
      </c>
      <c r="D403" t="s">
        <v>81</v>
      </c>
      <c r="E403" t="s">
        <v>1589</v>
      </c>
      <c r="F403" t="s">
        <v>1590</v>
      </c>
      <c r="G403" t="s">
        <v>84</v>
      </c>
      <c r="H403" t="s">
        <v>24</v>
      </c>
      <c r="I403" t="s">
        <v>1356</v>
      </c>
      <c r="J403" t="s">
        <v>114</v>
      </c>
      <c r="K403" t="s">
        <v>63</v>
      </c>
      <c r="L403" t="s">
        <v>1591</v>
      </c>
      <c r="M403" t="s">
        <v>29</v>
      </c>
      <c r="N403" t="s">
        <v>34</v>
      </c>
      <c r="O403" t="s">
        <v>1592</v>
      </c>
      <c r="P403">
        <v>462.56400000000002</v>
      </c>
      <c r="Q403">
        <v>2</v>
      </c>
      <c r="R403">
        <v>97.6524</v>
      </c>
      <c r="S403" t="s">
        <v>245</v>
      </c>
    </row>
    <row r="404" spans="1:19" x14ac:dyDescent="0.35">
      <c r="A404" t="s">
        <v>1593</v>
      </c>
      <c r="B404" s="1">
        <v>42953</v>
      </c>
      <c r="C404" s="1">
        <v>42957</v>
      </c>
      <c r="D404" t="s">
        <v>20</v>
      </c>
      <c r="E404" t="s">
        <v>730</v>
      </c>
      <c r="F404" t="s">
        <v>731</v>
      </c>
      <c r="G404" t="s">
        <v>23</v>
      </c>
      <c r="H404" t="s">
        <v>24</v>
      </c>
      <c r="I404" t="s">
        <v>1396</v>
      </c>
      <c r="J404" t="s">
        <v>1397</v>
      </c>
      <c r="K404" t="s">
        <v>27</v>
      </c>
      <c r="L404" t="s">
        <v>1594</v>
      </c>
      <c r="M404" t="s">
        <v>29</v>
      </c>
      <c r="N404" t="s">
        <v>30</v>
      </c>
      <c r="O404" t="s">
        <v>1595</v>
      </c>
      <c r="P404">
        <v>145.74</v>
      </c>
      <c r="Q404">
        <v>3</v>
      </c>
      <c r="R404">
        <v>23.3184</v>
      </c>
      <c r="S404" t="s">
        <v>245</v>
      </c>
    </row>
    <row r="405" spans="1:19" x14ac:dyDescent="0.35">
      <c r="A405" t="s">
        <v>1593</v>
      </c>
      <c r="B405" s="1">
        <v>42953</v>
      </c>
      <c r="C405" s="1">
        <v>42957</v>
      </c>
      <c r="D405" t="s">
        <v>20</v>
      </c>
      <c r="E405" t="s">
        <v>730</v>
      </c>
      <c r="F405" t="s">
        <v>731</v>
      </c>
      <c r="G405" t="s">
        <v>23</v>
      </c>
      <c r="H405" t="s">
        <v>24</v>
      </c>
      <c r="I405" t="s">
        <v>1396</v>
      </c>
      <c r="J405" t="s">
        <v>1397</v>
      </c>
      <c r="K405" t="s">
        <v>27</v>
      </c>
      <c r="L405" t="s">
        <v>105</v>
      </c>
      <c r="M405" t="s">
        <v>29</v>
      </c>
      <c r="N405" t="s">
        <v>53</v>
      </c>
      <c r="O405" t="s">
        <v>106</v>
      </c>
      <c r="P405">
        <v>15.4</v>
      </c>
      <c r="Q405">
        <v>5</v>
      </c>
      <c r="R405">
        <v>7.3920000000000003</v>
      </c>
      <c r="S405" t="s">
        <v>245</v>
      </c>
    </row>
    <row r="406" spans="1:19" x14ac:dyDescent="0.35">
      <c r="A406" t="s">
        <v>1596</v>
      </c>
      <c r="B406" s="1">
        <v>42149</v>
      </c>
      <c r="C406" s="1">
        <v>42151</v>
      </c>
      <c r="D406" t="s">
        <v>20</v>
      </c>
      <c r="E406" t="s">
        <v>1597</v>
      </c>
      <c r="F406" t="s">
        <v>1598</v>
      </c>
      <c r="G406" t="s">
        <v>94</v>
      </c>
      <c r="H406" t="s">
        <v>24</v>
      </c>
      <c r="I406" t="s">
        <v>320</v>
      </c>
      <c r="J406" t="s">
        <v>50</v>
      </c>
      <c r="K406" t="s">
        <v>51</v>
      </c>
      <c r="L406" t="s">
        <v>1090</v>
      </c>
      <c r="M406" t="s">
        <v>29</v>
      </c>
      <c r="N406" t="s">
        <v>53</v>
      </c>
      <c r="O406" t="s">
        <v>1091</v>
      </c>
      <c r="P406">
        <v>14.73</v>
      </c>
      <c r="Q406">
        <v>3</v>
      </c>
      <c r="R406">
        <v>4.8609</v>
      </c>
      <c r="S406" t="s">
        <v>153</v>
      </c>
    </row>
    <row r="407" spans="1:19" x14ac:dyDescent="0.35">
      <c r="A407" t="s">
        <v>1599</v>
      </c>
      <c r="B407" s="1">
        <v>42559</v>
      </c>
      <c r="C407" s="1">
        <v>42563</v>
      </c>
      <c r="D407" t="s">
        <v>37</v>
      </c>
      <c r="E407" t="s">
        <v>1600</v>
      </c>
      <c r="F407" t="s">
        <v>1601</v>
      </c>
      <c r="G407" t="s">
        <v>23</v>
      </c>
      <c r="H407" t="s">
        <v>24</v>
      </c>
      <c r="I407" t="s">
        <v>1602</v>
      </c>
      <c r="J407" t="s">
        <v>172</v>
      </c>
      <c r="K407" t="s">
        <v>51</v>
      </c>
      <c r="L407" t="s">
        <v>238</v>
      </c>
      <c r="M407" t="s">
        <v>29</v>
      </c>
      <c r="N407" t="s">
        <v>34</v>
      </c>
      <c r="O407" t="s">
        <v>239</v>
      </c>
      <c r="P407">
        <v>662.88</v>
      </c>
      <c r="Q407">
        <v>3</v>
      </c>
      <c r="R407">
        <v>74.573999999999998</v>
      </c>
      <c r="S407" t="s">
        <v>66</v>
      </c>
    </row>
    <row r="408" spans="1:19" x14ac:dyDescent="0.35">
      <c r="A408" t="s">
        <v>1603</v>
      </c>
      <c r="B408" s="1">
        <v>42980</v>
      </c>
      <c r="C408" s="1">
        <v>42984</v>
      </c>
      <c r="D408" t="s">
        <v>37</v>
      </c>
      <c r="E408" t="s">
        <v>1604</v>
      </c>
      <c r="F408" t="s">
        <v>1605</v>
      </c>
      <c r="G408" t="s">
        <v>84</v>
      </c>
      <c r="H408" t="s">
        <v>24</v>
      </c>
      <c r="I408" t="s">
        <v>165</v>
      </c>
      <c r="J408" t="s">
        <v>114</v>
      </c>
      <c r="K408" t="s">
        <v>63</v>
      </c>
      <c r="L408" t="s">
        <v>1487</v>
      </c>
      <c r="M408" t="s">
        <v>29</v>
      </c>
      <c r="N408" t="s">
        <v>53</v>
      </c>
      <c r="O408" t="s">
        <v>1488</v>
      </c>
      <c r="P408">
        <v>11.54</v>
      </c>
      <c r="Q408">
        <v>2</v>
      </c>
      <c r="R408">
        <v>3.4620000000000002</v>
      </c>
      <c r="S408" t="s">
        <v>72</v>
      </c>
    </row>
    <row r="409" spans="1:19" x14ac:dyDescent="0.35">
      <c r="A409" t="s">
        <v>1603</v>
      </c>
      <c r="B409" s="1">
        <v>42980</v>
      </c>
      <c r="C409" s="1">
        <v>42984</v>
      </c>
      <c r="D409" t="s">
        <v>37</v>
      </c>
      <c r="E409" t="s">
        <v>1604</v>
      </c>
      <c r="F409" t="s">
        <v>1605</v>
      </c>
      <c r="G409" t="s">
        <v>84</v>
      </c>
      <c r="H409" t="s">
        <v>24</v>
      </c>
      <c r="I409" t="s">
        <v>165</v>
      </c>
      <c r="J409" t="s">
        <v>114</v>
      </c>
      <c r="K409" t="s">
        <v>63</v>
      </c>
      <c r="L409" t="s">
        <v>512</v>
      </c>
      <c r="M409" t="s">
        <v>29</v>
      </c>
      <c r="N409" t="s">
        <v>43</v>
      </c>
      <c r="O409" t="s">
        <v>513</v>
      </c>
      <c r="P409">
        <v>254.52600000000001</v>
      </c>
      <c r="Q409">
        <v>1</v>
      </c>
      <c r="R409">
        <v>-93.3262</v>
      </c>
      <c r="S409" t="s">
        <v>72</v>
      </c>
    </row>
    <row r="410" spans="1:19" x14ac:dyDescent="0.35">
      <c r="A410" t="s">
        <v>1603</v>
      </c>
      <c r="B410" s="1">
        <v>42980</v>
      </c>
      <c r="C410" s="1">
        <v>42984</v>
      </c>
      <c r="D410" t="s">
        <v>37</v>
      </c>
      <c r="E410" t="s">
        <v>1604</v>
      </c>
      <c r="F410" t="s">
        <v>1605</v>
      </c>
      <c r="G410" t="s">
        <v>84</v>
      </c>
      <c r="H410" t="s">
        <v>24</v>
      </c>
      <c r="I410" t="s">
        <v>165</v>
      </c>
      <c r="J410" t="s">
        <v>114</v>
      </c>
      <c r="K410" t="s">
        <v>63</v>
      </c>
      <c r="L410" t="s">
        <v>566</v>
      </c>
      <c r="M410" t="s">
        <v>29</v>
      </c>
      <c r="N410" t="s">
        <v>34</v>
      </c>
      <c r="O410" t="s">
        <v>567</v>
      </c>
      <c r="P410">
        <v>1282.4100000000001</v>
      </c>
      <c r="Q410">
        <v>5</v>
      </c>
      <c r="R410">
        <v>213.73500000000001</v>
      </c>
      <c r="S410" t="s">
        <v>72</v>
      </c>
    </row>
    <row r="411" spans="1:19" x14ac:dyDescent="0.35">
      <c r="A411" t="s">
        <v>1606</v>
      </c>
      <c r="B411" s="1">
        <v>41930</v>
      </c>
      <c r="C411" s="1">
        <v>41932</v>
      </c>
      <c r="D411" t="s">
        <v>20</v>
      </c>
      <c r="E411" t="s">
        <v>363</v>
      </c>
      <c r="F411" t="s">
        <v>364</v>
      </c>
      <c r="G411" t="s">
        <v>84</v>
      </c>
      <c r="H411" t="s">
        <v>24</v>
      </c>
      <c r="I411" t="s">
        <v>1607</v>
      </c>
      <c r="J411" t="s">
        <v>1267</v>
      </c>
      <c r="K411" t="s">
        <v>27</v>
      </c>
      <c r="L411" t="s">
        <v>1608</v>
      </c>
      <c r="M411" t="s">
        <v>29</v>
      </c>
      <c r="N411" t="s">
        <v>34</v>
      </c>
      <c r="O411" t="s">
        <v>1609</v>
      </c>
      <c r="P411">
        <v>545.88</v>
      </c>
      <c r="Q411">
        <v>6</v>
      </c>
      <c r="R411">
        <v>70.964399999999998</v>
      </c>
      <c r="S411" t="s">
        <v>45</v>
      </c>
    </row>
    <row r="412" spans="1:19" x14ac:dyDescent="0.35">
      <c r="A412" t="s">
        <v>1610</v>
      </c>
      <c r="B412" s="1">
        <v>42474</v>
      </c>
      <c r="C412" s="1">
        <v>42474</v>
      </c>
      <c r="D412" t="s">
        <v>417</v>
      </c>
      <c r="E412" t="s">
        <v>1206</v>
      </c>
      <c r="F412" t="s">
        <v>1207</v>
      </c>
      <c r="G412" t="s">
        <v>23</v>
      </c>
      <c r="H412" t="s">
        <v>24</v>
      </c>
      <c r="I412" t="s">
        <v>1293</v>
      </c>
      <c r="J412" t="s">
        <v>511</v>
      </c>
      <c r="K412" t="s">
        <v>51</v>
      </c>
      <c r="L412" t="s">
        <v>373</v>
      </c>
      <c r="M412" t="s">
        <v>29</v>
      </c>
      <c r="N412" t="s">
        <v>34</v>
      </c>
      <c r="O412" t="s">
        <v>374</v>
      </c>
      <c r="P412">
        <v>933.53599999999994</v>
      </c>
      <c r="Q412">
        <v>4</v>
      </c>
      <c r="R412">
        <v>105.0228</v>
      </c>
      <c r="S412" t="s">
        <v>107</v>
      </c>
    </row>
    <row r="413" spans="1:19" x14ac:dyDescent="0.35">
      <c r="A413" t="s">
        <v>1611</v>
      </c>
      <c r="B413" s="1">
        <v>41968</v>
      </c>
      <c r="C413" s="1">
        <v>41970</v>
      </c>
      <c r="D413" t="s">
        <v>20</v>
      </c>
      <c r="E413" t="s">
        <v>1612</v>
      </c>
      <c r="F413" t="s">
        <v>1613</v>
      </c>
      <c r="G413" t="s">
        <v>84</v>
      </c>
      <c r="H413" t="s">
        <v>24</v>
      </c>
      <c r="I413" t="s">
        <v>1614</v>
      </c>
      <c r="J413" t="s">
        <v>50</v>
      </c>
      <c r="K413" t="s">
        <v>51</v>
      </c>
      <c r="L413" t="s">
        <v>918</v>
      </c>
      <c r="M413" t="s">
        <v>29</v>
      </c>
      <c r="N413" t="s">
        <v>53</v>
      </c>
      <c r="O413" t="s">
        <v>308</v>
      </c>
      <c r="P413">
        <v>23.88</v>
      </c>
      <c r="Q413">
        <v>3</v>
      </c>
      <c r="R413">
        <v>10.507199999999999</v>
      </c>
      <c r="S413" t="s">
        <v>32</v>
      </c>
    </row>
    <row r="414" spans="1:19" x14ac:dyDescent="0.35">
      <c r="A414" t="s">
        <v>1615</v>
      </c>
      <c r="B414" s="1">
        <v>42317</v>
      </c>
      <c r="C414" s="1">
        <v>42321</v>
      </c>
      <c r="D414" t="s">
        <v>37</v>
      </c>
      <c r="E414" t="s">
        <v>1616</v>
      </c>
      <c r="F414" t="s">
        <v>1617</v>
      </c>
      <c r="G414" t="s">
        <v>23</v>
      </c>
      <c r="H414" t="s">
        <v>24</v>
      </c>
      <c r="I414" t="s">
        <v>869</v>
      </c>
      <c r="J414" t="s">
        <v>556</v>
      </c>
      <c r="K414" t="s">
        <v>87</v>
      </c>
      <c r="L414" t="s">
        <v>1618</v>
      </c>
      <c r="M414" t="s">
        <v>29</v>
      </c>
      <c r="N414" t="s">
        <v>43</v>
      </c>
      <c r="O414" t="s">
        <v>1619</v>
      </c>
      <c r="P414">
        <v>1024.3800000000001</v>
      </c>
      <c r="Q414">
        <v>7</v>
      </c>
      <c r="R414">
        <v>215.1198</v>
      </c>
      <c r="S414" t="s">
        <v>32</v>
      </c>
    </row>
    <row r="415" spans="1:19" x14ac:dyDescent="0.35">
      <c r="A415" t="s">
        <v>1620</v>
      </c>
      <c r="B415" s="1">
        <v>43071</v>
      </c>
      <c r="C415" s="1">
        <v>43073</v>
      </c>
      <c r="D415" t="s">
        <v>20</v>
      </c>
      <c r="E415" t="s">
        <v>1621</v>
      </c>
      <c r="F415" t="s">
        <v>1622</v>
      </c>
      <c r="G415" t="s">
        <v>23</v>
      </c>
      <c r="H415" t="s">
        <v>24</v>
      </c>
      <c r="I415" t="s">
        <v>95</v>
      </c>
      <c r="J415" t="s">
        <v>86</v>
      </c>
      <c r="K415" t="s">
        <v>87</v>
      </c>
      <c r="L415" t="s">
        <v>611</v>
      </c>
      <c r="M415" t="s">
        <v>29</v>
      </c>
      <c r="N415" t="s">
        <v>53</v>
      </c>
      <c r="O415" t="s">
        <v>612</v>
      </c>
      <c r="P415">
        <v>8.7520000000000007</v>
      </c>
      <c r="Q415">
        <v>4</v>
      </c>
      <c r="R415">
        <v>-3.7195999999999998</v>
      </c>
      <c r="S415" t="s">
        <v>90</v>
      </c>
    </row>
    <row r="416" spans="1:19" x14ac:dyDescent="0.35">
      <c r="A416" t="s">
        <v>1623</v>
      </c>
      <c r="B416" s="1">
        <v>43094</v>
      </c>
      <c r="C416" s="1">
        <v>43097</v>
      </c>
      <c r="D416" t="s">
        <v>20</v>
      </c>
      <c r="E416" t="s">
        <v>1459</v>
      </c>
      <c r="F416" t="s">
        <v>1460</v>
      </c>
      <c r="G416" t="s">
        <v>23</v>
      </c>
      <c r="H416" t="s">
        <v>24</v>
      </c>
      <c r="I416" t="s">
        <v>856</v>
      </c>
      <c r="J416" t="s">
        <v>26</v>
      </c>
      <c r="K416" t="s">
        <v>27</v>
      </c>
      <c r="L416" t="s">
        <v>127</v>
      </c>
      <c r="M416" t="s">
        <v>29</v>
      </c>
      <c r="N416" t="s">
        <v>34</v>
      </c>
      <c r="O416" t="s">
        <v>128</v>
      </c>
      <c r="P416">
        <v>304.45</v>
      </c>
      <c r="Q416">
        <v>5</v>
      </c>
      <c r="R416">
        <v>76.112499999999997</v>
      </c>
      <c r="S416" t="s">
        <v>90</v>
      </c>
    </row>
    <row r="417" spans="1:19" x14ac:dyDescent="0.35">
      <c r="A417" t="s">
        <v>1624</v>
      </c>
      <c r="B417" s="1">
        <v>42950</v>
      </c>
      <c r="C417" s="1">
        <v>42951</v>
      </c>
      <c r="D417" t="s">
        <v>81</v>
      </c>
      <c r="E417" t="s">
        <v>1625</v>
      </c>
      <c r="F417" t="s">
        <v>1626</v>
      </c>
      <c r="G417" t="s">
        <v>23</v>
      </c>
      <c r="H417" t="s">
        <v>24</v>
      </c>
      <c r="I417" t="s">
        <v>125</v>
      </c>
      <c r="J417" t="s">
        <v>126</v>
      </c>
      <c r="K417" t="s">
        <v>87</v>
      </c>
      <c r="L417" t="s">
        <v>1627</v>
      </c>
      <c r="M417" t="s">
        <v>29</v>
      </c>
      <c r="N417" t="s">
        <v>30</v>
      </c>
      <c r="O417" t="s">
        <v>1628</v>
      </c>
      <c r="P417">
        <v>183.37200000000001</v>
      </c>
      <c r="Q417">
        <v>2</v>
      </c>
      <c r="R417">
        <v>-36.674399999999999</v>
      </c>
      <c r="S417" t="s">
        <v>245</v>
      </c>
    </row>
    <row r="418" spans="1:19" x14ac:dyDescent="0.35">
      <c r="A418" t="s">
        <v>1629</v>
      </c>
      <c r="B418" s="1">
        <v>42631</v>
      </c>
      <c r="C418" s="1">
        <v>42636</v>
      </c>
      <c r="D418" t="s">
        <v>37</v>
      </c>
      <c r="E418" t="s">
        <v>1630</v>
      </c>
      <c r="F418" t="s">
        <v>1631</v>
      </c>
      <c r="G418" t="s">
        <v>23</v>
      </c>
      <c r="H418" t="s">
        <v>24</v>
      </c>
      <c r="I418" t="s">
        <v>943</v>
      </c>
      <c r="J418" t="s">
        <v>1267</v>
      </c>
      <c r="K418" t="s">
        <v>27</v>
      </c>
      <c r="L418" t="s">
        <v>1477</v>
      </c>
      <c r="M418" t="s">
        <v>29</v>
      </c>
      <c r="N418" t="s">
        <v>34</v>
      </c>
      <c r="O418" t="s">
        <v>1478</v>
      </c>
      <c r="P418">
        <v>350.98</v>
      </c>
      <c r="Q418">
        <v>1</v>
      </c>
      <c r="R418">
        <v>84.235200000000006</v>
      </c>
      <c r="S418" t="s">
        <v>72</v>
      </c>
    </row>
    <row r="419" spans="1:19" x14ac:dyDescent="0.35">
      <c r="A419" t="s">
        <v>1632</v>
      </c>
      <c r="B419" s="1">
        <v>42632</v>
      </c>
      <c r="C419" s="1">
        <v>42634</v>
      </c>
      <c r="D419" t="s">
        <v>81</v>
      </c>
      <c r="E419" t="s">
        <v>1633</v>
      </c>
      <c r="F419" t="s">
        <v>1634</v>
      </c>
      <c r="G419" t="s">
        <v>94</v>
      </c>
      <c r="H419" t="s">
        <v>24</v>
      </c>
      <c r="I419" t="s">
        <v>1635</v>
      </c>
      <c r="J419" t="s">
        <v>1636</v>
      </c>
      <c r="K419" t="s">
        <v>63</v>
      </c>
      <c r="L419" t="s">
        <v>807</v>
      </c>
      <c r="M419" t="s">
        <v>29</v>
      </c>
      <c r="N419" t="s">
        <v>34</v>
      </c>
      <c r="O419" t="s">
        <v>808</v>
      </c>
      <c r="P419">
        <v>872.32</v>
      </c>
      <c r="Q419">
        <v>4</v>
      </c>
      <c r="R419">
        <v>244.24959999999999</v>
      </c>
      <c r="S419" t="s">
        <v>72</v>
      </c>
    </row>
    <row r="420" spans="1:19" x14ac:dyDescent="0.35">
      <c r="A420" t="s">
        <v>1637</v>
      </c>
      <c r="B420" s="1">
        <v>42076</v>
      </c>
      <c r="C420" s="1">
        <v>42078</v>
      </c>
      <c r="D420" t="s">
        <v>81</v>
      </c>
      <c r="E420" t="s">
        <v>1394</v>
      </c>
      <c r="F420" t="s">
        <v>1395</v>
      </c>
      <c r="G420" t="s">
        <v>23</v>
      </c>
      <c r="H420" t="s">
        <v>24</v>
      </c>
      <c r="I420" t="s">
        <v>183</v>
      </c>
      <c r="J420" t="s">
        <v>184</v>
      </c>
      <c r="K420" t="s">
        <v>51</v>
      </c>
      <c r="L420" t="s">
        <v>801</v>
      </c>
      <c r="M420" t="s">
        <v>29</v>
      </c>
      <c r="N420" t="s">
        <v>30</v>
      </c>
      <c r="O420" t="s">
        <v>802</v>
      </c>
      <c r="P420">
        <v>141.96</v>
      </c>
      <c r="Q420">
        <v>2</v>
      </c>
      <c r="R420">
        <v>39.748800000000003</v>
      </c>
      <c r="S420" t="s">
        <v>187</v>
      </c>
    </row>
    <row r="421" spans="1:19" x14ac:dyDescent="0.35">
      <c r="A421" t="s">
        <v>1638</v>
      </c>
      <c r="B421" s="1">
        <v>43003</v>
      </c>
      <c r="C421" s="1">
        <v>43007</v>
      </c>
      <c r="D421" t="s">
        <v>37</v>
      </c>
      <c r="E421" t="s">
        <v>1639</v>
      </c>
      <c r="F421" t="s">
        <v>1640</v>
      </c>
      <c r="G421" t="s">
        <v>23</v>
      </c>
      <c r="H421" t="s">
        <v>24</v>
      </c>
      <c r="I421" t="s">
        <v>885</v>
      </c>
      <c r="J421" t="s">
        <v>158</v>
      </c>
      <c r="K421" t="s">
        <v>87</v>
      </c>
      <c r="L421" t="s">
        <v>108</v>
      </c>
      <c r="M421" t="s">
        <v>29</v>
      </c>
      <c r="N421" t="s">
        <v>34</v>
      </c>
      <c r="O421" t="s">
        <v>109</v>
      </c>
      <c r="P421">
        <v>269.97000000000003</v>
      </c>
      <c r="Q421">
        <v>3</v>
      </c>
      <c r="R421">
        <v>51.2943</v>
      </c>
      <c r="S421" t="s">
        <v>72</v>
      </c>
    </row>
    <row r="422" spans="1:19" x14ac:dyDescent="0.35">
      <c r="A422" t="s">
        <v>1641</v>
      </c>
      <c r="B422" s="1">
        <v>42173</v>
      </c>
      <c r="C422" s="1">
        <v>42178</v>
      </c>
      <c r="D422" t="s">
        <v>37</v>
      </c>
      <c r="E422" t="s">
        <v>1642</v>
      </c>
      <c r="F422" t="s">
        <v>1643</v>
      </c>
      <c r="G422" t="s">
        <v>94</v>
      </c>
      <c r="H422" t="s">
        <v>24</v>
      </c>
      <c r="I422" t="s">
        <v>1370</v>
      </c>
      <c r="J422" t="s">
        <v>511</v>
      </c>
      <c r="K422" t="s">
        <v>51</v>
      </c>
      <c r="L422" t="s">
        <v>1533</v>
      </c>
      <c r="M422" t="s">
        <v>29</v>
      </c>
      <c r="N422" t="s">
        <v>53</v>
      </c>
      <c r="O422" t="s">
        <v>1534</v>
      </c>
      <c r="P422">
        <v>75.36</v>
      </c>
      <c r="Q422">
        <v>5</v>
      </c>
      <c r="R422">
        <v>20.724</v>
      </c>
      <c r="S422" t="s">
        <v>55</v>
      </c>
    </row>
    <row r="423" spans="1:19" x14ac:dyDescent="0.35">
      <c r="A423" t="s">
        <v>1644</v>
      </c>
      <c r="B423" s="1">
        <v>42196</v>
      </c>
      <c r="C423" s="1">
        <v>42198</v>
      </c>
      <c r="D423" t="s">
        <v>81</v>
      </c>
      <c r="E423" t="s">
        <v>1645</v>
      </c>
      <c r="F423" t="s">
        <v>1646</v>
      </c>
      <c r="G423" t="s">
        <v>23</v>
      </c>
      <c r="H423" t="s">
        <v>24</v>
      </c>
      <c r="I423" t="s">
        <v>61</v>
      </c>
      <c r="J423" t="s">
        <v>62</v>
      </c>
      <c r="K423" t="s">
        <v>63</v>
      </c>
      <c r="L423" t="s">
        <v>78</v>
      </c>
      <c r="M423" t="s">
        <v>29</v>
      </c>
      <c r="N423" t="s">
        <v>53</v>
      </c>
      <c r="O423" t="s">
        <v>79</v>
      </c>
      <c r="P423">
        <v>289.8</v>
      </c>
      <c r="Q423">
        <v>7</v>
      </c>
      <c r="R423">
        <v>36.225000000000001</v>
      </c>
      <c r="S423" t="s">
        <v>66</v>
      </c>
    </row>
    <row r="424" spans="1:19" x14ac:dyDescent="0.35">
      <c r="A424" t="s">
        <v>1644</v>
      </c>
      <c r="B424" s="1">
        <v>42196</v>
      </c>
      <c r="C424" s="1">
        <v>42198</v>
      </c>
      <c r="D424" t="s">
        <v>81</v>
      </c>
      <c r="E424" t="s">
        <v>1645</v>
      </c>
      <c r="F424" t="s">
        <v>1646</v>
      </c>
      <c r="G424" t="s">
        <v>23</v>
      </c>
      <c r="H424" t="s">
        <v>24</v>
      </c>
      <c r="I424" t="s">
        <v>61</v>
      </c>
      <c r="J424" t="s">
        <v>62</v>
      </c>
      <c r="K424" t="s">
        <v>63</v>
      </c>
      <c r="L424" t="s">
        <v>1647</v>
      </c>
      <c r="M424" t="s">
        <v>29</v>
      </c>
      <c r="N424" t="s">
        <v>34</v>
      </c>
      <c r="O424" t="s">
        <v>1648</v>
      </c>
      <c r="P424">
        <v>341.488</v>
      </c>
      <c r="Q424">
        <v>8</v>
      </c>
      <c r="R424">
        <v>-73.176000000000002</v>
      </c>
      <c r="S424" t="s">
        <v>66</v>
      </c>
    </row>
    <row r="425" spans="1:19" x14ac:dyDescent="0.35">
      <c r="A425" t="s">
        <v>1644</v>
      </c>
      <c r="B425" s="1">
        <v>42196</v>
      </c>
      <c r="C425" s="1">
        <v>42198</v>
      </c>
      <c r="D425" t="s">
        <v>81</v>
      </c>
      <c r="E425" t="s">
        <v>1645</v>
      </c>
      <c r="F425" t="s">
        <v>1646</v>
      </c>
      <c r="G425" t="s">
        <v>23</v>
      </c>
      <c r="H425" t="s">
        <v>24</v>
      </c>
      <c r="I425" t="s">
        <v>61</v>
      </c>
      <c r="J425" t="s">
        <v>62</v>
      </c>
      <c r="K425" t="s">
        <v>63</v>
      </c>
      <c r="L425" t="s">
        <v>1649</v>
      </c>
      <c r="M425" t="s">
        <v>29</v>
      </c>
      <c r="N425" t="s">
        <v>53</v>
      </c>
      <c r="O425" t="s">
        <v>1650</v>
      </c>
      <c r="P425">
        <v>25.344000000000001</v>
      </c>
      <c r="Q425">
        <v>6</v>
      </c>
      <c r="R425">
        <v>3.4847999999999999</v>
      </c>
      <c r="S425" t="s">
        <v>66</v>
      </c>
    </row>
    <row r="426" spans="1:19" x14ac:dyDescent="0.35">
      <c r="A426" t="s">
        <v>1651</v>
      </c>
      <c r="B426" s="1">
        <v>42705</v>
      </c>
      <c r="C426" s="1">
        <v>42711</v>
      </c>
      <c r="D426" t="s">
        <v>37</v>
      </c>
      <c r="E426" t="s">
        <v>1652</v>
      </c>
      <c r="F426" t="s">
        <v>1653</v>
      </c>
      <c r="G426" t="s">
        <v>23</v>
      </c>
      <c r="H426" t="s">
        <v>24</v>
      </c>
      <c r="I426" t="s">
        <v>626</v>
      </c>
      <c r="J426" t="s">
        <v>104</v>
      </c>
      <c r="K426" t="s">
        <v>87</v>
      </c>
      <c r="L426" t="s">
        <v>1487</v>
      </c>
      <c r="M426" t="s">
        <v>29</v>
      </c>
      <c r="N426" t="s">
        <v>53</v>
      </c>
      <c r="O426" t="s">
        <v>1488</v>
      </c>
      <c r="P426">
        <v>17.309999999999999</v>
      </c>
      <c r="Q426">
        <v>3</v>
      </c>
      <c r="R426">
        <v>5.1929999999999996</v>
      </c>
      <c r="S426" t="s">
        <v>90</v>
      </c>
    </row>
    <row r="427" spans="1:19" x14ac:dyDescent="0.35">
      <c r="A427" t="s">
        <v>1654</v>
      </c>
      <c r="B427" s="1">
        <v>43091</v>
      </c>
      <c r="C427" s="1">
        <v>43094</v>
      </c>
      <c r="D427" t="s">
        <v>81</v>
      </c>
      <c r="E427" t="s">
        <v>1655</v>
      </c>
      <c r="F427" t="s">
        <v>1656</v>
      </c>
      <c r="G427" t="s">
        <v>23</v>
      </c>
      <c r="H427" t="s">
        <v>24</v>
      </c>
      <c r="I427" t="s">
        <v>280</v>
      </c>
      <c r="J427" t="s">
        <v>281</v>
      </c>
      <c r="K427" t="s">
        <v>87</v>
      </c>
      <c r="L427" t="s">
        <v>796</v>
      </c>
      <c r="M427" t="s">
        <v>29</v>
      </c>
      <c r="N427" t="s">
        <v>34</v>
      </c>
      <c r="O427" t="s">
        <v>797</v>
      </c>
      <c r="P427">
        <v>1586.69</v>
      </c>
      <c r="Q427">
        <v>7</v>
      </c>
      <c r="R427">
        <v>412.5394</v>
      </c>
      <c r="S427" t="s">
        <v>90</v>
      </c>
    </row>
    <row r="428" spans="1:19" x14ac:dyDescent="0.35">
      <c r="A428" t="s">
        <v>1654</v>
      </c>
      <c r="B428" s="1">
        <v>43091</v>
      </c>
      <c r="C428" s="1">
        <v>43094</v>
      </c>
      <c r="D428" t="s">
        <v>81</v>
      </c>
      <c r="E428" t="s">
        <v>1655</v>
      </c>
      <c r="F428" t="s">
        <v>1656</v>
      </c>
      <c r="G428" t="s">
        <v>23</v>
      </c>
      <c r="H428" t="s">
        <v>24</v>
      </c>
      <c r="I428" t="s">
        <v>280</v>
      </c>
      <c r="J428" t="s">
        <v>281</v>
      </c>
      <c r="K428" t="s">
        <v>87</v>
      </c>
      <c r="L428" t="s">
        <v>204</v>
      </c>
      <c r="M428" t="s">
        <v>29</v>
      </c>
      <c r="N428" t="s">
        <v>43</v>
      </c>
      <c r="O428" t="s">
        <v>205</v>
      </c>
      <c r="P428">
        <v>411.8</v>
      </c>
      <c r="Q428">
        <v>2</v>
      </c>
      <c r="R428">
        <v>70.006</v>
      </c>
      <c r="S428" t="s">
        <v>90</v>
      </c>
    </row>
    <row r="429" spans="1:19" x14ac:dyDescent="0.35">
      <c r="A429" t="s">
        <v>1657</v>
      </c>
      <c r="B429" s="1">
        <v>41943</v>
      </c>
      <c r="C429" s="1">
        <v>41947</v>
      </c>
      <c r="D429" t="s">
        <v>37</v>
      </c>
      <c r="E429" t="s">
        <v>1658</v>
      </c>
      <c r="F429" t="s">
        <v>1659</v>
      </c>
      <c r="G429" t="s">
        <v>84</v>
      </c>
      <c r="H429" t="s">
        <v>24</v>
      </c>
      <c r="I429" t="s">
        <v>49</v>
      </c>
      <c r="J429" t="s">
        <v>50</v>
      </c>
      <c r="K429" t="s">
        <v>51</v>
      </c>
      <c r="L429" t="s">
        <v>1647</v>
      </c>
      <c r="M429" t="s">
        <v>29</v>
      </c>
      <c r="N429" t="s">
        <v>34</v>
      </c>
      <c r="O429" t="s">
        <v>1648</v>
      </c>
      <c r="P429">
        <v>146.352</v>
      </c>
      <c r="Q429">
        <v>3</v>
      </c>
      <c r="R429">
        <v>-9.1470000000000002</v>
      </c>
      <c r="S429" t="s">
        <v>45</v>
      </c>
    </row>
    <row r="430" spans="1:19" x14ac:dyDescent="0.35">
      <c r="A430" t="s">
        <v>1660</v>
      </c>
      <c r="B430" s="1">
        <v>42107</v>
      </c>
      <c r="C430" s="1">
        <v>42113</v>
      </c>
      <c r="D430" t="s">
        <v>37</v>
      </c>
      <c r="E430" t="s">
        <v>834</v>
      </c>
      <c r="F430" t="s">
        <v>835</v>
      </c>
      <c r="G430" t="s">
        <v>23</v>
      </c>
      <c r="H430" t="s">
        <v>24</v>
      </c>
      <c r="I430" t="s">
        <v>1661</v>
      </c>
      <c r="J430" t="s">
        <v>50</v>
      </c>
      <c r="K430" t="s">
        <v>51</v>
      </c>
      <c r="L430" t="s">
        <v>1662</v>
      </c>
      <c r="M430" t="s">
        <v>29</v>
      </c>
      <c r="N430" t="s">
        <v>43</v>
      </c>
      <c r="O430" t="s">
        <v>1663</v>
      </c>
      <c r="P430">
        <v>710.83199999999999</v>
      </c>
      <c r="Q430">
        <v>3</v>
      </c>
      <c r="R430">
        <v>-97.739400000000003</v>
      </c>
      <c r="S430" t="s">
        <v>107</v>
      </c>
    </row>
    <row r="431" spans="1:19" x14ac:dyDescent="0.35">
      <c r="A431" t="s">
        <v>1664</v>
      </c>
      <c r="B431" s="1">
        <v>43059</v>
      </c>
      <c r="C431" s="1">
        <v>43064</v>
      </c>
      <c r="D431" t="s">
        <v>37</v>
      </c>
      <c r="E431" t="s">
        <v>1665</v>
      </c>
      <c r="F431" t="s">
        <v>1666</v>
      </c>
      <c r="G431" t="s">
        <v>23</v>
      </c>
      <c r="H431" t="s">
        <v>24</v>
      </c>
      <c r="I431" t="s">
        <v>1667</v>
      </c>
      <c r="J431" t="s">
        <v>50</v>
      </c>
      <c r="K431" t="s">
        <v>51</v>
      </c>
      <c r="L431" t="s">
        <v>449</v>
      </c>
      <c r="M431" t="s">
        <v>29</v>
      </c>
      <c r="N431" t="s">
        <v>34</v>
      </c>
      <c r="O431" t="s">
        <v>450</v>
      </c>
      <c r="P431">
        <v>283.92</v>
      </c>
      <c r="Q431">
        <v>5</v>
      </c>
      <c r="R431">
        <v>-46.137</v>
      </c>
      <c r="S431" t="s">
        <v>32</v>
      </c>
    </row>
    <row r="432" spans="1:19" x14ac:dyDescent="0.35">
      <c r="A432" t="s">
        <v>1668</v>
      </c>
      <c r="B432" s="1">
        <v>41974</v>
      </c>
      <c r="C432" s="1">
        <v>41978</v>
      </c>
      <c r="D432" t="s">
        <v>37</v>
      </c>
      <c r="E432" t="s">
        <v>1669</v>
      </c>
      <c r="F432" t="s">
        <v>1670</v>
      </c>
      <c r="G432" t="s">
        <v>23</v>
      </c>
      <c r="H432" t="s">
        <v>24</v>
      </c>
      <c r="I432" t="s">
        <v>320</v>
      </c>
      <c r="J432" t="s">
        <v>50</v>
      </c>
      <c r="K432" t="s">
        <v>51</v>
      </c>
      <c r="L432" t="s">
        <v>355</v>
      </c>
      <c r="M432" t="s">
        <v>29</v>
      </c>
      <c r="N432" t="s">
        <v>53</v>
      </c>
      <c r="O432" t="s">
        <v>356</v>
      </c>
      <c r="P432">
        <v>58.2</v>
      </c>
      <c r="Q432">
        <v>3</v>
      </c>
      <c r="R432">
        <v>28.518000000000001</v>
      </c>
      <c r="S432" t="s">
        <v>90</v>
      </c>
    </row>
    <row r="433" spans="1:19" x14ac:dyDescent="0.35">
      <c r="A433" t="s">
        <v>1671</v>
      </c>
      <c r="B433" s="1">
        <v>42362</v>
      </c>
      <c r="C433" s="1">
        <v>42367</v>
      </c>
      <c r="D433" t="s">
        <v>37</v>
      </c>
      <c r="E433" t="s">
        <v>1672</v>
      </c>
      <c r="F433" t="s">
        <v>1673</v>
      </c>
      <c r="G433" t="s">
        <v>23</v>
      </c>
      <c r="H433" t="s">
        <v>24</v>
      </c>
      <c r="I433" t="s">
        <v>510</v>
      </c>
      <c r="J433" t="s">
        <v>511</v>
      </c>
      <c r="K433" t="s">
        <v>51</v>
      </c>
      <c r="L433" t="s">
        <v>950</v>
      </c>
      <c r="M433" t="s">
        <v>29</v>
      </c>
      <c r="N433" t="s">
        <v>53</v>
      </c>
      <c r="O433" t="s">
        <v>951</v>
      </c>
      <c r="P433">
        <v>7.7119999999999997</v>
      </c>
      <c r="Q433">
        <v>2</v>
      </c>
      <c r="R433">
        <v>1.7352000000000001</v>
      </c>
      <c r="S433" t="s">
        <v>90</v>
      </c>
    </row>
    <row r="434" spans="1:19" x14ac:dyDescent="0.35">
      <c r="A434" t="s">
        <v>1674</v>
      </c>
      <c r="B434" s="1">
        <v>42931</v>
      </c>
      <c r="C434" s="1">
        <v>42935</v>
      </c>
      <c r="D434" t="s">
        <v>37</v>
      </c>
      <c r="E434" t="s">
        <v>1675</v>
      </c>
      <c r="F434" t="s">
        <v>1676</v>
      </c>
      <c r="G434" t="s">
        <v>23</v>
      </c>
      <c r="H434" t="s">
        <v>24</v>
      </c>
      <c r="I434" t="s">
        <v>191</v>
      </c>
      <c r="J434" t="s">
        <v>192</v>
      </c>
      <c r="K434" t="s">
        <v>63</v>
      </c>
      <c r="L434" t="s">
        <v>1456</v>
      </c>
      <c r="M434" t="s">
        <v>29</v>
      </c>
      <c r="N434" t="s">
        <v>43</v>
      </c>
      <c r="O434" t="s">
        <v>1457</v>
      </c>
      <c r="P434">
        <v>310.44299999999998</v>
      </c>
      <c r="Q434">
        <v>3</v>
      </c>
      <c r="R434">
        <v>-48.783900000000003</v>
      </c>
      <c r="S434" t="s">
        <v>66</v>
      </c>
    </row>
    <row r="435" spans="1:19" x14ac:dyDescent="0.35">
      <c r="A435" t="s">
        <v>1677</v>
      </c>
      <c r="B435" s="1">
        <v>41960</v>
      </c>
      <c r="C435" s="1">
        <v>41964</v>
      </c>
      <c r="D435" t="s">
        <v>37</v>
      </c>
      <c r="E435" t="s">
        <v>250</v>
      </c>
      <c r="F435" t="s">
        <v>251</v>
      </c>
      <c r="G435" t="s">
        <v>94</v>
      </c>
      <c r="H435" t="s">
        <v>24</v>
      </c>
      <c r="I435" t="s">
        <v>1678</v>
      </c>
      <c r="J435" t="s">
        <v>158</v>
      </c>
      <c r="K435" t="s">
        <v>87</v>
      </c>
      <c r="L435" t="s">
        <v>1270</v>
      </c>
      <c r="M435" t="s">
        <v>29</v>
      </c>
      <c r="N435" t="s">
        <v>34</v>
      </c>
      <c r="O435" t="s">
        <v>1271</v>
      </c>
      <c r="P435">
        <v>479.9</v>
      </c>
      <c r="Q435">
        <v>5</v>
      </c>
      <c r="R435">
        <v>81.582999999999998</v>
      </c>
      <c r="S435" t="s">
        <v>32</v>
      </c>
    </row>
    <row r="436" spans="1:19" x14ac:dyDescent="0.35">
      <c r="A436" t="s">
        <v>1679</v>
      </c>
      <c r="B436" s="1">
        <v>41838</v>
      </c>
      <c r="C436" s="1">
        <v>41838</v>
      </c>
      <c r="D436" t="s">
        <v>417</v>
      </c>
      <c r="E436" t="s">
        <v>1680</v>
      </c>
      <c r="F436" t="s">
        <v>1681</v>
      </c>
      <c r="G436" t="s">
        <v>94</v>
      </c>
      <c r="H436" t="s">
        <v>24</v>
      </c>
      <c r="I436" t="s">
        <v>1213</v>
      </c>
      <c r="J436" t="s">
        <v>511</v>
      </c>
      <c r="K436" t="s">
        <v>51</v>
      </c>
      <c r="L436" t="s">
        <v>486</v>
      </c>
      <c r="M436" t="s">
        <v>29</v>
      </c>
      <c r="N436" t="s">
        <v>34</v>
      </c>
      <c r="O436" t="s">
        <v>487</v>
      </c>
      <c r="P436">
        <v>259.13600000000002</v>
      </c>
      <c r="Q436">
        <v>4</v>
      </c>
      <c r="R436">
        <v>-25.913599999999999</v>
      </c>
      <c r="S436" t="s">
        <v>66</v>
      </c>
    </row>
    <row r="437" spans="1:19" x14ac:dyDescent="0.35">
      <c r="A437" t="s">
        <v>1682</v>
      </c>
      <c r="B437" s="1">
        <v>42308</v>
      </c>
      <c r="C437" s="1">
        <v>42308</v>
      </c>
      <c r="D437" t="s">
        <v>417</v>
      </c>
      <c r="E437" t="s">
        <v>1683</v>
      </c>
      <c r="F437" t="s">
        <v>1684</v>
      </c>
      <c r="G437" t="s">
        <v>23</v>
      </c>
      <c r="H437" t="s">
        <v>24</v>
      </c>
      <c r="I437" t="s">
        <v>1685</v>
      </c>
      <c r="J437" t="s">
        <v>50</v>
      </c>
      <c r="K437" t="s">
        <v>51</v>
      </c>
      <c r="L437" t="s">
        <v>98</v>
      </c>
      <c r="M437" t="s">
        <v>29</v>
      </c>
      <c r="N437" t="s">
        <v>34</v>
      </c>
      <c r="O437" t="s">
        <v>99</v>
      </c>
      <c r="P437">
        <v>323.13600000000002</v>
      </c>
      <c r="Q437">
        <v>4</v>
      </c>
      <c r="R437">
        <v>20.196000000000002</v>
      </c>
      <c r="S437" t="s">
        <v>45</v>
      </c>
    </row>
    <row r="438" spans="1:19" x14ac:dyDescent="0.35">
      <c r="A438" t="s">
        <v>1682</v>
      </c>
      <c r="B438" s="1">
        <v>42308</v>
      </c>
      <c r="C438" s="1">
        <v>42308</v>
      </c>
      <c r="D438" t="s">
        <v>417</v>
      </c>
      <c r="E438" t="s">
        <v>1683</v>
      </c>
      <c r="F438" t="s">
        <v>1684</v>
      </c>
      <c r="G438" t="s">
        <v>23</v>
      </c>
      <c r="H438" t="s">
        <v>24</v>
      </c>
      <c r="I438" t="s">
        <v>1685</v>
      </c>
      <c r="J438" t="s">
        <v>50</v>
      </c>
      <c r="K438" t="s">
        <v>51</v>
      </c>
      <c r="L438" t="s">
        <v>1686</v>
      </c>
      <c r="M438" t="s">
        <v>29</v>
      </c>
      <c r="N438" t="s">
        <v>30</v>
      </c>
      <c r="O438" t="s">
        <v>1687</v>
      </c>
      <c r="P438">
        <v>425.83300000000003</v>
      </c>
      <c r="Q438">
        <v>1</v>
      </c>
      <c r="R438">
        <v>20.039200000000001</v>
      </c>
      <c r="S438" t="s">
        <v>45</v>
      </c>
    </row>
    <row r="439" spans="1:19" x14ac:dyDescent="0.35">
      <c r="A439" t="s">
        <v>1688</v>
      </c>
      <c r="B439" s="1">
        <v>42289</v>
      </c>
      <c r="C439" s="1">
        <v>42294</v>
      </c>
      <c r="D439" t="s">
        <v>20</v>
      </c>
      <c r="E439" t="s">
        <v>1689</v>
      </c>
      <c r="F439" t="s">
        <v>1690</v>
      </c>
      <c r="G439" t="s">
        <v>23</v>
      </c>
      <c r="H439" t="s">
        <v>24</v>
      </c>
      <c r="I439" t="s">
        <v>885</v>
      </c>
      <c r="J439" t="s">
        <v>114</v>
      </c>
      <c r="K439" t="s">
        <v>63</v>
      </c>
      <c r="L439" t="s">
        <v>1452</v>
      </c>
      <c r="M439" t="s">
        <v>29</v>
      </c>
      <c r="N439" t="s">
        <v>43</v>
      </c>
      <c r="O439" t="s">
        <v>1453</v>
      </c>
      <c r="P439">
        <v>209.67</v>
      </c>
      <c r="Q439">
        <v>1</v>
      </c>
      <c r="R439">
        <v>-13.978</v>
      </c>
      <c r="S439" t="s">
        <v>45</v>
      </c>
    </row>
    <row r="440" spans="1:19" x14ac:dyDescent="0.35">
      <c r="A440" t="s">
        <v>1691</v>
      </c>
      <c r="B440" s="1">
        <v>43048</v>
      </c>
      <c r="C440" s="1">
        <v>43050</v>
      </c>
      <c r="D440" t="s">
        <v>81</v>
      </c>
      <c r="E440" t="s">
        <v>1692</v>
      </c>
      <c r="F440" t="s">
        <v>1693</v>
      </c>
      <c r="G440" t="s">
        <v>84</v>
      </c>
      <c r="H440" t="s">
        <v>24</v>
      </c>
      <c r="I440" t="s">
        <v>1694</v>
      </c>
      <c r="J440" t="s">
        <v>50</v>
      </c>
      <c r="K440" t="s">
        <v>51</v>
      </c>
      <c r="L440" t="s">
        <v>108</v>
      </c>
      <c r="M440" t="s">
        <v>29</v>
      </c>
      <c r="N440" t="s">
        <v>34</v>
      </c>
      <c r="O440" t="s">
        <v>109</v>
      </c>
      <c r="P440">
        <v>215.976</v>
      </c>
      <c r="Q440">
        <v>3</v>
      </c>
      <c r="R440">
        <v>-2.6997</v>
      </c>
      <c r="S440" t="s">
        <v>32</v>
      </c>
    </row>
    <row r="441" spans="1:19" x14ac:dyDescent="0.35">
      <c r="A441" t="s">
        <v>1695</v>
      </c>
      <c r="B441" s="1">
        <v>43000</v>
      </c>
      <c r="C441" s="1">
        <v>43002</v>
      </c>
      <c r="D441" t="s">
        <v>20</v>
      </c>
      <c r="E441" t="s">
        <v>1696</v>
      </c>
      <c r="F441" t="s">
        <v>1697</v>
      </c>
      <c r="G441" t="s">
        <v>94</v>
      </c>
      <c r="H441" t="s">
        <v>24</v>
      </c>
      <c r="I441" t="s">
        <v>1698</v>
      </c>
      <c r="J441" t="s">
        <v>281</v>
      </c>
      <c r="K441" t="s">
        <v>87</v>
      </c>
      <c r="L441" t="s">
        <v>447</v>
      </c>
      <c r="M441" t="s">
        <v>29</v>
      </c>
      <c r="N441" t="s">
        <v>30</v>
      </c>
      <c r="O441" t="s">
        <v>448</v>
      </c>
      <c r="P441">
        <v>241.96</v>
      </c>
      <c r="Q441">
        <v>2</v>
      </c>
      <c r="R441">
        <v>41.133200000000002</v>
      </c>
      <c r="S441" t="s">
        <v>72</v>
      </c>
    </row>
    <row r="442" spans="1:19" x14ac:dyDescent="0.35">
      <c r="A442" t="s">
        <v>1699</v>
      </c>
      <c r="B442" s="1">
        <v>42281</v>
      </c>
      <c r="C442" s="1">
        <v>42286</v>
      </c>
      <c r="D442" t="s">
        <v>37</v>
      </c>
      <c r="E442" t="s">
        <v>1228</v>
      </c>
      <c r="F442" t="s">
        <v>1229</v>
      </c>
      <c r="G442" t="s">
        <v>94</v>
      </c>
      <c r="H442" t="s">
        <v>24</v>
      </c>
      <c r="I442" t="s">
        <v>61</v>
      </c>
      <c r="J442" t="s">
        <v>62</v>
      </c>
      <c r="K442" t="s">
        <v>63</v>
      </c>
      <c r="L442" t="s">
        <v>1700</v>
      </c>
      <c r="M442" t="s">
        <v>29</v>
      </c>
      <c r="N442" t="s">
        <v>53</v>
      </c>
      <c r="O442" t="s">
        <v>1701</v>
      </c>
      <c r="P442">
        <v>64.944000000000003</v>
      </c>
      <c r="Q442">
        <v>3</v>
      </c>
      <c r="R442">
        <v>6.4943999999999997</v>
      </c>
      <c r="S442" t="s">
        <v>45</v>
      </c>
    </row>
    <row r="443" spans="1:19" x14ac:dyDescent="0.35">
      <c r="A443" t="s">
        <v>1702</v>
      </c>
      <c r="B443" s="1">
        <v>41779</v>
      </c>
      <c r="C443" s="1">
        <v>41781</v>
      </c>
      <c r="D443" t="s">
        <v>20</v>
      </c>
      <c r="E443" t="s">
        <v>1703</v>
      </c>
      <c r="F443" t="s">
        <v>1704</v>
      </c>
      <c r="G443" t="s">
        <v>84</v>
      </c>
      <c r="H443" t="s">
        <v>24</v>
      </c>
      <c r="I443" t="s">
        <v>732</v>
      </c>
      <c r="J443" t="s">
        <v>875</v>
      </c>
      <c r="K443" t="s">
        <v>63</v>
      </c>
      <c r="L443" t="s">
        <v>1112</v>
      </c>
      <c r="M443" t="s">
        <v>29</v>
      </c>
      <c r="N443" t="s">
        <v>53</v>
      </c>
      <c r="O443" t="s">
        <v>1113</v>
      </c>
      <c r="P443">
        <v>139.86000000000001</v>
      </c>
      <c r="Q443">
        <v>7</v>
      </c>
      <c r="R443">
        <v>60.139800000000001</v>
      </c>
      <c r="S443" t="s">
        <v>153</v>
      </c>
    </row>
    <row r="444" spans="1:19" x14ac:dyDescent="0.35">
      <c r="A444" t="s">
        <v>1705</v>
      </c>
      <c r="B444" s="1">
        <v>42369</v>
      </c>
      <c r="C444" s="1">
        <v>42374</v>
      </c>
      <c r="D444" t="s">
        <v>37</v>
      </c>
      <c r="E444" t="s">
        <v>1706</v>
      </c>
      <c r="F444" t="s">
        <v>1707</v>
      </c>
      <c r="G444" t="s">
        <v>23</v>
      </c>
      <c r="H444" t="s">
        <v>24</v>
      </c>
      <c r="I444" t="s">
        <v>1708</v>
      </c>
      <c r="J444" t="s">
        <v>86</v>
      </c>
      <c r="K444" t="s">
        <v>87</v>
      </c>
      <c r="L444" t="s">
        <v>1709</v>
      </c>
      <c r="M444" t="s">
        <v>29</v>
      </c>
      <c r="N444" t="s">
        <v>53</v>
      </c>
      <c r="O444" t="s">
        <v>1710</v>
      </c>
      <c r="P444">
        <v>14.76</v>
      </c>
      <c r="Q444">
        <v>5</v>
      </c>
      <c r="R444">
        <v>-11.439</v>
      </c>
      <c r="S444" t="s">
        <v>90</v>
      </c>
    </row>
    <row r="445" spans="1:19" x14ac:dyDescent="0.35">
      <c r="A445" t="s">
        <v>1711</v>
      </c>
      <c r="B445" s="1">
        <v>41796</v>
      </c>
      <c r="C445" s="1">
        <v>41801</v>
      </c>
      <c r="D445" t="s">
        <v>37</v>
      </c>
      <c r="E445" t="s">
        <v>1712</v>
      </c>
      <c r="F445" t="s">
        <v>1713</v>
      </c>
      <c r="G445" t="s">
        <v>84</v>
      </c>
      <c r="H445" t="s">
        <v>24</v>
      </c>
      <c r="I445" t="s">
        <v>721</v>
      </c>
      <c r="J445" t="s">
        <v>114</v>
      </c>
      <c r="K445" t="s">
        <v>63</v>
      </c>
      <c r="L445" t="s">
        <v>1714</v>
      </c>
      <c r="M445" t="s">
        <v>29</v>
      </c>
      <c r="N445" t="s">
        <v>43</v>
      </c>
      <c r="O445" t="s">
        <v>1715</v>
      </c>
      <c r="P445">
        <v>991.76400000000001</v>
      </c>
      <c r="Q445">
        <v>3</v>
      </c>
      <c r="R445">
        <v>-347.11739999999998</v>
      </c>
      <c r="S445" t="s">
        <v>55</v>
      </c>
    </row>
    <row r="446" spans="1:19" x14ac:dyDescent="0.35">
      <c r="A446" t="s">
        <v>1716</v>
      </c>
      <c r="B446" s="1">
        <v>42546</v>
      </c>
      <c r="C446" s="1">
        <v>42550</v>
      </c>
      <c r="D446" t="s">
        <v>37</v>
      </c>
      <c r="E446" t="s">
        <v>1717</v>
      </c>
      <c r="F446" t="s">
        <v>1718</v>
      </c>
      <c r="G446" t="s">
        <v>84</v>
      </c>
      <c r="H446" t="s">
        <v>24</v>
      </c>
      <c r="I446" t="s">
        <v>1719</v>
      </c>
      <c r="J446" t="s">
        <v>62</v>
      </c>
      <c r="K446" t="s">
        <v>63</v>
      </c>
      <c r="L446" t="s">
        <v>321</v>
      </c>
      <c r="M446" t="s">
        <v>29</v>
      </c>
      <c r="N446" t="s">
        <v>34</v>
      </c>
      <c r="O446" t="s">
        <v>322</v>
      </c>
      <c r="P446">
        <v>422.05799999999999</v>
      </c>
      <c r="Q446">
        <v>3</v>
      </c>
      <c r="R446">
        <v>-18.088200000000001</v>
      </c>
      <c r="S446" t="s">
        <v>55</v>
      </c>
    </row>
    <row r="447" spans="1:19" x14ac:dyDescent="0.35">
      <c r="A447" t="s">
        <v>1720</v>
      </c>
      <c r="B447" s="1">
        <v>41985</v>
      </c>
      <c r="C447" s="1">
        <v>41990</v>
      </c>
      <c r="D447" t="s">
        <v>37</v>
      </c>
      <c r="E447" t="s">
        <v>1721</v>
      </c>
      <c r="F447" t="s">
        <v>1722</v>
      </c>
      <c r="G447" t="s">
        <v>23</v>
      </c>
      <c r="H447" t="s">
        <v>24</v>
      </c>
      <c r="I447" t="s">
        <v>500</v>
      </c>
      <c r="J447" t="s">
        <v>50</v>
      </c>
      <c r="K447" t="s">
        <v>51</v>
      </c>
      <c r="L447" t="s">
        <v>981</v>
      </c>
      <c r="M447" t="s">
        <v>29</v>
      </c>
      <c r="N447" t="s">
        <v>53</v>
      </c>
      <c r="O447" t="s">
        <v>982</v>
      </c>
      <c r="P447">
        <v>43.31</v>
      </c>
      <c r="Q447">
        <v>1</v>
      </c>
      <c r="R447">
        <v>4.3310000000000004</v>
      </c>
      <c r="S447" t="s">
        <v>90</v>
      </c>
    </row>
    <row r="448" spans="1:19" x14ac:dyDescent="0.35">
      <c r="A448" t="s">
        <v>1723</v>
      </c>
      <c r="B448" s="1">
        <v>43058</v>
      </c>
      <c r="C448" s="1">
        <v>43065</v>
      </c>
      <c r="D448" t="s">
        <v>37</v>
      </c>
      <c r="E448" t="s">
        <v>1724</v>
      </c>
      <c r="F448" t="s">
        <v>1725</v>
      </c>
      <c r="G448" t="s">
        <v>23</v>
      </c>
      <c r="H448" t="s">
        <v>24</v>
      </c>
      <c r="I448" t="s">
        <v>1726</v>
      </c>
      <c r="J448" t="s">
        <v>86</v>
      </c>
      <c r="K448" t="s">
        <v>87</v>
      </c>
      <c r="L448" t="s">
        <v>1155</v>
      </c>
      <c r="M448" t="s">
        <v>29</v>
      </c>
      <c r="N448" t="s">
        <v>34</v>
      </c>
      <c r="O448" t="s">
        <v>1156</v>
      </c>
      <c r="P448">
        <v>233.05799999999999</v>
      </c>
      <c r="Q448">
        <v>3</v>
      </c>
      <c r="R448">
        <v>-53.270400000000002</v>
      </c>
      <c r="S448" t="s">
        <v>32</v>
      </c>
    </row>
    <row r="449" spans="1:19" x14ac:dyDescent="0.35">
      <c r="A449" t="s">
        <v>1727</v>
      </c>
      <c r="B449" s="1">
        <v>42490</v>
      </c>
      <c r="C449" s="1">
        <v>42495</v>
      </c>
      <c r="D449" t="s">
        <v>37</v>
      </c>
      <c r="E449" t="s">
        <v>1728</v>
      </c>
      <c r="F449" t="s">
        <v>1729</v>
      </c>
      <c r="G449" t="s">
        <v>94</v>
      </c>
      <c r="H449" t="s">
        <v>24</v>
      </c>
      <c r="I449" t="s">
        <v>1730</v>
      </c>
      <c r="J449" t="s">
        <v>86</v>
      </c>
      <c r="K449" t="s">
        <v>87</v>
      </c>
      <c r="L449" t="s">
        <v>1533</v>
      </c>
      <c r="M449" t="s">
        <v>29</v>
      </c>
      <c r="N449" t="s">
        <v>53</v>
      </c>
      <c r="O449" t="s">
        <v>1534</v>
      </c>
      <c r="P449">
        <v>22.608000000000001</v>
      </c>
      <c r="Q449">
        <v>3</v>
      </c>
      <c r="R449">
        <v>-10.1736</v>
      </c>
      <c r="S449" t="s">
        <v>107</v>
      </c>
    </row>
    <row r="450" spans="1:19" x14ac:dyDescent="0.35">
      <c r="A450" t="s">
        <v>1731</v>
      </c>
      <c r="B450" s="1">
        <v>42504</v>
      </c>
      <c r="C450" s="1">
        <v>42504</v>
      </c>
      <c r="D450" t="s">
        <v>417</v>
      </c>
      <c r="E450" t="s">
        <v>318</v>
      </c>
      <c r="F450" t="s">
        <v>319</v>
      </c>
      <c r="G450" t="s">
        <v>23</v>
      </c>
      <c r="H450" t="s">
        <v>24</v>
      </c>
      <c r="I450" t="s">
        <v>1732</v>
      </c>
      <c r="J450" t="s">
        <v>223</v>
      </c>
      <c r="K450" t="s">
        <v>63</v>
      </c>
      <c r="L450" t="s">
        <v>1391</v>
      </c>
      <c r="M450" t="s">
        <v>29</v>
      </c>
      <c r="N450" t="s">
        <v>53</v>
      </c>
      <c r="O450" t="s">
        <v>1392</v>
      </c>
      <c r="P450">
        <v>79.384</v>
      </c>
      <c r="Q450">
        <v>1</v>
      </c>
      <c r="R450">
        <v>29.768999999999998</v>
      </c>
      <c r="S450" t="s">
        <v>153</v>
      </c>
    </row>
    <row r="451" spans="1:19" x14ac:dyDescent="0.35">
      <c r="A451" t="s">
        <v>1733</v>
      </c>
      <c r="B451" s="1">
        <v>42656</v>
      </c>
      <c r="C451" s="1">
        <v>42662</v>
      </c>
      <c r="D451" t="s">
        <v>37</v>
      </c>
      <c r="E451" t="s">
        <v>327</v>
      </c>
      <c r="F451" t="s">
        <v>328</v>
      </c>
      <c r="G451" t="s">
        <v>23</v>
      </c>
      <c r="H451" t="s">
        <v>24</v>
      </c>
      <c r="I451" t="s">
        <v>1734</v>
      </c>
      <c r="J451" t="s">
        <v>86</v>
      </c>
      <c r="K451" t="s">
        <v>87</v>
      </c>
      <c r="L451" t="s">
        <v>716</v>
      </c>
      <c r="M451" t="s">
        <v>29</v>
      </c>
      <c r="N451" t="s">
        <v>53</v>
      </c>
      <c r="O451" t="s">
        <v>717</v>
      </c>
      <c r="P451">
        <v>139.91999999999999</v>
      </c>
      <c r="Q451">
        <v>5</v>
      </c>
      <c r="R451">
        <v>-150.41399999999999</v>
      </c>
      <c r="S451" t="s">
        <v>45</v>
      </c>
    </row>
    <row r="452" spans="1:19" x14ac:dyDescent="0.35">
      <c r="A452" t="s">
        <v>1735</v>
      </c>
      <c r="B452" s="1">
        <v>43058</v>
      </c>
      <c r="C452" s="1">
        <v>43064</v>
      </c>
      <c r="D452" t="s">
        <v>37</v>
      </c>
      <c r="E452" t="s">
        <v>1288</v>
      </c>
      <c r="F452" t="s">
        <v>1289</v>
      </c>
      <c r="G452" t="s">
        <v>84</v>
      </c>
      <c r="H452" t="s">
        <v>24</v>
      </c>
      <c r="I452" t="s">
        <v>1736</v>
      </c>
      <c r="J452" t="s">
        <v>86</v>
      </c>
      <c r="K452" t="s">
        <v>87</v>
      </c>
      <c r="L452" t="s">
        <v>807</v>
      </c>
      <c r="M452" t="s">
        <v>29</v>
      </c>
      <c r="N452" t="s">
        <v>34</v>
      </c>
      <c r="O452" t="s">
        <v>808</v>
      </c>
      <c r="P452">
        <v>305.31200000000001</v>
      </c>
      <c r="Q452">
        <v>2</v>
      </c>
      <c r="R452">
        <v>-8.7232000000000003</v>
      </c>
      <c r="S452" t="s">
        <v>32</v>
      </c>
    </row>
    <row r="453" spans="1:19" x14ac:dyDescent="0.35">
      <c r="A453" t="s">
        <v>1737</v>
      </c>
      <c r="B453" s="1">
        <v>42497</v>
      </c>
      <c r="C453" s="1">
        <v>42501</v>
      </c>
      <c r="D453" t="s">
        <v>37</v>
      </c>
      <c r="E453" t="s">
        <v>1336</v>
      </c>
      <c r="F453" t="s">
        <v>1337</v>
      </c>
      <c r="G453" t="s">
        <v>23</v>
      </c>
      <c r="H453" t="s">
        <v>24</v>
      </c>
      <c r="I453" t="s">
        <v>165</v>
      </c>
      <c r="J453" t="s">
        <v>114</v>
      </c>
      <c r="K453" t="s">
        <v>63</v>
      </c>
      <c r="L453" t="s">
        <v>1738</v>
      </c>
      <c r="M453" t="s">
        <v>29</v>
      </c>
      <c r="N453" t="s">
        <v>34</v>
      </c>
      <c r="O453" t="s">
        <v>1739</v>
      </c>
      <c r="P453">
        <v>442.76400000000001</v>
      </c>
      <c r="Q453">
        <v>4</v>
      </c>
      <c r="R453">
        <v>59.035200000000003</v>
      </c>
      <c r="S453" t="s">
        <v>153</v>
      </c>
    </row>
    <row r="454" spans="1:19" x14ac:dyDescent="0.35">
      <c r="A454" t="s">
        <v>1737</v>
      </c>
      <c r="B454" s="1">
        <v>42497</v>
      </c>
      <c r="C454" s="1">
        <v>42501</v>
      </c>
      <c r="D454" t="s">
        <v>37</v>
      </c>
      <c r="E454" t="s">
        <v>1336</v>
      </c>
      <c r="F454" t="s">
        <v>1337</v>
      </c>
      <c r="G454" t="s">
        <v>23</v>
      </c>
      <c r="H454" t="s">
        <v>24</v>
      </c>
      <c r="I454" t="s">
        <v>165</v>
      </c>
      <c r="J454" t="s">
        <v>114</v>
      </c>
      <c r="K454" t="s">
        <v>63</v>
      </c>
      <c r="L454" t="s">
        <v>918</v>
      </c>
      <c r="M454" t="s">
        <v>29</v>
      </c>
      <c r="N454" t="s">
        <v>53</v>
      </c>
      <c r="O454" t="s">
        <v>308</v>
      </c>
      <c r="P454">
        <v>63.68</v>
      </c>
      <c r="Q454">
        <v>8</v>
      </c>
      <c r="R454">
        <v>28.019200000000001</v>
      </c>
      <c r="S454" t="s">
        <v>153</v>
      </c>
    </row>
    <row r="455" spans="1:19" x14ac:dyDescent="0.35">
      <c r="A455" t="s">
        <v>1740</v>
      </c>
      <c r="B455" s="1">
        <v>42957</v>
      </c>
      <c r="C455" s="1">
        <v>42962</v>
      </c>
      <c r="D455" t="s">
        <v>37</v>
      </c>
      <c r="E455" t="s">
        <v>1741</v>
      </c>
      <c r="F455" t="s">
        <v>1742</v>
      </c>
      <c r="G455" t="s">
        <v>23</v>
      </c>
      <c r="H455" t="s">
        <v>24</v>
      </c>
      <c r="I455" t="s">
        <v>339</v>
      </c>
      <c r="J455" t="s">
        <v>104</v>
      </c>
      <c r="K455" t="s">
        <v>87</v>
      </c>
      <c r="L455" t="s">
        <v>136</v>
      </c>
      <c r="M455" t="s">
        <v>29</v>
      </c>
      <c r="N455" t="s">
        <v>53</v>
      </c>
      <c r="O455" t="s">
        <v>137</v>
      </c>
      <c r="P455">
        <v>121.3</v>
      </c>
      <c r="Q455">
        <v>2</v>
      </c>
      <c r="R455">
        <v>25.472999999999999</v>
      </c>
      <c r="S455" t="s">
        <v>245</v>
      </c>
    </row>
    <row r="456" spans="1:19" x14ac:dyDescent="0.35">
      <c r="A456" t="s">
        <v>1743</v>
      </c>
      <c r="B456" s="1">
        <v>41791</v>
      </c>
      <c r="C456" s="1">
        <v>41796</v>
      </c>
      <c r="D456" t="s">
        <v>37</v>
      </c>
      <c r="E456" t="s">
        <v>804</v>
      </c>
      <c r="F456" t="s">
        <v>805</v>
      </c>
      <c r="G456" t="s">
        <v>23</v>
      </c>
      <c r="H456" t="s">
        <v>24</v>
      </c>
      <c r="I456" t="s">
        <v>1744</v>
      </c>
      <c r="J456" t="s">
        <v>1049</v>
      </c>
      <c r="K456" t="s">
        <v>27</v>
      </c>
      <c r="L456" t="s">
        <v>437</v>
      </c>
      <c r="M456" t="s">
        <v>29</v>
      </c>
      <c r="N456" t="s">
        <v>53</v>
      </c>
      <c r="O456" t="s">
        <v>438</v>
      </c>
      <c r="P456">
        <v>22.2</v>
      </c>
      <c r="Q456">
        <v>6</v>
      </c>
      <c r="R456">
        <v>9.1020000000000003</v>
      </c>
      <c r="S456" t="s">
        <v>55</v>
      </c>
    </row>
    <row r="457" spans="1:19" x14ac:dyDescent="0.35">
      <c r="A457" t="s">
        <v>1745</v>
      </c>
      <c r="B457" s="1">
        <v>42253</v>
      </c>
      <c r="C457" s="1">
        <v>42259</v>
      </c>
      <c r="D457" t="s">
        <v>37</v>
      </c>
      <c r="E457" t="s">
        <v>1257</v>
      </c>
      <c r="F457" t="s">
        <v>1258</v>
      </c>
      <c r="G457" t="s">
        <v>94</v>
      </c>
      <c r="H457" t="s">
        <v>24</v>
      </c>
      <c r="I457" t="s">
        <v>183</v>
      </c>
      <c r="J457" t="s">
        <v>184</v>
      </c>
      <c r="K457" t="s">
        <v>51</v>
      </c>
      <c r="L457" t="s">
        <v>1746</v>
      </c>
      <c r="M457" t="s">
        <v>29</v>
      </c>
      <c r="N457" t="s">
        <v>53</v>
      </c>
      <c r="O457" t="s">
        <v>1747</v>
      </c>
      <c r="P457">
        <v>191.82</v>
      </c>
      <c r="Q457">
        <v>3</v>
      </c>
      <c r="R457">
        <v>74.809799999999996</v>
      </c>
      <c r="S457" t="s">
        <v>72</v>
      </c>
    </row>
    <row r="458" spans="1:19" x14ac:dyDescent="0.35">
      <c r="A458" t="s">
        <v>1748</v>
      </c>
      <c r="B458" s="1">
        <v>42184</v>
      </c>
      <c r="C458" s="1">
        <v>42190</v>
      </c>
      <c r="D458" t="s">
        <v>37</v>
      </c>
      <c r="E458" t="s">
        <v>189</v>
      </c>
      <c r="F458" t="s">
        <v>190</v>
      </c>
      <c r="G458" t="s">
        <v>23</v>
      </c>
      <c r="H458" t="s">
        <v>24</v>
      </c>
      <c r="I458" t="s">
        <v>806</v>
      </c>
      <c r="J458" t="s">
        <v>62</v>
      </c>
      <c r="K458" t="s">
        <v>63</v>
      </c>
      <c r="L458" t="s">
        <v>1281</v>
      </c>
      <c r="M458" t="s">
        <v>29</v>
      </c>
      <c r="N458" t="s">
        <v>53</v>
      </c>
      <c r="O458" t="s">
        <v>1749</v>
      </c>
      <c r="P458">
        <v>20.103999999999999</v>
      </c>
      <c r="Q458">
        <v>1</v>
      </c>
      <c r="R458">
        <v>1.7591000000000001</v>
      </c>
      <c r="S458" t="s">
        <v>55</v>
      </c>
    </row>
    <row r="459" spans="1:19" x14ac:dyDescent="0.35">
      <c r="A459" t="s">
        <v>1750</v>
      </c>
      <c r="B459" s="1">
        <v>43060</v>
      </c>
      <c r="C459" s="1">
        <v>43064</v>
      </c>
      <c r="D459" t="s">
        <v>37</v>
      </c>
      <c r="E459" t="s">
        <v>1751</v>
      </c>
      <c r="F459" t="s">
        <v>1752</v>
      </c>
      <c r="G459" t="s">
        <v>23</v>
      </c>
      <c r="H459" t="s">
        <v>24</v>
      </c>
      <c r="I459" t="s">
        <v>165</v>
      </c>
      <c r="J459" t="s">
        <v>114</v>
      </c>
      <c r="K459" t="s">
        <v>63</v>
      </c>
      <c r="L459" t="s">
        <v>1140</v>
      </c>
      <c r="M459" t="s">
        <v>29</v>
      </c>
      <c r="N459" t="s">
        <v>53</v>
      </c>
      <c r="O459" t="s">
        <v>1141</v>
      </c>
      <c r="P459">
        <v>27.42</v>
      </c>
      <c r="Q459">
        <v>1</v>
      </c>
      <c r="R459">
        <v>11.2422</v>
      </c>
      <c r="S459" t="s">
        <v>32</v>
      </c>
    </row>
    <row r="460" spans="1:19" x14ac:dyDescent="0.35">
      <c r="A460" t="s">
        <v>1753</v>
      </c>
      <c r="B460" s="1">
        <v>43009</v>
      </c>
      <c r="C460" s="1">
        <v>43010</v>
      </c>
      <c r="D460" t="s">
        <v>81</v>
      </c>
      <c r="E460" t="s">
        <v>1754</v>
      </c>
      <c r="F460" t="s">
        <v>1755</v>
      </c>
      <c r="G460" t="s">
        <v>23</v>
      </c>
      <c r="H460" t="s">
        <v>24</v>
      </c>
      <c r="I460" t="s">
        <v>1482</v>
      </c>
      <c r="J460" t="s">
        <v>50</v>
      </c>
      <c r="K460" t="s">
        <v>51</v>
      </c>
      <c r="L460" t="s">
        <v>1756</v>
      </c>
      <c r="M460" t="s">
        <v>29</v>
      </c>
      <c r="N460" t="s">
        <v>34</v>
      </c>
      <c r="O460" t="s">
        <v>1757</v>
      </c>
      <c r="P460">
        <v>108.608</v>
      </c>
      <c r="Q460">
        <v>4</v>
      </c>
      <c r="R460">
        <v>9.5031999999999996</v>
      </c>
      <c r="S460" t="s">
        <v>45</v>
      </c>
    </row>
    <row r="461" spans="1:19" x14ac:dyDescent="0.35">
      <c r="A461" t="s">
        <v>1758</v>
      </c>
      <c r="B461" s="1">
        <v>42344</v>
      </c>
      <c r="C461" s="1">
        <v>42344</v>
      </c>
      <c r="D461" t="s">
        <v>417</v>
      </c>
      <c r="E461" t="s">
        <v>1759</v>
      </c>
      <c r="F461" t="s">
        <v>1760</v>
      </c>
      <c r="G461" t="s">
        <v>23</v>
      </c>
      <c r="H461" t="s">
        <v>24</v>
      </c>
      <c r="I461" t="s">
        <v>1761</v>
      </c>
      <c r="J461" t="s">
        <v>223</v>
      </c>
      <c r="K461" t="s">
        <v>63</v>
      </c>
      <c r="L461" t="s">
        <v>287</v>
      </c>
      <c r="M461" t="s">
        <v>29</v>
      </c>
      <c r="N461" t="s">
        <v>34</v>
      </c>
      <c r="O461" t="s">
        <v>288</v>
      </c>
      <c r="P461">
        <v>70.686000000000007</v>
      </c>
      <c r="Q461">
        <v>1</v>
      </c>
      <c r="R461">
        <v>-24.235199999999999</v>
      </c>
      <c r="S461" t="s">
        <v>90</v>
      </c>
    </row>
    <row r="462" spans="1:19" x14ac:dyDescent="0.35">
      <c r="A462" t="s">
        <v>1762</v>
      </c>
      <c r="B462" s="1">
        <v>42448</v>
      </c>
      <c r="C462" s="1">
        <v>42450</v>
      </c>
      <c r="D462" t="s">
        <v>20</v>
      </c>
      <c r="E462" t="s">
        <v>1763</v>
      </c>
      <c r="F462" t="s">
        <v>1764</v>
      </c>
      <c r="G462" t="s">
        <v>23</v>
      </c>
      <c r="H462" t="s">
        <v>24</v>
      </c>
      <c r="I462" t="s">
        <v>1765</v>
      </c>
      <c r="J462" t="s">
        <v>172</v>
      </c>
      <c r="K462" t="s">
        <v>51</v>
      </c>
      <c r="L462" t="s">
        <v>1766</v>
      </c>
      <c r="M462" t="s">
        <v>29</v>
      </c>
      <c r="N462" t="s">
        <v>30</v>
      </c>
      <c r="O462" t="s">
        <v>1767</v>
      </c>
      <c r="P462">
        <v>72.293999999999997</v>
      </c>
      <c r="Q462">
        <v>1</v>
      </c>
      <c r="R462">
        <v>-98.8018</v>
      </c>
      <c r="S462" t="s">
        <v>187</v>
      </c>
    </row>
    <row r="463" spans="1:19" x14ac:dyDescent="0.35">
      <c r="A463" t="s">
        <v>1768</v>
      </c>
      <c r="B463" s="1">
        <v>42644</v>
      </c>
      <c r="C463" s="1">
        <v>42648</v>
      </c>
      <c r="D463" t="s">
        <v>37</v>
      </c>
      <c r="E463" t="s">
        <v>1117</v>
      </c>
      <c r="F463" t="s">
        <v>1118</v>
      </c>
      <c r="G463" t="s">
        <v>23</v>
      </c>
      <c r="H463" t="s">
        <v>24</v>
      </c>
      <c r="I463" t="s">
        <v>165</v>
      </c>
      <c r="J463" t="s">
        <v>114</v>
      </c>
      <c r="K463" t="s">
        <v>63</v>
      </c>
      <c r="L463" t="s">
        <v>1714</v>
      </c>
      <c r="M463" t="s">
        <v>29</v>
      </c>
      <c r="N463" t="s">
        <v>43</v>
      </c>
      <c r="O463" t="s">
        <v>1715</v>
      </c>
      <c r="P463">
        <v>330.58800000000002</v>
      </c>
      <c r="Q463">
        <v>1</v>
      </c>
      <c r="R463">
        <v>-115.7058</v>
      </c>
      <c r="S463" t="s">
        <v>45</v>
      </c>
    </row>
    <row r="464" spans="1:19" x14ac:dyDescent="0.35">
      <c r="A464" t="s">
        <v>1769</v>
      </c>
      <c r="B464" s="1">
        <v>42912</v>
      </c>
      <c r="C464" s="1">
        <v>42917</v>
      </c>
      <c r="D464" t="s">
        <v>37</v>
      </c>
      <c r="E464" t="s">
        <v>1770</v>
      </c>
      <c r="F464" t="s">
        <v>1771</v>
      </c>
      <c r="G464" t="s">
        <v>23</v>
      </c>
      <c r="H464" t="s">
        <v>24</v>
      </c>
      <c r="I464" t="s">
        <v>1145</v>
      </c>
      <c r="J464" t="s">
        <v>104</v>
      </c>
      <c r="K464" t="s">
        <v>87</v>
      </c>
      <c r="L464" t="s">
        <v>1001</v>
      </c>
      <c r="M464" t="s">
        <v>29</v>
      </c>
      <c r="N464" t="s">
        <v>53</v>
      </c>
      <c r="O464" t="s">
        <v>1002</v>
      </c>
      <c r="P464">
        <v>526.45000000000005</v>
      </c>
      <c r="Q464">
        <v>5</v>
      </c>
      <c r="R464">
        <v>31.587</v>
      </c>
      <c r="S464" t="s">
        <v>55</v>
      </c>
    </row>
    <row r="465" spans="1:19" x14ac:dyDescent="0.35">
      <c r="A465" t="s">
        <v>1772</v>
      </c>
      <c r="B465" s="1">
        <v>42845</v>
      </c>
      <c r="C465" s="1">
        <v>42851</v>
      </c>
      <c r="D465" t="s">
        <v>37</v>
      </c>
      <c r="E465" t="s">
        <v>1773</v>
      </c>
      <c r="F465" t="s">
        <v>1774</v>
      </c>
      <c r="G465" t="s">
        <v>94</v>
      </c>
      <c r="H465" t="s">
        <v>24</v>
      </c>
      <c r="I465" t="s">
        <v>125</v>
      </c>
      <c r="J465" t="s">
        <v>126</v>
      </c>
      <c r="K465" t="s">
        <v>87</v>
      </c>
      <c r="L465" t="s">
        <v>1775</v>
      </c>
      <c r="M465" t="s">
        <v>29</v>
      </c>
      <c r="N465" t="s">
        <v>53</v>
      </c>
      <c r="O465" t="s">
        <v>1776</v>
      </c>
      <c r="P465">
        <v>44.4</v>
      </c>
      <c r="Q465">
        <v>2</v>
      </c>
      <c r="R465">
        <v>-52.17</v>
      </c>
      <c r="S465" t="s">
        <v>107</v>
      </c>
    </row>
    <row r="466" spans="1:19" x14ac:dyDescent="0.35">
      <c r="A466" t="s">
        <v>1777</v>
      </c>
      <c r="B466" s="1">
        <v>42630</v>
      </c>
      <c r="C466" s="1">
        <v>42635</v>
      </c>
      <c r="D466" t="s">
        <v>37</v>
      </c>
      <c r="E466" t="s">
        <v>975</v>
      </c>
      <c r="F466" t="s">
        <v>976</v>
      </c>
      <c r="G466" t="s">
        <v>84</v>
      </c>
      <c r="H466" t="s">
        <v>24</v>
      </c>
      <c r="I466" t="s">
        <v>1778</v>
      </c>
      <c r="J466" t="s">
        <v>1779</v>
      </c>
      <c r="K466" t="s">
        <v>63</v>
      </c>
      <c r="L466" t="s">
        <v>1076</v>
      </c>
      <c r="M466" t="s">
        <v>29</v>
      </c>
      <c r="N466" t="s">
        <v>53</v>
      </c>
      <c r="O466" t="s">
        <v>1077</v>
      </c>
      <c r="P466">
        <v>109.48</v>
      </c>
      <c r="Q466">
        <v>2</v>
      </c>
      <c r="R466">
        <v>33.938800000000001</v>
      </c>
      <c r="S466" t="s">
        <v>72</v>
      </c>
    </row>
    <row r="467" spans="1:19" x14ac:dyDescent="0.35">
      <c r="A467" t="s">
        <v>1780</v>
      </c>
      <c r="B467" s="1">
        <v>42902</v>
      </c>
      <c r="C467" s="1">
        <v>42905</v>
      </c>
      <c r="D467" t="s">
        <v>81</v>
      </c>
      <c r="E467" t="s">
        <v>1419</v>
      </c>
      <c r="F467" t="s">
        <v>1420</v>
      </c>
      <c r="G467" t="s">
        <v>23</v>
      </c>
      <c r="H467" t="s">
        <v>24</v>
      </c>
      <c r="I467" t="s">
        <v>320</v>
      </c>
      <c r="J467" t="s">
        <v>50</v>
      </c>
      <c r="K467" t="s">
        <v>51</v>
      </c>
      <c r="L467" t="s">
        <v>470</v>
      </c>
      <c r="M467" t="s">
        <v>29</v>
      </c>
      <c r="N467" t="s">
        <v>34</v>
      </c>
      <c r="O467" t="s">
        <v>471</v>
      </c>
      <c r="P467">
        <v>1212.96</v>
      </c>
      <c r="Q467">
        <v>7</v>
      </c>
      <c r="R467">
        <v>90.971999999999994</v>
      </c>
      <c r="S467" t="s">
        <v>55</v>
      </c>
    </row>
    <row r="468" spans="1:19" x14ac:dyDescent="0.35">
      <c r="A468" t="s">
        <v>1781</v>
      </c>
      <c r="B468" s="1">
        <v>42772</v>
      </c>
      <c r="C468" s="1">
        <v>42775</v>
      </c>
      <c r="D468" t="s">
        <v>81</v>
      </c>
      <c r="E468" t="s">
        <v>1782</v>
      </c>
      <c r="F468" t="s">
        <v>1783</v>
      </c>
      <c r="G468" t="s">
        <v>23</v>
      </c>
      <c r="H468" t="s">
        <v>24</v>
      </c>
      <c r="I468" t="s">
        <v>680</v>
      </c>
      <c r="J468" t="s">
        <v>707</v>
      </c>
      <c r="K468" t="s">
        <v>27</v>
      </c>
      <c r="L468" t="s">
        <v>701</v>
      </c>
      <c r="M468" t="s">
        <v>29</v>
      </c>
      <c r="N468" t="s">
        <v>30</v>
      </c>
      <c r="O468" t="s">
        <v>702</v>
      </c>
      <c r="P468">
        <v>359.97</v>
      </c>
      <c r="Q468">
        <v>3</v>
      </c>
      <c r="R468">
        <v>79.193399999999997</v>
      </c>
      <c r="S468" t="s">
        <v>289</v>
      </c>
    </row>
    <row r="469" spans="1:19" x14ac:dyDescent="0.35">
      <c r="A469" t="s">
        <v>1784</v>
      </c>
      <c r="B469" s="1">
        <v>42069</v>
      </c>
      <c r="C469" s="1">
        <v>42074</v>
      </c>
      <c r="D469" t="s">
        <v>37</v>
      </c>
      <c r="E469" t="s">
        <v>1785</v>
      </c>
      <c r="F469" t="s">
        <v>1786</v>
      </c>
      <c r="G469" t="s">
        <v>23</v>
      </c>
      <c r="H469" t="s">
        <v>24</v>
      </c>
      <c r="I469" t="s">
        <v>320</v>
      </c>
      <c r="J469" t="s">
        <v>50</v>
      </c>
      <c r="K469" t="s">
        <v>51</v>
      </c>
      <c r="L469" t="s">
        <v>1787</v>
      </c>
      <c r="M469" t="s">
        <v>29</v>
      </c>
      <c r="N469" t="s">
        <v>53</v>
      </c>
      <c r="O469" t="s">
        <v>1788</v>
      </c>
      <c r="P469">
        <v>435.26</v>
      </c>
      <c r="Q469">
        <v>7</v>
      </c>
      <c r="R469">
        <v>95.757199999999997</v>
      </c>
      <c r="S469" t="s">
        <v>187</v>
      </c>
    </row>
    <row r="470" spans="1:19" x14ac:dyDescent="0.35">
      <c r="A470" t="s">
        <v>1789</v>
      </c>
      <c r="B470" s="1">
        <v>41915</v>
      </c>
      <c r="C470" s="1">
        <v>41920</v>
      </c>
      <c r="D470" t="s">
        <v>20</v>
      </c>
      <c r="E470" t="s">
        <v>423</v>
      </c>
      <c r="F470" t="s">
        <v>424</v>
      </c>
      <c r="G470" t="s">
        <v>84</v>
      </c>
      <c r="H470" t="s">
        <v>24</v>
      </c>
      <c r="I470" t="s">
        <v>49</v>
      </c>
      <c r="J470" t="s">
        <v>50</v>
      </c>
      <c r="K470" t="s">
        <v>51</v>
      </c>
      <c r="L470" t="s">
        <v>1790</v>
      </c>
      <c r="M470" t="s">
        <v>29</v>
      </c>
      <c r="N470" t="s">
        <v>43</v>
      </c>
      <c r="O470" t="s">
        <v>1791</v>
      </c>
      <c r="P470">
        <v>143.43199999999999</v>
      </c>
      <c r="Q470">
        <v>1</v>
      </c>
      <c r="R470">
        <v>3.5857999999999999</v>
      </c>
      <c r="S470" t="s">
        <v>45</v>
      </c>
    </row>
    <row r="471" spans="1:19" x14ac:dyDescent="0.35">
      <c r="A471" t="s">
        <v>1789</v>
      </c>
      <c r="B471" s="1">
        <v>41915</v>
      </c>
      <c r="C471" s="1">
        <v>41920</v>
      </c>
      <c r="D471" t="s">
        <v>20</v>
      </c>
      <c r="E471" t="s">
        <v>423</v>
      </c>
      <c r="F471" t="s">
        <v>424</v>
      </c>
      <c r="G471" t="s">
        <v>84</v>
      </c>
      <c r="H471" t="s">
        <v>24</v>
      </c>
      <c r="I471" t="s">
        <v>49</v>
      </c>
      <c r="J471" t="s">
        <v>50</v>
      </c>
      <c r="K471" t="s">
        <v>51</v>
      </c>
      <c r="L471" t="s">
        <v>64</v>
      </c>
      <c r="M471" t="s">
        <v>29</v>
      </c>
      <c r="N471" t="s">
        <v>34</v>
      </c>
      <c r="O471" t="s">
        <v>65</v>
      </c>
      <c r="P471">
        <v>122.352</v>
      </c>
      <c r="Q471">
        <v>3</v>
      </c>
      <c r="R471">
        <v>13.7646</v>
      </c>
      <c r="S471" t="s">
        <v>45</v>
      </c>
    </row>
    <row r="472" spans="1:19" x14ac:dyDescent="0.35">
      <c r="A472" t="s">
        <v>1792</v>
      </c>
      <c r="B472" s="1">
        <v>41817</v>
      </c>
      <c r="C472" s="1">
        <v>41821</v>
      </c>
      <c r="D472" t="s">
        <v>37</v>
      </c>
      <c r="E472" t="s">
        <v>1793</v>
      </c>
      <c r="F472" t="s">
        <v>1794</v>
      </c>
      <c r="G472" t="s">
        <v>23</v>
      </c>
      <c r="H472" t="s">
        <v>24</v>
      </c>
      <c r="I472" t="s">
        <v>1795</v>
      </c>
      <c r="J472" t="s">
        <v>469</v>
      </c>
      <c r="K472" t="s">
        <v>27</v>
      </c>
      <c r="L472" t="s">
        <v>1250</v>
      </c>
      <c r="M472" t="s">
        <v>29</v>
      </c>
      <c r="N472" t="s">
        <v>43</v>
      </c>
      <c r="O472" t="s">
        <v>1054</v>
      </c>
      <c r="P472">
        <v>85.98</v>
      </c>
      <c r="Q472">
        <v>1</v>
      </c>
      <c r="R472">
        <v>22.354800000000001</v>
      </c>
      <c r="S472" t="s">
        <v>55</v>
      </c>
    </row>
    <row r="473" spans="1:19" x14ac:dyDescent="0.35">
      <c r="A473" t="s">
        <v>1796</v>
      </c>
      <c r="B473" s="1">
        <v>43038</v>
      </c>
      <c r="C473" s="1">
        <v>43041</v>
      </c>
      <c r="D473" t="s">
        <v>81</v>
      </c>
      <c r="E473" t="s">
        <v>1797</v>
      </c>
      <c r="F473" t="s">
        <v>1798</v>
      </c>
      <c r="G473" t="s">
        <v>23</v>
      </c>
      <c r="H473" t="s">
        <v>24</v>
      </c>
      <c r="I473" t="s">
        <v>183</v>
      </c>
      <c r="J473" t="s">
        <v>184</v>
      </c>
      <c r="K473" t="s">
        <v>51</v>
      </c>
      <c r="L473" t="s">
        <v>1647</v>
      </c>
      <c r="M473" t="s">
        <v>29</v>
      </c>
      <c r="N473" t="s">
        <v>34</v>
      </c>
      <c r="O473" t="s">
        <v>1648</v>
      </c>
      <c r="P473">
        <v>97.567999999999998</v>
      </c>
      <c r="Q473">
        <v>2</v>
      </c>
      <c r="R473">
        <v>-6.0979999999999999</v>
      </c>
      <c r="S473" t="s">
        <v>45</v>
      </c>
    </row>
    <row r="474" spans="1:19" x14ac:dyDescent="0.35">
      <c r="A474" t="s">
        <v>1796</v>
      </c>
      <c r="B474" s="1">
        <v>43038</v>
      </c>
      <c r="C474" s="1">
        <v>43041</v>
      </c>
      <c r="D474" t="s">
        <v>81</v>
      </c>
      <c r="E474" t="s">
        <v>1797</v>
      </c>
      <c r="F474" t="s">
        <v>1798</v>
      </c>
      <c r="G474" t="s">
        <v>23</v>
      </c>
      <c r="H474" t="s">
        <v>24</v>
      </c>
      <c r="I474" t="s">
        <v>183</v>
      </c>
      <c r="J474" t="s">
        <v>184</v>
      </c>
      <c r="K474" t="s">
        <v>51</v>
      </c>
      <c r="L474" t="s">
        <v>1270</v>
      </c>
      <c r="M474" t="s">
        <v>29</v>
      </c>
      <c r="N474" t="s">
        <v>34</v>
      </c>
      <c r="O474" t="s">
        <v>1271</v>
      </c>
      <c r="P474">
        <v>614.27200000000005</v>
      </c>
      <c r="Q474">
        <v>8</v>
      </c>
      <c r="R474">
        <v>-23.0352</v>
      </c>
      <c r="S474" t="s">
        <v>45</v>
      </c>
    </row>
    <row r="475" spans="1:19" x14ac:dyDescent="0.35">
      <c r="A475" t="s">
        <v>1796</v>
      </c>
      <c r="B475" s="1">
        <v>43038</v>
      </c>
      <c r="C475" s="1">
        <v>43041</v>
      </c>
      <c r="D475" t="s">
        <v>81</v>
      </c>
      <c r="E475" t="s">
        <v>1797</v>
      </c>
      <c r="F475" t="s">
        <v>1798</v>
      </c>
      <c r="G475" t="s">
        <v>23</v>
      </c>
      <c r="H475" t="s">
        <v>24</v>
      </c>
      <c r="I475" t="s">
        <v>183</v>
      </c>
      <c r="J475" t="s">
        <v>184</v>
      </c>
      <c r="K475" t="s">
        <v>51</v>
      </c>
      <c r="L475" t="s">
        <v>1127</v>
      </c>
      <c r="M475" t="s">
        <v>29</v>
      </c>
      <c r="N475" t="s">
        <v>30</v>
      </c>
      <c r="O475" t="s">
        <v>1128</v>
      </c>
      <c r="P475">
        <v>199.98</v>
      </c>
      <c r="Q475">
        <v>2</v>
      </c>
      <c r="R475">
        <v>37.996200000000002</v>
      </c>
      <c r="S475" t="s">
        <v>45</v>
      </c>
    </row>
    <row r="476" spans="1:19" x14ac:dyDescent="0.35">
      <c r="A476" t="s">
        <v>1799</v>
      </c>
      <c r="B476" s="1">
        <v>42743</v>
      </c>
      <c r="C476" s="1">
        <v>42746</v>
      </c>
      <c r="D476" t="s">
        <v>81</v>
      </c>
      <c r="E476" t="s">
        <v>1800</v>
      </c>
      <c r="F476" t="s">
        <v>1801</v>
      </c>
      <c r="G476" t="s">
        <v>84</v>
      </c>
      <c r="H476" t="s">
        <v>24</v>
      </c>
      <c r="I476" t="s">
        <v>183</v>
      </c>
      <c r="J476" t="s">
        <v>184</v>
      </c>
      <c r="K476" t="s">
        <v>51</v>
      </c>
      <c r="L476" t="s">
        <v>1802</v>
      </c>
      <c r="M476" t="s">
        <v>29</v>
      </c>
      <c r="N476" t="s">
        <v>43</v>
      </c>
      <c r="O476" t="s">
        <v>1803</v>
      </c>
      <c r="P476">
        <v>892.98</v>
      </c>
      <c r="Q476">
        <v>2</v>
      </c>
      <c r="R476">
        <v>80.368200000000002</v>
      </c>
      <c r="S476" t="s">
        <v>161</v>
      </c>
    </row>
    <row r="477" spans="1:19" x14ac:dyDescent="0.35">
      <c r="A477" t="s">
        <v>1804</v>
      </c>
      <c r="B477" s="1">
        <v>42114</v>
      </c>
      <c r="C477" s="1">
        <v>42119</v>
      </c>
      <c r="D477" t="s">
        <v>37</v>
      </c>
      <c r="E477" t="s">
        <v>1717</v>
      </c>
      <c r="F477" t="s">
        <v>1718</v>
      </c>
      <c r="G477" t="s">
        <v>84</v>
      </c>
      <c r="H477" t="s">
        <v>24</v>
      </c>
      <c r="I477" t="s">
        <v>339</v>
      </c>
      <c r="J477" t="s">
        <v>658</v>
      </c>
      <c r="K477" t="s">
        <v>27</v>
      </c>
      <c r="L477" t="s">
        <v>1391</v>
      </c>
      <c r="M477" t="s">
        <v>29</v>
      </c>
      <c r="N477" t="s">
        <v>53</v>
      </c>
      <c r="O477" t="s">
        <v>1392</v>
      </c>
      <c r="P477">
        <v>595.38</v>
      </c>
      <c r="Q477">
        <v>6</v>
      </c>
      <c r="R477">
        <v>297.69</v>
      </c>
      <c r="S477" t="s">
        <v>107</v>
      </c>
    </row>
    <row r="478" spans="1:19" x14ac:dyDescent="0.35">
      <c r="A478" t="s">
        <v>1805</v>
      </c>
      <c r="B478" s="1">
        <v>43092</v>
      </c>
      <c r="C478" s="1">
        <v>43096</v>
      </c>
      <c r="D478" t="s">
        <v>37</v>
      </c>
      <c r="E478" t="s">
        <v>1450</v>
      </c>
      <c r="F478" t="s">
        <v>1451</v>
      </c>
      <c r="G478" t="s">
        <v>84</v>
      </c>
      <c r="H478" t="s">
        <v>24</v>
      </c>
      <c r="I478" t="s">
        <v>1280</v>
      </c>
      <c r="J478" t="s">
        <v>421</v>
      </c>
      <c r="K478" t="s">
        <v>63</v>
      </c>
      <c r="L478" t="s">
        <v>136</v>
      </c>
      <c r="M478" t="s">
        <v>29</v>
      </c>
      <c r="N478" t="s">
        <v>53</v>
      </c>
      <c r="O478" t="s">
        <v>137</v>
      </c>
      <c r="P478">
        <v>181.95</v>
      </c>
      <c r="Q478">
        <v>3</v>
      </c>
      <c r="R478">
        <v>38.209499999999998</v>
      </c>
      <c r="S478" t="s">
        <v>90</v>
      </c>
    </row>
    <row r="479" spans="1:19" x14ac:dyDescent="0.35">
      <c r="A479" t="s">
        <v>1806</v>
      </c>
      <c r="B479" s="1">
        <v>42309</v>
      </c>
      <c r="C479" s="1">
        <v>42313</v>
      </c>
      <c r="D479" t="s">
        <v>37</v>
      </c>
      <c r="E479" t="s">
        <v>285</v>
      </c>
      <c r="F479" t="s">
        <v>286</v>
      </c>
      <c r="G479" t="s">
        <v>23</v>
      </c>
      <c r="H479" t="s">
        <v>24</v>
      </c>
      <c r="I479" t="s">
        <v>165</v>
      </c>
      <c r="J479" t="s">
        <v>114</v>
      </c>
      <c r="K479" t="s">
        <v>63</v>
      </c>
      <c r="L479" t="s">
        <v>870</v>
      </c>
      <c r="M479" t="s">
        <v>29</v>
      </c>
      <c r="N479" t="s">
        <v>53</v>
      </c>
      <c r="O479" t="s">
        <v>871</v>
      </c>
      <c r="P479">
        <v>259.7</v>
      </c>
      <c r="Q479">
        <v>5</v>
      </c>
      <c r="R479">
        <v>106.477</v>
      </c>
      <c r="S479" t="s">
        <v>32</v>
      </c>
    </row>
    <row r="480" spans="1:19" x14ac:dyDescent="0.35">
      <c r="A480" t="s">
        <v>1807</v>
      </c>
      <c r="B480" s="1">
        <v>42995</v>
      </c>
      <c r="C480" s="1">
        <v>43000</v>
      </c>
      <c r="D480" t="s">
        <v>20</v>
      </c>
      <c r="E480" t="s">
        <v>650</v>
      </c>
      <c r="F480" t="s">
        <v>651</v>
      </c>
      <c r="G480" t="s">
        <v>94</v>
      </c>
      <c r="H480" t="s">
        <v>24</v>
      </c>
      <c r="I480" t="s">
        <v>1808</v>
      </c>
      <c r="J480" t="s">
        <v>658</v>
      </c>
      <c r="K480" t="s">
        <v>27</v>
      </c>
      <c r="L480" t="s">
        <v>412</v>
      </c>
      <c r="M480" t="s">
        <v>29</v>
      </c>
      <c r="N480" t="s">
        <v>34</v>
      </c>
      <c r="O480" t="s">
        <v>413</v>
      </c>
      <c r="P480">
        <v>723.92</v>
      </c>
      <c r="Q480">
        <v>4</v>
      </c>
      <c r="R480">
        <v>188.2192</v>
      </c>
      <c r="S480" t="s">
        <v>72</v>
      </c>
    </row>
    <row r="481" spans="1:19" x14ac:dyDescent="0.35">
      <c r="A481" t="s">
        <v>1809</v>
      </c>
      <c r="B481" s="1">
        <v>42727</v>
      </c>
      <c r="C481" s="1">
        <v>42728</v>
      </c>
      <c r="D481" t="s">
        <v>81</v>
      </c>
      <c r="E481" t="s">
        <v>368</v>
      </c>
      <c r="F481" t="s">
        <v>369</v>
      </c>
      <c r="G481" t="s">
        <v>84</v>
      </c>
      <c r="H481" t="s">
        <v>24</v>
      </c>
      <c r="I481" t="s">
        <v>125</v>
      </c>
      <c r="J481" t="s">
        <v>126</v>
      </c>
      <c r="K481" t="s">
        <v>87</v>
      </c>
      <c r="L481" t="s">
        <v>889</v>
      </c>
      <c r="M481" t="s">
        <v>29</v>
      </c>
      <c r="N481" t="s">
        <v>30</v>
      </c>
      <c r="O481" t="s">
        <v>890</v>
      </c>
      <c r="P481">
        <v>141.37200000000001</v>
      </c>
      <c r="Q481">
        <v>2</v>
      </c>
      <c r="R481">
        <v>-14.1372</v>
      </c>
      <c r="S481" t="s">
        <v>90</v>
      </c>
    </row>
    <row r="482" spans="1:19" x14ac:dyDescent="0.35">
      <c r="A482" t="s">
        <v>1810</v>
      </c>
      <c r="B482" s="1">
        <v>42897</v>
      </c>
      <c r="C482" s="1">
        <v>42898</v>
      </c>
      <c r="D482" t="s">
        <v>81</v>
      </c>
      <c r="E482" t="s">
        <v>1811</v>
      </c>
      <c r="F482" t="s">
        <v>1812</v>
      </c>
      <c r="G482" t="s">
        <v>94</v>
      </c>
      <c r="H482" t="s">
        <v>24</v>
      </c>
      <c r="I482" t="s">
        <v>1370</v>
      </c>
      <c r="J482" t="s">
        <v>511</v>
      </c>
      <c r="K482" t="s">
        <v>51</v>
      </c>
      <c r="L482" t="s">
        <v>842</v>
      </c>
      <c r="M482" t="s">
        <v>29</v>
      </c>
      <c r="N482" t="s">
        <v>34</v>
      </c>
      <c r="O482" t="s">
        <v>843</v>
      </c>
      <c r="P482">
        <v>280.79199999999997</v>
      </c>
      <c r="Q482">
        <v>1</v>
      </c>
      <c r="R482">
        <v>35.098999999999997</v>
      </c>
      <c r="S482" t="s">
        <v>55</v>
      </c>
    </row>
    <row r="483" spans="1:19" x14ac:dyDescent="0.35">
      <c r="A483" t="s">
        <v>1813</v>
      </c>
      <c r="B483" s="1">
        <v>42936</v>
      </c>
      <c r="C483" s="1">
        <v>42941</v>
      </c>
      <c r="D483" t="s">
        <v>37</v>
      </c>
      <c r="E483" t="s">
        <v>1814</v>
      </c>
      <c r="F483" t="s">
        <v>1815</v>
      </c>
      <c r="G483" t="s">
        <v>84</v>
      </c>
      <c r="H483" t="s">
        <v>24</v>
      </c>
      <c r="I483" t="s">
        <v>1816</v>
      </c>
      <c r="J483" t="s">
        <v>1817</v>
      </c>
      <c r="K483" t="s">
        <v>87</v>
      </c>
      <c r="L483" t="s">
        <v>1647</v>
      </c>
      <c r="M483" t="s">
        <v>29</v>
      </c>
      <c r="N483" t="s">
        <v>34</v>
      </c>
      <c r="O483" t="s">
        <v>1648</v>
      </c>
      <c r="P483">
        <v>182.94</v>
      </c>
      <c r="Q483">
        <v>3</v>
      </c>
      <c r="R483">
        <v>27.440999999999999</v>
      </c>
      <c r="S483" t="s">
        <v>66</v>
      </c>
    </row>
    <row r="484" spans="1:19" x14ac:dyDescent="0.35">
      <c r="A484" t="s">
        <v>1818</v>
      </c>
      <c r="B484" s="1">
        <v>42262</v>
      </c>
      <c r="C484" s="1">
        <v>42266</v>
      </c>
      <c r="D484" t="s">
        <v>20</v>
      </c>
      <c r="E484" t="s">
        <v>1819</v>
      </c>
      <c r="F484" t="s">
        <v>1820</v>
      </c>
      <c r="G484" t="s">
        <v>84</v>
      </c>
      <c r="H484" t="s">
        <v>24</v>
      </c>
      <c r="I484" t="s">
        <v>165</v>
      </c>
      <c r="J484" t="s">
        <v>114</v>
      </c>
      <c r="K484" t="s">
        <v>63</v>
      </c>
      <c r="L484" t="s">
        <v>340</v>
      </c>
      <c r="M484" t="s">
        <v>29</v>
      </c>
      <c r="N484" t="s">
        <v>30</v>
      </c>
      <c r="O484" t="s">
        <v>341</v>
      </c>
      <c r="P484">
        <v>46.384</v>
      </c>
      <c r="Q484">
        <v>1</v>
      </c>
      <c r="R484">
        <v>1.1596</v>
      </c>
      <c r="S484" t="s">
        <v>72</v>
      </c>
    </row>
    <row r="485" spans="1:19" x14ac:dyDescent="0.35">
      <c r="A485" t="s">
        <v>1821</v>
      </c>
      <c r="B485" s="1">
        <v>42363</v>
      </c>
      <c r="C485" s="1">
        <v>42367</v>
      </c>
      <c r="D485" t="s">
        <v>37</v>
      </c>
      <c r="E485" t="s">
        <v>666</v>
      </c>
      <c r="F485" t="s">
        <v>667</v>
      </c>
      <c r="G485" t="s">
        <v>84</v>
      </c>
      <c r="H485" t="s">
        <v>24</v>
      </c>
      <c r="I485" t="s">
        <v>61</v>
      </c>
      <c r="J485" t="s">
        <v>62</v>
      </c>
      <c r="K485" t="s">
        <v>63</v>
      </c>
      <c r="L485" t="s">
        <v>1822</v>
      </c>
      <c r="M485" t="s">
        <v>29</v>
      </c>
      <c r="N485" t="s">
        <v>53</v>
      </c>
      <c r="O485" t="s">
        <v>1823</v>
      </c>
      <c r="P485">
        <v>547.13599999999997</v>
      </c>
      <c r="Q485">
        <v>4</v>
      </c>
      <c r="R485">
        <v>-68.391999999999996</v>
      </c>
      <c r="S485" t="s">
        <v>90</v>
      </c>
    </row>
    <row r="486" spans="1:19" x14ac:dyDescent="0.35">
      <c r="A486" t="s">
        <v>1824</v>
      </c>
      <c r="B486" s="1">
        <v>42004</v>
      </c>
      <c r="C486" s="1">
        <v>42007</v>
      </c>
      <c r="D486" t="s">
        <v>81</v>
      </c>
      <c r="E486" t="s">
        <v>1243</v>
      </c>
      <c r="F486" t="s">
        <v>1244</v>
      </c>
      <c r="G486" t="s">
        <v>94</v>
      </c>
      <c r="H486" t="s">
        <v>24</v>
      </c>
      <c r="I486" t="s">
        <v>229</v>
      </c>
      <c r="J486" t="s">
        <v>425</v>
      </c>
      <c r="K486" t="s">
        <v>63</v>
      </c>
      <c r="L486" t="s">
        <v>1825</v>
      </c>
      <c r="M486" t="s">
        <v>29</v>
      </c>
      <c r="N486" t="s">
        <v>53</v>
      </c>
      <c r="O486" t="s">
        <v>1826</v>
      </c>
      <c r="P486">
        <v>63.2</v>
      </c>
      <c r="Q486">
        <v>5</v>
      </c>
      <c r="R486">
        <v>23.384</v>
      </c>
      <c r="S486" t="s">
        <v>90</v>
      </c>
    </row>
    <row r="487" spans="1:19" x14ac:dyDescent="0.35">
      <c r="A487" t="s">
        <v>1827</v>
      </c>
      <c r="B487" s="1">
        <v>42442</v>
      </c>
      <c r="C487" s="1">
        <v>42447</v>
      </c>
      <c r="D487" t="s">
        <v>37</v>
      </c>
      <c r="E487" t="s">
        <v>804</v>
      </c>
      <c r="F487" t="s">
        <v>805</v>
      </c>
      <c r="G487" t="s">
        <v>23</v>
      </c>
      <c r="H487" t="s">
        <v>24</v>
      </c>
      <c r="I487" t="s">
        <v>237</v>
      </c>
      <c r="J487" t="s">
        <v>86</v>
      </c>
      <c r="K487" t="s">
        <v>87</v>
      </c>
      <c r="L487" t="s">
        <v>1125</v>
      </c>
      <c r="M487" t="s">
        <v>29</v>
      </c>
      <c r="N487" t="s">
        <v>43</v>
      </c>
      <c r="O487" t="s">
        <v>1126</v>
      </c>
      <c r="P487">
        <v>557.58500000000004</v>
      </c>
      <c r="Q487">
        <v>5</v>
      </c>
      <c r="R487">
        <v>0</v>
      </c>
      <c r="S487" t="s">
        <v>187</v>
      </c>
    </row>
    <row r="488" spans="1:19" x14ac:dyDescent="0.35">
      <c r="A488" t="s">
        <v>1828</v>
      </c>
      <c r="B488" s="1">
        <v>42247</v>
      </c>
      <c r="C488" s="1">
        <v>42249</v>
      </c>
      <c r="D488" t="s">
        <v>81</v>
      </c>
      <c r="E488" t="s">
        <v>1829</v>
      </c>
      <c r="F488" t="s">
        <v>1830</v>
      </c>
      <c r="G488" t="s">
        <v>84</v>
      </c>
      <c r="H488" t="s">
        <v>24</v>
      </c>
      <c r="I488" t="s">
        <v>320</v>
      </c>
      <c r="J488" t="s">
        <v>50</v>
      </c>
      <c r="K488" t="s">
        <v>51</v>
      </c>
      <c r="L488" t="s">
        <v>96</v>
      </c>
      <c r="M488" t="s">
        <v>29</v>
      </c>
      <c r="N488" t="s">
        <v>30</v>
      </c>
      <c r="O488" t="s">
        <v>97</v>
      </c>
      <c r="P488">
        <v>1552.8309999999999</v>
      </c>
      <c r="Q488">
        <v>7</v>
      </c>
      <c r="R488">
        <v>200.9546</v>
      </c>
      <c r="S488" t="s">
        <v>245</v>
      </c>
    </row>
    <row r="489" spans="1:19" x14ac:dyDescent="0.35">
      <c r="A489" t="s">
        <v>1831</v>
      </c>
      <c r="B489" s="1">
        <v>41715</v>
      </c>
      <c r="C489" s="1">
        <v>41719</v>
      </c>
      <c r="D489" t="s">
        <v>37</v>
      </c>
      <c r="E489" t="s">
        <v>1832</v>
      </c>
      <c r="F489" t="s">
        <v>1833</v>
      </c>
      <c r="G489" t="s">
        <v>84</v>
      </c>
      <c r="H489" t="s">
        <v>24</v>
      </c>
      <c r="I489" t="s">
        <v>165</v>
      </c>
      <c r="J489" t="s">
        <v>114</v>
      </c>
      <c r="K489" t="s">
        <v>63</v>
      </c>
      <c r="L489" t="s">
        <v>298</v>
      </c>
      <c r="M489" t="s">
        <v>29</v>
      </c>
      <c r="N489" t="s">
        <v>43</v>
      </c>
      <c r="O489" t="s">
        <v>299</v>
      </c>
      <c r="P489">
        <v>1579.7460000000001</v>
      </c>
      <c r="Q489">
        <v>7</v>
      </c>
      <c r="R489">
        <v>-447.59469999999999</v>
      </c>
      <c r="S489" t="s">
        <v>187</v>
      </c>
    </row>
    <row r="490" spans="1:19" x14ac:dyDescent="0.35">
      <c r="A490" t="s">
        <v>1831</v>
      </c>
      <c r="B490" s="1">
        <v>41715</v>
      </c>
      <c r="C490" s="1">
        <v>41719</v>
      </c>
      <c r="D490" t="s">
        <v>37</v>
      </c>
      <c r="E490" t="s">
        <v>1832</v>
      </c>
      <c r="F490" t="s">
        <v>1833</v>
      </c>
      <c r="G490" t="s">
        <v>84</v>
      </c>
      <c r="H490" t="s">
        <v>24</v>
      </c>
      <c r="I490" t="s">
        <v>165</v>
      </c>
      <c r="J490" t="s">
        <v>114</v>
      </c>
      <c r="K490" t="s">
        <v>63</v>
      </c>
      <c r="L490" t="s">
        <v>1802</v>
      </c>
      <c r="M490" t="s">
        <v>29</v>
      </c>
      <c r="N490" t="s">
        <v>43</v>
      </c>
      <c r="O490" t="s">
        <v>1803</v>
      </c>
      <c r="P490">
        <v>1071.576</v>
      </c>
      <c r="Q490">
        <v>4</v>
      </c>
      <c r="R490">
        <v>-553.64760000000001</v>
      </c>
      <c r="S490" t="s">
        <v>187</v>
      </c>
    </row>
    <row r="491" spans="1:19" x14ac:dyDescent="0.35">
      <c r="A491" t="s">
        <v>1831</v>
      </c>
      <c r="B491" s="1">
        <v>41715</v>
      </c>
      <c r="C491" s="1">
        <v>41719</v>
      </c>
      <c r="D491" t="s">
        <v>37</v>
      </c>
      <c r="E491" t="s">
        <v>1832</v>
      </c>
      <c r="F491" t="s">
        <v>1833</v>
      </c>
      <c r="G491" t="s">
        <v>84</v>
      </c>
      <c r="H491" t="s">
        <v>24</v>
      </c>
      <c r="I491" t="s">
        <v>165</v>
      </c>
      <c r="J491" t="s">
        <v>114</v>
      </c>
      <c r="K491" t="s">
        <v>63</v>
      </c>
      <c r="L491" t="s">
        <v>1552</v>
      </c>
      <c r="M491" t="s">
        <v>29</v>
      </c>
      <c r="N491" t="s">
        <v>43</v>
      </c>
      <c r="O491" t="s">
        <v>1553</v>
      </c>
      <c r="P491">
        <v>613.90800000000002</v>
      </c>
      <c r="Q491">
        <v>3</v>
      </c>
      <c r="R491">
        <v>-122.7816</v>
      </c>
      <c r="S491" t="s">
        <v>187</v>
      </c>
    </row>
    <row r="492" spans="1:19" x14ac:dyDescent="0.35">
      <c r="A492" t="s">
        <v>1834</v>
      </c>
      <c r="B492" s="1">
        <v>42442</v>
      </c>
      <c r="C492" s="1">
        <v>42447</v>
      </c>
      <c r="D492" t="s">
        <v>37</v>
      </c>
      <c r="E492" t="s">
        <v>1835</v>
      </c>
      <c r="F492" t="s">
        <v>1836</v>
      </c>
      <c r="G492" t="s">
        <v>94</v>
      </c>
      <c r="H492" t="s">
        <v>24</v>
      </c>
      <c r="I492" t="s">
        <v>706</v>
      </c>
      <c r="J492" t="s">
        <v>707</v>
      </c>
      <c r="K492" t="s">
        <v>27</v>
      </c>
      <c r="L492" t="s">
        <v>542</v>
      </c>
      <c r="M492" t="s">
        <v>29</v>
      </c>
      <c r="N492" t="s">
        <v>53</v>
      </c>
      <c r="O492" t="s">
        <v>543</v>
      </c>
      <c r="P492">
        <v>127.88</v>
      </c>
      <c r="Q492">
        <v>2</v>
      </c>
      <c r="R492">
        <v>40.921599999999998</v>
      </c>
      <c r="S492" t="s">
        <v>187</v>
      </c>
    </row>
    <row r="493" spans="1:19" x14ac:dyDescent="0.35">
      <c r="A493" t="s">
        <v>1837</v>
      </c>
      <c r="B493" s="1">
        <v>41967</v>
      </c>
      <c r="C493" s="1">
        <v>41969</v>
      </c>
      <c r="D493" t="s">
        <v>20</v>
      </c>
      <c r="E493" t="s">
        <v>1838</v>
      </c>
      <c r="F493" t="s">
        <v>1839</v>
      </c>
      <c r="G493" t="s">
        <v>23</v>
      </c>
      <c r="H493" t="s">
        <v>24</v>
      </c>
      <c r="I493" t="s">
        <v>1840</v>
      </c>
      <c r="J493" t="s">
        <v>50</v>
      </c>
      <c r="K493" t="s">
        <v>51</v>
      </c>
      <c r="L493" t="s">
        <v>1841</v>
      </c>
      <c r="M493" t="s">
        <v>29</v>
      </c>
      <c r="N493" t="s">
        <v>34</v>
      </c>
      <c r="O493" t="s">
        <v>1842</v>
      </c>
      <c r="P493">
        <v>120.712</v>
      </c>
      <c r="Q493">
        <v>1</v>
      </c>
      <c r="R493">
        <v>-18.1068</v>
      </c>
      <c r="S493" t="s">
        <v>32</v>
      </c>
    </row>
    <row r="494" spans="1:19" x14ac:dyDescent="0.35">
      <c r="A494" t="s">
        <v>1843</v>
      </c>
      <c r="B494" s="1">
        <v>42636</v>
      </c>
      <c r="C494" s="1">
        <v>42640</v>
      </c>
      <c r="D494" t="s">
        <v>37</v>
      </c>
      <c r="E494" t="s">
        <v>343</v>
      </c>
      <c r="F494" t="s">
        <v>344</v>
      </c>
      <c r="G494" t="s">
        <v>84</v>
      </c>
      <c r="H494" t="s">
        <v>24</v>
      </c>
      <c r="I494" t="s">
        <v>1571</v>
      </c>
      <c r="J494" t="s">
        <v>223</v>
      </c>
      <c r="K494" t="s">
        <v>63</v>
      </c>
      <c r="L494" t="s">
        <v>1844</v>
      </c>
      <c r="M494" t="s">
        <v>29</v>
      </c>
      <c r="N494" t="s">
        <v>53</v>
      </c>
      <c r="O494" t="s">
        <v>1845</v>
      </c>
      <c r="P494">
        <v>532.70399999999995</v>
      </c>
      <c r="Q494">
        <v>6</v>
      </c>
      <c r="R494">
        <v>-26.635200000000001</v>
      </c>
      <c r="S494" t="s">
        <v>72</v>
      </c>
    </row>
    <row r="495" spans="1:19" x14ac:dyDescent="0.35">
      <c r="A495" t="s">
        <v>1846</v>
      </c>
      <c r="B495" s="1">
        <v>42558</v>
      </c>
      <c r="C495" s="1">
        <v>42562</v>
      </c>
      <c r="D495" t="s">
        <v>20</v>
      </c>
      <c r="E495" t="s">
        <v>1847</v>
      </c>
      <c r="F495" t="s">
        <v>1848</v>
      </c>
      <c r="G495" t="s">
        <v>84</v>
      </c>
      <c r="H495" t="s">
        <v>24</v>
      </c>
      <c r="I495" t="s">
        <v>171</v>
      </c>
      <c r="J495" t="s">
        <v>126</v>
      </c>
      <c r="K495" t="s">
        <v>87</v>
      </c>
      <c r="L495" t="s">
        <v>1533</v>
      </c>
      <c r="M495" t="s">
        <v>29</v>
      </c>
      <c r="N495" t="s">
        <v>53</v>
      </c>
      <c r="O495" t="s">
        <v>1534</v>
      </c>
      <c r="P495">
        <v>60.287999999999997</v>
      </c>
      <c r="Q495">
        <v>8</v>
      </c>
      <c r="R495">
        <v>-27.1296</v>
      </c>
      <c r="S495" t="s">
        <v>66</v>
      </c>
    </row>
    <row r="496" spans="1:19" x14ac:dyDescent="0.35">
      <c r="A496" t="s">
        <v>1846</v>
      </c>
      <c r="B496" s="1">
        <v>42558</v>
      </c>
      <c r="C496" s="1">
        <v>42562</v>
      </c>
      <c r="D496" t="s">
        <v>20</v>
      </c>
      <c r="E496" t="s">
        <v>1847</v>
      </c>
      <c r="F496" t="s">
        <v>1848</v>
      </c>
      <c r="G496" t="s">
        <v>84</v>
      </c>
      <c r="H496" t="s">
        <v>24</v>
      </c>
      <c r="I496" t="s">
        <v>171</v>
      </c>
      <c r="J496" t="s">
        <v>126</v>
      </c>
      <c r="K496" t="s">
        <v>87</v>
      </c>
      <c r="L496" t="s">
        <v>412</v>
      </c>
      <c r="M496" t="s">
        <v>29</v>
      </c>
      <c r="N496" t="s">
        <v>34</v>
      </c>
      <c r="O496" t="s">
        <v>413</v>
      </c>
      <c r="P496">
        <v>253.37200000000001</v>
      </c>
      <c r="Q496">
        <v>2</v>
      </c>
      <c r="R496">
        <v>-14.478400000000001</v>
      </c>
      <c r="S496" t="s">
        <v>66</v>
      </c>
    </row>
    <row r="497" spans="1:19" x14ac:dyDescent="0.35">
      <c r="A497" t="s">
        <v>1849</v>
      </c>
      <c r="B497" s="1">
        <v>42496</v>
      </c>
      <c r="C497" s="1">
        <v>42500</v>
      </c>
      <c r="D497" t="s">
        <v>37</v>
      </c>
      <c r="E497" t="s">
        <v>1850</v>
      </c>
      <c r="F497" t="s">
        <v>1851</v>
      </c>
      <c r="G497" t="s">
        <v>94</v>
      </c>
      <c r="H497" t="s">
        <v>24</v>
      </c>
      <c r="I497" t="s">
        <v>860</v>
      </c>
      <c r="J497" t="s">
        <v>223</v>
      </c>
      <c r="K497" t="s">
        <v>63</v>
      </c>
      <c r="L497" t="s">
        <v>78</v>
      </c>
      <c r="M497" t="s">
        <v>29</v>
      </c>
      <c r="N497" t="s">
        <v>53</v>
      </c>
      <c r="O497" t="s">
        <v>1852</v>
      </c>
      <c r="P497">
        <v>54.712000000000003</v>
      </c>
      <c r="Q497">
        <v>7</v>
      </c>
      <c r="R497">
        <v>11.626300000000001</v>
      </c>
      <c r="S497" t="s">
        <v>153</v>
      </c>
    </row>
    <row r="498" spans="1:19" x14ac:dyDescent="0.35">
      <c r="A498" t="s">
        <v>1853</v>
      </c>
      <c r="B498" s="1">
        <v>42344</v>
      </c>
      <c r="C498" s="1">
        <v>42348</v>
      </c>
      <c r="D498" t="s">
        <v>37</v>
      </c>
      <c r="E498" t="s">
        <v>1854</v>
      </c>
      <c r="F498" t="s">
        <v>1855</v>
      </c>
      <c r="G498" t="s">
        <v>23</v>
      </c>
      <c r="H498" t="s">
        <v>24</v>
      </c>
      <c r="I498" t="s">
        <v>165</v>
      </c>
      <c r="J498" t="s">
        <v>114</v>
      </c>
      <c r="K498" t="s">
        <v>63</v>
      </c>
      <c r="L498" t="s">
        <v>1509</v>
      </c>
      <c r="M498" t="s">
        <v>29</v>
      </c>
      <c r="N498" t="s">
        <v>53</v>
      </c>
      <c r="O498" t="s">
        <v>1510</v>
      </c>
      <c r="P498">
        <v>113.92</v>
      </c>
      <c r="Q498">
        <v>4</v>
      </c>
      <c r="R498">
        <v>42.150399999999998</v>
      </c>
      <c r="S498" t="s">
        <v>90</v>
      </c>
    </row>
    <row r="499" spans="1:19" x14ac:dyDescent="0.35">
      <c r="A499" t="s">
        <v>1856</v>
      </c>
      <c r="B499" s="1">
        <v>42640</v>
      </c>
      <c r="C499" s="1">
        <v>42646</v>
      </c>
      <c r="D499" t="s">
        <v>37</v>
      </c>
      <c r="E499" t="s">
        <v>1857</v>
      </c>
      <c r="F499" t="s">
        <v>1858</v>
      </c>
      <c r="G499" t="s">
        <v>84</v>
      </c>
      <c r="H499" t="s">
        <v>24</v>
      </c>
      <c r="I499" t="s">
        <v>1859</v>
      </c>
      <c r="J499" t="s">
        <v>86</v>
      </c>
      <c r="K499" t="s">
        <v>87</v>
      </c>
      <c r="L499" t="s">
        <v>1860</v>
      </c>
      <c r="M499" t="s">
        <v>29</v>
      </c>
      <c r="N499" t="s">
        <v>30</v>
      </c>
      <c r="O499" t="s">
        <v>1861</v>
      </c>
      <c r="P499">
        <v>956.66480000000001</v>
      </c>
      <c r="Q499">
        <v>7</v>
      </c>
      <c r="R499">
        <v>-225.0976</v>
      </c>
      <c r="S499" t="s">
        <v>72</v>
      </c>
    </row>
    <row r="500" spans="1:19" x14ac:dyDescent="0.35">
      <c r="A500" t="s">
        <v>1862</v>
      </c>
      <c r="B500" s="1">
        <v>42817</v>
      </c>
      <c r="C500" s="1">
        <v>42819</v>
      </c>
      <c r="D500" t="s">
        <v>81</v>
      </c>
      <c r="E500" t="s">
        <v>1863</v>
      </c>
      <c r="F500" t="s">
        <v>1864</v>
      </c>
      <c r="G500" t="s">
        <v>94</v>
      </c>
      <c r="H500" t="s">
        <v>24</v>
      </c>
      <c r="I500" t="s">
        <v>320</v>
      </c>
      <c r="J500" t="s">
        <v>50</v>
      </c>
      <c r="K500" t="s">
        <v>51</v>
      </c>
      <c r="L500" t="s">
        <v>1412</v>
      </c>
      <c r="M500" t="s">
        <v>29</v>
      </c>
      <c r="N500" t="s">
        <v>53</v>
      </c>
      <c r="O500" t="s">
        <v>1413</v>
      </c>
      <c r="P500">
        <v>211.84</v>
      </c>
      <c r="Q500">
        <v>8</v>
      </c>
      <c r="R500">
        <v>76.2624</v>
      </c>
      <c r="S500" t="s">
        <v>187</v>
      </c>
    </row>
    <row r="501" spans="1:19" x14ac:dyDescent="0.35">
      <c r="A501" t="s">
        <v>1865</v>
      </c>
      <c r="B501" s="1">
        <v>41955</v>
      </c>
      <c r="C501" s="1">
        <v>41959</v>
      </c>
      <c r="D501" t="s">
        <v>37</v>
      </c>
      <c r="E501" t="s">
        <v>1866</v>
      </c>
      <c r="F501" t="s">
        <v>1867</v>
      </c>
      <c r="G501" t="s">
        <v>23</v>
      </c>
      <c r="H501" t="s">
        <v>24</v>
      </c>
      <c r="I501" t="s">
        <v>49</v>
      </c>
      <c r="J501" t="s">
        <v>50</v>
      </c>
      <c r="K501" t="s">
        <v>51</v>
      </c>
      <c r="L501" t="s">
        <v>906</v>
      </c>
      <c r="M501" t="s">
        <v>29</v>
      </c>
      <c r="N501" t="s">
        <v>43</v>
      </c>
      <c r="O501" t="s">
        <v>907</v>
      </c>
      <c r="P501">
        <v>629.06399999999996</v>
      </c>
      <c r="Q501">
        <v>3</v>
      </c>
      <c r="R501">
        <v>31.453199999999999</v>
      </c>
      <c r="S501" t="s">
        <v>32</v>
      </c>
    </row>
    <row r="502" spans="1:19" x14ac:dyDescent="0.35">
      <c r="A502" t="s">
        <v>1868</v>
      </c>
      <c r="B502" s="1">
        <v>42733</v>
      </c>
      <c r="C502" s="1">
        <v>42737</v>
      </c>
      <c r="D502" t="s">
        <v>37</v>
      </c>
      <c r="E502" t="s">
        <v>489</v>
      </c>
      <c r="F502" t="s">
        <v>490</v>
      </c>
      <c r="G502" t="s">
        <v>23</v>
      </c>
      <c r="H502" t="s">
        <v>24</v>
      </c>
      <c r="I502" t="s">
        <v>896</v>
      </c>
      <c r="J502" t="s">
        <v>230</v>
      </c>
      <c r="K502" t="s">
        <v>87</v>
      </c>
      <c r="L502" t="s">
        <v>1841</v>
      </c>
      <c r="M502" t="s">
        <v>29</v>
      </c>
      <c r="N502" t="s">
        <v>34</v>
      </c>
      <c r="O502" t="s">
        <v>1842</v>
      </c>
      <c r="P502">
        <v>754.45</v>
      </c>
      <c r="Q502">
        <v>5</v>
      </c>
      <c r="R502">
        <v>60.356000000000002</v>
      </c>
      <c r="S502" t="s">
        <v>90</v>
      </c>
    </row>
    <row r="503" spans="1:19" x14ac:dyDescent="0.35">
      <c r="A503" t="s">
        <v>1869</v>
      </c>
      <c r="B503" s="1">
        <v>42191</v>
      </c>
      <c r="C503" s="1">
        <v>42196</v>
      </c>
      <c r="D503" t="s">
        <v>37</v>
      </c>
      <c r="E503" t="s">
        <v>1231</v>
      </c>
      <c r="F503" t="s">
        <v>1232</v>
      </c>
      <c r="G503" t="s">
        <v>94</v>
      </c>
      <c r="H503" t="s">
        <v>24</v>
      </c>
      <c r="I503" t="s">
        <v>1870</v>
      </c>
      <c r="J503" t="s">
        <v>425</v>
      </c>
      <c r="K503" t="s">
        <v>63</v>
      </c>
      <c r="L503" t="s">
        <v>520</v>
      </c>
      <c r="M503" t="s">
        <v>29</v>
      </c>
      <c r="N503" t="s">
        <v>30</v>
      </c>
      <c r="O503" t="s">
        <v>521</v>
      </c>
      <c r="P503">
        <v>301.95999999999998</v>
      </c>
      <c r="Q503">
        <v>2</v>
      </c>
      <c r="R503">
        <v>60.392000000000003</v>
      </c>
      <c r="S503" t="s">
        <v>66</v>
      </c>
    </row>
    <row r="504" spans="1:19" x14ac:dyDescent="0.35">
      <c r="A504" t="s">
        <v>1871</v>
      </c>
      <c r="B504" s="1">
        <v>43094</v>
      </c>
      <c r="C504" s="1">
        <v>43099</v>
      </c>
      <c r="D504" t="s">
        <v>37</v>
      </c>
      <c r="E504" t="s">
        <v>1872</v>
      </c>
      <c r="F504" t="s">
        <v>1873</v>
      </c>
      <c r="G504" t="s">
        <v>23</v>
      </c>
      <c r="H504" t="s">
        <v>24</v>
      </c>
      <c r="I504" t="s">
        <v>1571</v>
      </c>
      <c r="J504" t="s">
        <v>223</v>
      </c>
      <c r="K504" t="s">
        <v>63</v>
      </c>
      <c r="L504" t="s">
        <v>1874</v>
      </c>
      <c r="M504" t="s">
        <v>29</v>
      </c>
      <c r="N504" t="s">
        <v>43</v>
      </c>
      <c r="O504" t="s">
        <v>1875</v>
      </c>
      <c r="P504">
        <v>273.06</v>
      </c>
      <c r="Q504">
        <v>2</v>
      </c>
      <c r="R504">
        <v>-104.673</v>
      </c>
      <c r="S504" t="s">
        <v>90</v>
      </c>
    </row>
    <row r="505" spans="1:19" x14ac:dyDescent="0.35">
      <c r="A505" t="s">
        <v>1876</v>
      </c>
      <c r="B505" s="1">
        <v>42532</v>
      </c>
      <c r="C505" s="1">
        <v>42538</v>
      </c>
      <c r="D505" t="s">
        <v>37</v>
      </c>
      <c r="E505" t="s">
        <v>1877</v>
      </c>
      <c r="F505" t="s">
        <v>1878</v>
      </c>
      <c r="G505" t="s">
        <v>84</v>
      </c>
      <c r="H505" t="s">
        <v>24</v>
      </c>
      <c r="I505" t="s">
        <v>680</v>
      </c>
      <c r="J505" t="s">
        <v>86</v>
      </c>
      <c r="K505" t="s">
        <v>87</v>
      </c>
      <c r="L505" t="s">
        <v>1399</v>
      </c>
      <c r="M505" t="s">
        <v>29</v>
      </c>
      <c r="N505" t="s">
        <v>53</v>
      </c>
      <c r="O505" t="s">
        <v>1400</v>
      </c>
      <c r="P505">
        <v>12.544</v>
      </c>
      <c r="Q505">
        <v>7</v>
      </c>
      <c r="R505">
        <v>-9.0944000000000003</v>
      </c>
      <c r="S505" t="s">
        <v>55</v>
      </c>
    </row>
    <row r="506" spans="1:19" x14ac:dyDescent="0.35">
      <c r="A506" t="s">
        <v>1879</v>
      </c>
      <c r="B506" s="1">
        <v>43097</v>
      </c>
      <c r="C506" s="1">
        <v>43102</v>
      </c>
      <c r="D506" t="s">
        <v>37</v>
      </c>
      <c r="E506" t="s">
        <v>1857</v>
      </c>
      <c r="F506" t="s">
        <v>1858</v>
      </c>
      <c r="G506" t="s">
        <v>84</v>
      </c>
      <c r="H506" t="s">
        <v>24</v>
      </c>
      <c r="I506" t="s">
        <v>183</v>
      </c>
      <c r="J506" t="s">
        <v>184</v>
      </c>
      <c r="K506" t="s">
        <v>51</v>
      </c>
      <c r="L506" t="s">
        <v>437</v>
      </c>
      <c r="M506" t="s">
        <v>29</v>
      </c>
      <c r="N506" t="s">
        <v>53</v>
      </c>
      <c r="O506" t="s">
        <v>438</v>
      </c>
      <c r="P506">
        <v>7.4</v>
      </c>
      <c r="Q506">
        <v>2</v>
      </c>
      <c r="R506">
        <v>3.0339999999999998</v>
      </c>
      <c r="S506" t="s">
        <v>90</v>
      </c>
    </row>
    <row r="507" spans="1:19" x14ac:dyDescent="0.35">
      <c r="A507" t="s">
        <v>1880</v>
      </c>
      <c r="B507" s="1">
        <v>41723</v>
      </c>
      <c r="C507" s="1">
        <v>41730</v>
      </c>
      <c r="D507" t="s">
        <v>37</v>
      </c>
      <c r="E507" t="s">
        <v>1881</v>
      </c>
      <c r="F507" t="s">
        <v>1882</v>
      </c>
      <c r="G507" t="s">
        <v>23</v>
      </c>
      <c r="H507" t="s">
        <v>24</v>
      </c>
      <c r="I507" t="s">
        <v>165</v>
      </c>
      <c r="J507" t="s">
        <v>114</v>
      </c>
      <c r="K507" t="s">
        <v>63</v>
      </c>
      <c r="L507" t="s">
        <v>1883</v>
      </c>
      <c r="M507" t="s">
        <v>29</v>
      </c>
      <c r="N507" t="s">
        <v>34</v>
      </c>
      <c r="O507" t="s">
        <v>1884</v>
      </c>
      <c r="P507">
        <v>366.786</v>
      </c>
      <c r="Q507">
        <v>7</v>
      </c>
      <c r="R507">
        <v>65.206400000000002</v>
      </c>
      <c r="S507" t="s">
        <v>187</v>
      </c>
    </row>
    <row r="508" spans="1:19" x14ac:dyDescent="0.35">
      <c r="A508" t="s">
        <v>1885</v>
      </c>
      <c r="B508" s="1">
        <v>42919</v>
      </c>
      <c r="C508" s="1">
        <v>42926</v>
      </c>
      <c r="D508" t="s">
        <v>37</v>
      </c>
      <c r="E508" t="s">
        <v>1222</v>
      </c>
      <c r="F508" t="s">
        <v>1223</v>
      </c>
      <c r="G508" t="s">
        <v>23</v>
      </c>
      <c r="H508" t="s">
        <v>24</v>
      </c>
      <c r="I508" t="s">
        <v>1886</v>
      </c>
      <c r="J508" t="s">
        <v>1887</v>
      </c>
      <c r="K508" t="s">
        <v>51</v>
      </c>
      <c r="L508" t="s">
        <v>136</v>
      </c>
      <c r="M508" t="s">
        <v>29</v>
      </c>
      <c r="N508" t="s">
        <v>53</v>
      </c>
      <c r="O508" t="s">
        <v>137</v>
      </c>
      <c r="P508">
        <v>545.85</v>
      </c>
      <c r="Q508">
        <v>9</v>
      </c>
      <c r="R508">
        <v>114.6285</v>
      </c>
      <c r="S508" t="s">
        <v>66</v>
      </c>
    </row>
    <row r="509" spans="1:19" x14ac:dyDescent="0.35">
      <c r="A509" t="s">
        <v>1888</v>
      </c>
      <c r="B509" s="1">
        <v>41961</v>
      </c>
      <c r="C509" s="1">
        <v>41963</v>
      </c>
      <c r="D509" t="s">
        <v>20</v>
      </c>
      <c r="E509" t="s">
        <v>1889</v>
      </c>
      <c r="F509" t="s">
        <v>1890</v>
      </c>
      <c r="G509" t="s">
        <v>23</v>
      </c>
      <c r="H509" t="s">
        <v>24</v>
      </c>
      <c r="I509" t="s">
        <v>856</v>
      </c>
      <c r="J509" t="s">
        <v>172</v>
      </c>
      <c r="K509" t="s">
        <v>51</v>
      </c>
      <c r="L509" t="s">
        <v>1891</v>
      </c>
      <c r="M509" t="s">
        <v>29</v>
      </c>
      <c r="N509" t="s">
        <v>43</v>
      </c>
      <c r="O509" t="s">
        <v>1892</v>
      </c>
      <c r="P509">
        <v>145.97999999999999</v>
      </c>
      <c r="Q509">
        <v>2</v>
      </c>
      <c r="R509">
        <v>-99.266400000000004</v>
      </c>
      <c r="S509" t="s">
        <v>32</v>
      </c>
    </row>
    <row r="510" spans="1:19" x14ac:dyDescent="0.35">
      <c r="A510" t="s">
        <v>1893</v>
      </c>
      <c r="B510" s="1">
        <v>42933</v>
      </c>
      <c r="C510" s="1">
        <v>42938</v>
      </c>
      <c r="D510" t="s">
        <v>37</v>
      </c>
      <c r="E510" t="s">
        <v>1894</v>
      </c>
      <c r="F510" t="s">
        <v>1895</v>
      </c>
      <c r="G510" t="s">
        <v>23</v>
      </c>
      <c r="H510" t="s">
        <v>24</v>
      </c>
      <c r="I510" t="s">
        <v>295</v>
      </c>
      <c r="J510" t="s">
        <v>41</v>
      </c>
      <c r="K510" t="s">
        <v>27</v>
      </c>
      <c r="L510" t="s">
        <v>793</v>
      </c>
      <c r="M510" t="s">
        <v>29</v>
      </c>
      <c r="N510" t="s">
        <v>53</v>
      </c>
      <c r="O510" t="s">
        <v>794</v>
      </c>
      <c r="P510">
        <v>7.9039999999999999</v>
      </c>
      <c r="Q510">
        <v>2</v>
      </c>
      <c r="R510">
        <v>2.1736</v>
      </c>
      <c r="S510" t="s">
        <v>66</v>
      </c>
    </row>
    <row r="511" spans="1:19" x14ac:dyDescent="0.35">
      <c r="A511" t="s">
        <v>1896</v>
      </c>
      <c r="B511" s="1">
        <v>42512</v>
      </c>
      <c r="C511" s="1">
        <v>42517</v>
      </c>
      <c r="D511" t="s">
        <v>37</v>
      </c>
      <c r="E511" t="s">
        <v>1724</v>
      </c>
      <c r="F511" t="s">
        <v>1725</v>
      </c>
      <c r="G511" t="s">
        <v>23</v>
      </c>
      <c r="H511" t="s">
        <v>24</v>
      </c>
      <c r="I511" t="s">
        <v>1897</v>
      </c>
      <c r="J511" t="s">
        <v>354</v>
      </c>
      <c r="K511" t="s">
        <v>63</v>
      </c>
      <c r="L511" t="s">
        <v>282</v>
      </c>
      <c r="M511" t="s">
        <v>29</v>
      </c>
      <c r="N511" t="s">
        <v>43</v>
      </c>
      <c r="O511" t="s">
        <v>283</v>
      </c>
      <c r="P511">
        <v>174.286</v>
      </c>
      <c r="Q511">
        <v>2</v>
      </c>
      <c r="R511">
        <v>-19.918399999999998</v>
      </c>
      <c r="S511" t="s">
        <v>153</v>
      </c>
    </row>
    <row r="512" spans="1:19" x14ac:dyDescent="0.35">
      <c r="A512" t="s">
        <v>1898</v>
      </c>
      <c r="B512" s="1">
        <v>42674</v>
      </c>
      <c r="C512" s="1">
        <v>42680</v>
      </c>
      <c r="D512" t="s">
        <v>37</v>
      </c>
      <c r="E512" t="s">
        <v>590</v>
      </c>
      <c r="F512" t="s">
        <v>591</v>
      </c>
      <c r="G512" t="s">
        <v>23</v>
      </c>
      <c r="H512" t="s">
        <v>24</v>
      </c>
      <c r="I512" t="s">
        <v>61</v>
      </c>
      <c r="J512" t="s">
        <v>62</v>
      </c>
      <c r="K512" t="s">
        <v>63</v>
      </c>
      <c r="L512" t="s">
        <v>1523</v>
      </c>
      <c r="M512" t="s">
        <v>29</v>
      </c>
      <c r="N512" t="s">
        <v>34</v>
      </c>
      <c r="O512" t="s">
        <v>1524</v>
      </c>
      <c r="P512">
        <v>492.83499999999998</v>
      </c>
      <c r="Q512">
        <v>5</v>
      </c>
      <c r="R512">
        <v>-14.081</v>
      </c>
      <c r="S512" t="s">
        <v>45</v>
      </c>
    </row>
    <row r="513" spans="1:19" x14ac:dyDescent="0.35">
      <c r="A513" t="s">
        <v>1899</v>
      </c>
      <c r="B513" s="1">
        <v>42391</v>
      </c>
      <c r="C513" s="1">
        <v>42397</v>
      </c>
      <c r="D513" t="s">
        <v>37</v>
      </c>
      <c r="E513" t="s">
        <v>1900</v>
      </c>
      <c r="F513" t="s">
        <v>1901</v>
      </c>
      <c r="G513" t="s">
        <v>23</v>
      </c>
      <c r="H513" t="s">
        <v>24</v>
      </c>
      <c r="I513" t="s">
        <v>1902</v>
      </c>
      <c r="J513" t="s">
        <v>1027</v>
      </c>
      <c r="K513" t="s">
        <v>27</v>
      </c>
      <c r="L513" t="s">
        <v>1903</v>
      </c>
      <c r="M513" t="s">
        <v>29</v>
      </c>
      <c r="N513" t="s">
        <v>53</v>
      </c>
      <c r="O513" t="s">
        <v>1904</v>
      </c>
      <c r="P513">
        <v>14.272</v>
      </c>
      <c r="Q513">
        <v>8</v>
      </c>
      <c r="R513">
        <v>4.2816000000000001</v>
      </c>
      <c r="S513" t="s">
        <v>161</v>
      </c>
    </row>
    <row r="514" spans="1:19" x14ac:dyDescent="0.35">
      <c r="A514" t="s">
        <v>1899</v>
      </c>
      <c r="B514" s="1">
        <v>42391</v>
      </c>
      <c r="C514" s="1">
        <v>42397</v>
      </c>
      <c r="D514" t="s">
        <v>37</v>
      </c>
      <c r="E514" t="s">
        <v>1900</v>
      </c>
      <c r="F514" t="s">
        <v>1901</v>
      </c>
      <c r="G514" t="s">
        <v>23</v>
      </c>
      <c r="H514" t="s">
        <v>24</v>
      </c>
      <c r="I514" t="s">
        <v>1902</v>
      </c>
      <c r="J514" t="s">
        <v>1027</v>
      </c>
      <c r="K514" t="s">
        <v>27</v>
      </c>
      <c r="L514" t="s">
        <v>1686</v>
      </c>
      <c r="M514" t="s">
        <v>29</v>
      </c>
      <c r="N514" t="s">
        <v>30</v>
      </c>
      <c r="O514" t="s">
        <v>1905</v>
      </c>
      <c r="P514">
        <v>451.13600000000002</v>
      </c>
      <c r="Q514">
        <v>4</v>
      </c>
      <c r="R514">
        <v>-67.670400000000001</v>
      </c>
      <c r="S514" t="s">
        <v>161</v>
      </c>
    </row>
    <row r="515" spans="1:19" x14ac:dyDescent="0.35">
      <c r="A515" t="s">
        <v>1906</v>
      </c>
      <c r="B515" s="1">
        <v>42677</v>
      </c>
      <c r="C515" s="1">
        <v>42680</v>
      </c>
      <c r="D515" t="s">
        <v>81</v>
      </c>
      <c r="E515" t="s">
        <v>1907</v>
      </c>
      <c r="F515" t="s">
        <v>1908</v>
      </c>
      <c r="G515" t="s">
        <v>23</v>
      </c>
      <c r="H515" t="s">
        <v>24</v>
      </c>
      <c r="I515" t="s">
        <v>49</v>
      </c>
      <c r="J515" t="s">
        <v>50</v>
      </c>
      <c r="K515" t="s">
        <v>51</v>
      </c>
      <c r="L515" t="s">
        <v>1909</v>
      </c>
      <c r="M515" t="s">
        <v>29</v>
      </c>
      <c r="N515" t="s">
        <v>34</v>
      </c>
      <c r="O515" t="s">
        <v>1910</v>
      </c>
      <c r="P515">
        <v>217.584</v>
      </c>
      <c r="Q515">
        <v>2</v>
      </c>
      <c r="R515">
        <v>-29.9178</v>
      </c>
      <c r="S515" t="s">
        <v>32</v>
      </c>
    </row>
    <row r="516" spans="1:19" x14ac:dyDescent="0.35">
      <c r="A516" t="s">
        <v>1911</v>
      </c>
      <c r="B516" s="1">
        <v>42982</v>
      </c>
      <c r="C516" s="1">
        <v>42986</v>
      </c>
      <c r="D516" t="s">
        <v>20</v>
      </c>
      <c r="E516" t="s">
        <v>1912</v>
      </c>
      <c r="F516" t="s">
        <v>1913</v>
      </c>
      <c r="G516" t="s">
        <v>84</v>
      </c>
      <c r="H516" t="s">
        <v>24</v>
      </c>
      <c r="I516" t="s">
        <v>49</v>
      </c>
      <c r="J516" t="s">
        <v>50</v>
      </c>
      <c r="K516" t="s">
        <v>51</v>
      </c>
      <c r="L516" t="s">
        <v>742</v>
      </c>
      <c r="M516" t="s">
        <v>29</v>
      </c>
      <c r="N516" t="s">
        <v>43</v>
      </c>
      <c r="O516" t="s">
        <v>743</v>
      </c>
      <c r="P516">
        <v>1322.3520000000001</v>
      </c>
      <c r="Q516">
        <v>3</v>
      </c>
      <c r="R516">
        <v>-99.176400000000001</v>
      </c>
      <c r="S516" t="s">
        <v>72</v>
      </c>
    </row>
    <row r="517" spans="1:19" x14ac:dyDescent="0.35">
      <c r="A517" t="s">
        <v>1914</v>
      </c>
      <c r="B517" s="1">
        <v>42975</v>
      </c>
      <c r="C517" s="1">
        <v>42981</v>
      </c>
      <c r="D517" t="s">
        <v>37</v>
      </c>
      <c r="E517" t="s">
        <v>1915</v>
      </c>
      <c r="F517" t="s">
        <v>1916</v>
      </c>
      <c r="G517" t="s">
        <v>94</v>
      </c>
      <c r="H517" t="s">
        <v>24</v>
      </c>
      <c r="I517" t="s">
        <v>183</v>
      </c>
      <c r="J517" t="s">
        <v>184</v>
      </c>
      <c r="K517" t="s">
        <v>51</v>
      </c>
      <c r="L517" t="s">
        <v>432</v>
      </c>
      <c r="M517" t="s">
        <v>29</v>
      </c>
      <c r="N517" t="s">
        <v>43</v>
      </c>
      <c r="O517" t="s">
        <v>433</v>
      </c>
      <c r="P517">
        <v>1137.75</v>
      </c>
      <c r="Q517">
        <v>5</v>
      </c>
      <c r="R517">
        <v>250.30500000000001</v>
      </c>
      <c r="S517" t="s">
        <v>245</v>
      </c>
    </row>
    <row r="518" spans="1:19" x14ac:dyDescent="0.35">
      <c r="A518" t="s">
        <v>1917</v>
      </c>
      <c r="B518" s="1">
        <v>42623</v>
      </c>
      <c r="C518" s="1">
        <v>42627</v>
      </c>
      <c r="D518" t="s">
        <v>20</v>
      </c>
      <c r="E518" t="s">
        <v>1918</v>
      </c>
      <c r="F518" t="s">
        <v>1919</v>
      </c>
      <c r="G518" t="s">
        <v>23</v>
      </c>
      <c r="H518" t="s">
        <v>24</v>
      </c>
      <c r="I518" t="s">
        <v>95</v>
      </c>
      <c r="J518" t="s">
        <v>86</v>
      </c>
      <c r="K518" t="s">
        <v>87</v>
      </c>
      <c r="L518" t="s">
        <v>1053</v>
      </c>
      <c r="M518" t="s">
        <v>29</v>
      </c>
      <c r="N518" t="s">
        <v>43</v>
      </c>
      <c r="O518" t="s">
        <v>1054</v>
      </c>
      <c r="P518">
        <v>300.93</v>
      </c>
      <c r="Q518">
        <v>5</v>
      </c>
      <c r="R518">
        <v>-34.392000000000003</v>
      </c>
      <c r="S518" t="s">
        <v>72</v>
      </c>
    </row>
    <row r="519" spans="1:19" x14ac:dyDescent="0.35">
      <c r="A519" t="s">
        <v>1920</v>
      </c>
      <c r="B519" s="1">
        <v>41806</v>
      </c>
      <c r="C519" s="1">
        <v>41812</v>
      </c>
      <c r="D519" t="s">
        <v>37</v>
      </c>
      <c r="E519" t="s">
        <v>1921</v>
      </c>
      <c r="F519" t="s">
        <v>1922</v>
      </c>
      <c r="G519" t="s">
        <v>23</v>
      </c>
      <c r="H519" t="s">
        <v>24</v>
      </c>
      <c r="I519" t="s">
        <v>1923</v>
      </c>
      <c r="J519" t="s">
        <v>104</v>
      </c>
      <c r="K519" t="s">
        <v>87</v>
      </c>
      <c r="L519" t="s">
        <v>501</v>
      </c>
      <c r="M519" t="s">
        <v>29</v>
      </c>
      <c r="N519" t="s">
        <v>34</v>
      </c>
      <c r="O519" t="s">
        <v>502</v>
      </c>
      <c r="P519">
        <v>647.84</v>
      </c>
      <c r="Q519">
        <v>8</v>
      </c>
      <c r="R519">
        <v>32.392000000000003</v>
      </c>
      <c r="S519" t="s">
        <v>55</v>
      </c>
    </row>
    <row r="520" spans="1:19" x14ac:dyDescent="0.35">
      <c r="A520" t="s">
        <v>1924</v>
      </c>
      <c r="B520" s="1">
        <v>41845</v>
      </c>
      <c r="C520" s="1">
        <v>41847</v>
      </c>
      <c r="D520" t="s">
        <v>20</v>
      </c>
      <c r="E520" t="s">
        <v>303</v>
      </c>
      <c r="F520" t="s">
        <v>304</v>
      </c>
      <c r="G520" t="s">
        <v>23</v>
      </c>
      <c r="H520" t="s">
        <v>24</v>
      </c>
      <c r="I520" t="s">
        <v>320</v>
      </c>
      <c r="J520" t="s">
        <v>50</v>
      </c>
      <c r="K520" t="s">
        <v>51</v>
      </c>
      <c r="L520" t="s">
        <v>307</v>
      </c>
      <c r="M520" t="s">
        <v>29</v>
      </c>
      <c r="N520" t="s">
        <v>53</v>
      </c>
      <c r="O520" t="s">
        <v>308</v>
      </c>
      <c r="P520">
        <v>77.92</v>
      </c>
      <c r="Q520">
        <v>8</v>
      </c>
      <c r="R520">
        <v>34.284799999999997</v>
      </c>
      <c r="S520" t="s">
        <v>66</v>
      </c>
    </row>
    <row r="521" spans="1:19" x14ac:dyDescent="0.35">
      <c r="A521" t="s">
        <v>1925</v>
      </c>
      <c r="B521" s="1">
        <v>42685</v>
      </c>
      <c r="C521" s="1">
        <v>42691</v>
      </c>
      <c r="D521" t="s">
        <v>37</v>
      </c>
      <c r="E521" t="s">
        <v>1926</v>
      </c>
      <c r="F521" t="s">
        <v>1927</v>
      </c>
      <c r="G521" t="s">
        <v>84</v>
      </c>
      <c r="H521" t="s">
        <v>24</v>
      </c>
      <c r="I521" t="s">
        <v>125</v>
      </c>
      <c r="J521" t="s">
        <v>126</v>
      </c>
      <c r="K521" t="s">
        <v>87</v>
      </c>
      <c r="L521" t="s">
        <v>1093</v>
      </c>
      <c r="M521" t="s">
        <v>29</v>
      </c>
      <c r="N521" t="s">
        <v>34</v>
      </c>
      <c r="O521" t="s">
        <v>1094</v>
      </c>
      <c r="P521">
        <v>47.991999999999997</v>
      </c>
      <c r="Q521">
        <v>2</v>
      </c>
      <c r="R521">
        <v>-2.0568</v>
      </c>
      <c r="S521" t="s">
        <v>32</v>
      </c>
    </row>
    <row r="522" spans="1:19" x14ac:dyDescent="0.35">
      <c r="A522" t="s">
        <v>1928</v>
      </c>
      <c r="B522" s="1">
        <v>42857</v>
      </c>
      <c r="C522" s="1">
        <v>42862</v>
      </c>
      <c r="D522" t="s">
        <v>37</v>
      </c>
      <c r="E522" t="s">
        <v>1929</v>
      </c>
      <c r="F522" t="s">
        <v>1930</v>
      </c>
      <c r="G522" t="s">
        <v>84</v>
      </c>
      <c r="H522" t="s">
        <v>24</v>
      </c>
      <c r="I522" t="s">
        <v>1931</v>
      </c>
      <c r="J522" t="s">
        <v>354</v>
      </c>
      <c r="K522" t="s">
        <v>63</v>
      </c>
      <c r="L522" t="s">
        <v>981</v>
      </c>
      <c r="M522" t="s">
        <v>29</v>
      </c>
      <c r="N522" t="s">
        <v>53</v>
      </c>
      <c r="O522" t="s">
        <v>982</v>
      </c>
      <c r="P522">
        <v>129.93</v>
      </c>
      <c r="Q522">
        <v>3</v>
      </c>
      <c r="R522">
        <v>12.993</v>
      </c>
      <c r="S522" t="s">
        <v>153</v>
      </c>
    </row>
    <row r="523" spans="1:19" x14ac:dyDescent="0.35">
      <c r="A523" t="s">
        <v>1932</v>
      </c>
      <c r="B523" s="1">
        <v>42031</v>
      </c>
      <c r="C523" s="1">
        <v>42033</v>
      </c>
      <c r="D523" t="s">
        <v>20</v>
      </c>
      <c r="E523" t="s">
        <v>730</v>
      </c>
      <c r="F523" t="s">
        <v>731</v>
      </c>
      <c r="G523" t="s">
        <v>23</v>
      </c>
      <c r="H523" t="s">
        <v>24</v>
      </c>
      <c r="I523" t="s">
        <v>684</v>
      </c>
      <c r="J523" t="s">
        <v>223</v>
      </c>
      <c r="K523" t="s">
        <v>63</v>
      </c>
      <c r="L523" t="s">
        <v>134</v>
      </c>
      <c r="M523" t="s">
        <v>29</v>
      </c>
      <c r="N523" t="s">
        <v>34</v>
      </c>
      <c r="O523" t="s">
        <v>135</v>
      </c>
      <c r="P523">
        <v>181.98599999999999</v>
      </c>
      <c r="Q523">
        <v>2</v>
      </c>
      <c r="R523">
        <v>-54.595799999999997</v>
      </c>
      <c r="S523" t="s">
        <v>161</v>
      </c>
    </row>
    <row r="524" spans="1:19" x14ac:dyDescent="0.35">
      <c r="A524" t="s">
        <v>1933</v>
      </c>
      <c r="B524" s="1">
        <v>42201</v>
      </c>
      <c r="C524" s="1">
        <v>42201</v>
      </c>
      <c r="D524" t="s">
        <v>417</v>
      </c>
      <c r="E524" t="s">
        <v>1934</v>
      </c>
      <c r="F524" t="s">
        <v>1935</v>
      </c>
      <c r="G524" t="s">
        <v>84</v>
      </c>
      <c r="H524" t="s">
        <v>24</v>
      </c>
      <c r="I524" t="s">
        <v>320</v>
      </c>
      <c r="J524" t="s">
        <v>50</v>
      </c>
      <c r="K524" t="s">
        <v>51</v>
      </c>
      <c r="L524" t="s">
        <v>397</v>
      </c>
      <c r="M524" t="s">
        <v>29</v>
      </c>
      <c r="N524" t="s">
        <v>34</v>
      </c>
      <c r="O524" t="s">
        <v>398</v>
      </c>
      <c r="P524">
        <v>1348.704</v>
      </c>
      <c r="Q524">
        <v>6</v>
      </c>
      <c r="R524">
        <v>-219.1644</v>
      </c>
      <c r="S524" t="s">
        <v>66</v>
      </c>
    </row>
    <row r="525" spans="1:19" x14ac:dyDescent="0.35">
      <c r="A525" t="s">
        <v>1933</v>
      </c>
      <c r="B525" s="1">
        <v>42201</v>
      </c>
      <c r="C525" s="1">
        <v>42201</v>
      </c>
      <c r="D525" t="s">
        <v>417</v>
      </c>
      <c r="E525" t="s">
        <v>1934</v>
      </c>
      <c r="F525" t="s">
        <v>1935</v>
      </c>
      <c r="G525" t="s">
        <v>84</v>
      </c>
      <c r="H525" t="s">
        <v>24</v>
      </c>
      <c r="I525" t="s">
        <v>320</v>
      </c>
      <c r="J525" t="s">
        <v>50</v>
      </c>
      <c r="K525" t="s">
        <v>51</v>
      </c>
      <c r="L525" t="s">
        <v>373</v>
      </c>
      <c r="M525" t="s">
        <v>29</v>
      </c>
      <c r="N525" t="s">
        <v>34</v>
      </c>
      <c r="O525" t="s">
        <v>374</v>
      </c>
      <c r="P525">
        <v>700.15200000000004</v>
      </c>
      <c r="Q525">
        <v>3</v>
      </c>
      <c r="R525">
        <v>78.767099999999999</v>
      </c>
      <c r="S525" t="s">
        <v>66</v>
      </c>
    </row>
    <row r="526" spans="1:19" x14ac:dyDescent="0.35">
      <c r="A526" t="s">
        <v>1936</v>
      </c>
      <c r="B526" s="1">
        <v>42490</v>
      </c>
      <c r="C526" s="1">
        <v>42494</v>
      </c>
      <c r="D526" t="s">
        <v>37</v>
      </c>
      <c r="E526" t="s">
        <v>1937</v>
      </c>
      <c r="F526" t="s">
        <v>1938</v>
      </c>
      <c r="G526" t="s">
        <v>84</v>
      </c>
      <c r="H526" t="s">
        <v>24</v>
      </c>
      <c r="I526" t="s">
        <v>1939</v>
      </c>
      <c r="J526" t="s">
        <v>511</v>
      </c>
      <c r="K526" t="s">
        <v>51</v>
      </c>
      <c r="L526" t="s">
        <v>688</v>
      </c>
      <c r="M526" t="s">
        <v>29</v>
      </c>
      <c r="N526" t="s">
        <v>53</v>
      </c>
      <c r="O526" t="s">
        <v>689</v>
      </c>
      <c r="P526">
        <v>111.88800000000001</v>
      </c>
      <c r="Q526">
        <v>7</v>
      </c>
      <c r="R526">
        <v>22.377600000000001</v>
      </c>
      <c r="S526" t="s">
        <v>107</v>
      </c>
    </row>
    <row r="527" spans="1:19" x14ac:dyDescent="0.35">
      <c r="A527" t="s">
        <v>1940</v>
      </c>
      <c r="B527" s="1">
        <v>42621</v>
      </c>
      <c r="C527" s="1">
        <v>42627</v>
      </c>
      <c r="D527" t="s">
        <v>37</v>
      </c>
      <c r="E527" t="s">
        <v>1941</v>
      </c>
      <c r="F527" t="s">
        <v>1942</v>
      </c>
      <c r="G527" t="s">
        <v>94</v>
      </c>
      <c r="H527" t="s">
        <v>24</v>
      </c>
      <c r="I527" t="s">
        <v>1943</v>
      </c>
      <c r="J527" t="s">
        <v>425</v>
      </c>
      <c r="K527" t="s">
        <v>63</v>
      </c>
      <c r="L527" t="s">
        <v>1944</v>
      </c>
      <c r="M527" t="s">
        <v>29</v>
      </c>
      <c r="N527" t="s">
        <v>30</v>
      </c>
      <c r="O527" t="s">
        <v>1945</v>
      </c>
      <c r="P527">
        <v>173.94</v>
      </c>
      <c r="Q527">
        <v>3</v>
      </c>
      <c r="R527">
        <v>13.9152</v>
      </c>
      <c r="S527" t="s">
        <v>72</v>
      </c>
    </row>
    <row r="528" spans="1:19" x14ac:dyDescent="0.35">
      <c r="A528" t="s">
        <v>1946</v>
      </c>
      <c r="B528" s="1">
        <v>42841</v>
      </c>
      <c r="C528" s="1">
        <v>42845</v>
      </c>
      <c r="D528" t="s">
        <v>37</v>
      </c>
      <c r="E528" t="s">
        <v>130</v>
      </c>
      <c r="F528" t="s">
        <v>131</v>
      </c>
      <c r="G528" t="s">
        <v>23</v>
      </c>
      <c r="H528" t="s">
        <v>24</v>
      </c>
      <c r="I528" t="s">
        <v>1482</v>
      </c>
      <c r="J528" t="s">
        <v>50</v>
      </c>
      <c r="K528" t="s">
        <v>51</v>
      </c>
      <c r="L528" t="s">
        <v>533</v>
      </c>
      <c r="M528" t="s">
        <v>29</v>
      </c>
      <c r="N528" t="s">
        <v>30</v>
      </c>
      <c r="O528" t="s">
        <v>534</v>
      </c>
      <c r="P528">
        <v>102.833</v>
      </c>
      <c r="Q528">
        <v>1</v>
      </c>
      <c r="R528">
        <v>-6.0490000000000004</v>
      </c>
      <c r="S528" t="s">
        <v>107</v>
      </c>
    </row>
    <row r="529" spans="1:19" x14ac:dyDescent="0.35">
      <c r="A529" t="s">
        <v>1947</v>
      </c>
      <c r="B529" s="1">
        <v>43058</v>
      </c>
      <c r="C529" s="1">
        <v>43062</v>
      </c>
      <c r="D529" t="s">
        <v>37</v>
      </c>
      <c r="E529" t="s">
        <v>1253</v>
      </c>
      <c r="F529" t="s">
        <v>1254</v>
      </c>
      <c r="G529" t="s">
        <v>23</v>
      </c>
      <c r="H529" t="s">
        <v>24</v>
      </c>
      <c r="I529" t="s">
        <v>25</v>
      </c>
      <c r="J529" t="s">
        <v>26</v>
      </c>
      <c r="K529" t="s">
        <v>27</v>
      </c>
      <c r="L529" t="s">
        <v>1948</v>
      </c>
      <c r="M529" t="s">
        <v>29</v>
      </c>
      <c r="N529" t="s">
        <v>53</v>
      </c>
      <c r="O529" t="s">
        <v>1949</v>
      </c>
      <c r="P529">
        <v>821.88</v>
      </c>
      <c r="Q529">
        <v>6</v>
      </c>
      <c r="R529">
        <v>213.68879999999999</v>
      </c>
      <c r="S529" t="s">
        <v>32</v>
      </c>
    </row>
    <row r="530" spans="1:19" x14ac:dyDescent="0.35">
      <c r="A530" t="s">
        <v>1950</v>
      </c>
      <c r="B530" s="1">
        <v>42651</v>
      </c>
      <c r="C530" s="1">
        <v>42657</v>
      </c>
      <c r="D530" t="s">
        <v>37</v>
      </c>
      <c r="E530" t="s">
        <v>1951</v>
      </c>
      <c r="F530" t="s">
        <v>1952</v>
      </c>
      <c r="G530" t="s">
        <v>84</v>
      </c>
      <c r="H530" t="s">
        <v>24</v>
      </c>
      <c r="I530" t="s">
        <v>95</v>
      </c>
      <c r="J530" t="s">
        <v>86</v>
      </c>
      <c r="K530" t="s">
        <v>87</v>
      </c>
      <c r="L530" t="s">
        <v>1953</v>
      </c>
      <c r="M530" t="s">
        <v>29</v>
      </c>
      <c r="N530" t="s">
        <v>53</v>
      </c>
      <c r="O530" t="s">
        <v>1954</v>
      </c>
      <c r="P530">
        <v>51.712000000000003</v>
      </c>
      <c r="Q530">
        <v>8</v>
      </c>
      <c r="R530">
        <v>-32.32</v>
      </c>
      <c r="S530" t="s">
        <v>45</v>
      </c>
    </row>
    <row r="531" spans="1:19" x14ac:dyDescent="0.35">
      <c r="A531" t="s">
        <v>1955</v>
      </c>
      <c r="B531" s="1">
        <v>42155</v>
      </c>
      <c r="C531" s="1">
        <v>42159</v>
      </c>
      <c r="D531" t="s">
        <v>37</v>
      </c>
      <c r="E531" t="s">
        <v>1956</v>
      </c>
      <c r="F531" t="s">
        <v>1957</v>
      </c>
      <c r="G531" t="s">
        <v>23</v>
      </c>
      <c r="H531" t="s">
        <v>24</v>
      </c>
      <c r="I531" t="s">
        <v>70</v>
      </c>
      <c r="J531" t="s">
        <v>71</v>
      </c>
      <c r="K531" t="s">
        <v>51</v>
      </c>
      <c r="L531" t="s">
        <v>1958</v>
      </c>
      <c r="M531" t="s">
        <v>29</v>
      </c>
      <c r="N531" t="s">
        <v>30</v>
      </c>
      <c r="O531" t="s">
        <v>1959</v>
      </c>
      <c r="P531">
        <v>1406.86</v>
      </c>
      <c r="Q531">
        <v>7</v>
      </c>
      <c r="R531">
        <v>140.68600000000001</v>
      </c>
      <c r="S531" t="s">
        <v>153</v>
      </c>
    </row>
    <row r="532" spans="1:19" x14ac:dyDescent="0.35">
      <c r="A532" t="s">
        <v>1960</v>
      </c>
      <c r="B532" s="1">
        <v>43040</v>
      </c>
      <c r="C532" s="1">
        <v>43042</v>
      </c>
      <c r="D532" t="s">
        <v>20</v>
      </c>
      <c r="E532" t="s">
        <v>1961</v>
      </c>
      <c r="F532" t="s">
        <v>1962</v>
      </c>
      <c r="G532" t="s">
        <v>23</v>
      </c>
      <c r="H532" t="s">
        <v>24</v>
      </c>
      <c r="I532" t="s">
        <v>1963</v>
      </c>
      <c r="J532" t="s">
        <v>184</v>
      </c>
      <c r="K532" t="s">
        <v>51</v>
      </c>
      <c r="L532" t="s">
        <v>1662</v>
      </c>
      <c r="M532" t="s">
        <v>29</v>
      </c>
      <c r="N532" t="s">
        <v>43</v>
      </c>
      <c r="O532" t="s">
        <v>1663</v>
      </c>
      <c r="P532">
        <v>2665.62</v>
      </c>
      <c r="Q532">
        <v>9</v>
      </c>
      <c r="R532">
        <v>239.9058</v>
      </c>
      <c r="S532" t="s">
        <v>32</v>
      </c>
    </row>
    <row r="533" spans="1:19" x14ac:dyDescent="0.35">
      <c r="A533" t="s">
        <v>1964</v>
      </c>
      <c r="B533" s="1">
        <v>42925</v>
      </c>
      <c r="C533" s="1">
        <v>42930</v>
      </c>
      <c r="D533" t="s">
        <v>37</v>
      </c>
      <c r="E533" t="s">
        <v>1965</v>
      </c>
      <c r="F533" t="s">
        <v>1966</v>
      </c>
      <c r="G533" t="s">
        <v>94</v>
      </c>
      <c r="H533" t="s">
        <v>24</v>
      </c>
      <c r="I533" t="s">
        <v>1396</v>
      </c>
      <c r="J533" t="s">
        <v>104</v>
      </c>
      <c r="K533" t="s">
        <v>87</v>
      </c>
      <c r="L533" t="s">
        <v>1001</v>
      </c>
      <c r="M533" t="s">
        <v>29</v>
      </c>
      <c r="N533" t="s">
        <v>53</v>
      </c>
      <c r="O533" t="s">
        <v>1002</v>
      </c>
      <c r="P533">
        <v>526.45000000000005</v>
      </c>
      <c r="Q533">
        <v>5</v>
      </c>
      <c r="R533">
        <v>31.587</v>
      </c>
      <c r="S533" t="s">
        <v>66</v>
      </c>
    </row>
    <row r="534" spans="1:19" x14ac:dyDescent="0.35">
      <c r="A534" t="s">
        <v>1967</v>
      </c>
      <c r="B534" s="1">
        <v>41665</v>
      </c>
      <c r="C534" s="1">
        <v>41670</v>
      </c>
      <c r="D534" t="s">
        <v>37</v>
      </c>
      <c r="E534" t="s">
        <v>1248</v>
      </c>
      <c r="F534" t="s">
        <v>1249</v>
      </c>
      <c r="G534" t="s">
        <v>94</v>
      </c>
      <c r="H534" t="s">
        <v>24</v>
      </c>
      <c r="I534" t="s">
        <v>1968</v>
      </c>
      <c r="J534" t="s">
        <v>707</v>
      </c>
      <c r="K534" t="s">
        <v>27</v>
      </c>
      <c r="L534" t="s">
        <v>1969</v>
      </c>
      <c r="M534" t="s">
        <v>29</v>
      </c>
      <c r="N534" t="s">
        <v>53</v>
      </c>
      <c r="O534" t="s">
        <v>1970</v>
      </c>
      <c r="P534">
        <v>62.82</v>
      </c>
      <c r="Q534">
        <v>3</v>
      </c>
      <c r="R534">
        <v>30.7818</v>
      </c>
      <c r="S534" t="s">
        <v>161</v>
      </c>
    </row>
    <row r="535" spans="1:19" x14ac:dyDescent="0.35">
      <c r="A535" t="s">
        <v>1967</v>
      </c>
      <c r="B535" s="1">
        <v>41665</v>
      </c>
      <c r="C535" s="1">
        <v>41670</v>
      </c>
      <c r="D535" t="s">
        <v>37</v>
      </c>
      <c r="E535" t="s">
        <v>1248</v>
      </c>
      <c r="F535" t="s">
        <v>1249</v>
      </c>
      <c r="G535" t="s">
        <v>94</v>
      </c>
      <c r="H535" t="s">
        <v>24</v>
      </c>
      <c r="I535" t="s">
        <v>1968</v>
      </c>
      <c r="J535" t="s">
        <v>707</v>
      </c>
      <c r="K535" t="s">
        <v>27</v>
      </c>
      <c r="L535" t="s">
        <v>1971</v>
      </c>
      <c r="M535" t="s">
        <v>29</v>
      </c>
      <c r="N535" t="s">
        <v>53</v>
      </c>
      <c r="O535" t="s">
        <v>1972</v>
      </c>
      <c r="P535">
        <v>12.42</v>
      </c>
      <c r="Q535">
        <v>3</v>
      </c>
      <c r="R535">
        <v>4.4711999999999996</v>
      </c>
      <c r="S535" t="s">
        <v>161</v>
      </c>
    </row>
    <row r="536" spans="1:19" x14ac:dyDescent="0.35">
      <c r="A536" t="s">
        <v>1973</v>
      </c>
      <c r="B536" s="1">
        <v>42916</v>
      </c>
      <c r="C536" s="1">
        <v>42922</v>
      </c>
      <c r="D536" t="s">
        <v>37</v>
      </c>
      <c r="E536" t="s">
        <v>699</v>
      </c>
      <c r="F536" t="s">
        <v>700</v>
      </c>
      <c r="G536" t="s">
        <v>23</v>
      </c>
      <c r="H536" t="s">
        <v>24</v>
      </c>
      <c r="I536" t="s">
        <v>165</v>
      </c>
      <c r="J536" t="s">
        <v>114</v>
      </c>
      <c r="K536" t="s">
        <v>63</v>
      </c>
      <c r="L536" t="s">
        <v>1974</v>
      </c>
      <c r="M536" t="s">
        <v>29</v>
      </c>
      <c r="N536" t="s">
        <v>53</v>
      </c>
      <c r="O536" t="s">
        <v>1975</v>
      </c>
      <c r="P536">
        <v>22.23</v>
      </c>
      <c r="Q536">
        <v>1</v>
      </c>
      <c r="R536">
        <v>9.7812000000000001</v>
      </c>
      <c r="S536" t="s">
        <v>55</v>
      </c>
    </row>
    <row r="537" spans="1:19" x14ac:dyDescent="0.35">
      <c r="A537" t="s">
        <v>1976</v>
      </c>
      <c r="B537" s="1">
        <v>42621</v>
      </c>
      <c r="C537" s="1">
        <v>42627</v>
      </c>
      <c r="D537" t="s">
        <v>37</v>
      </c>
      <c r="E537" t="s">
        <v>1977</v>
      </c>
      <c r="F537" t="s">
        <v>1978</v>
      </c>
      <c r="G537" t="s">
        <v>23</v>
      </c>
      <c r="H537" t="s">
        <v>24</v>
      </c>
      <c r="I537" t="s">
        <v>1979</v>
      </c>
      <c r="J537" t="s">
        <v>126</v>
      </c>
      <c r="K537" t="s">
        <v>87</v>
      </c>
      <c r="L537" t="s">
        <v>1980</v>
      </c>
      <c r="M537" t="s">
        <v>29</v>
      </c>
      <c r="N537" t="s">
        <v>53</v>
      </c>
      <c r="O537" t="s">
        <v>1981</v>
      </c>
      <c r="P537">
        <v>14.135999999999999</v>
      </c>
      <c r="Q537">
        <v>2</v>
      </c>
      <c r="R537">
        <v>-7.7747999999999999</v>
      </c>
      <c r="S537" t="s">
        <v>72</v>
      </c>
    </row>
    <row r="538" spans="1:19" x14ac:dyDescent="0.35">
      <c r="A538" t="s">
        <v>1976</v>
      </c>
      <c r="B538" s="1">
        <v>42621</v>
      </c>
      <c r="C538" s="1">
        <v>42627</v>
      </c>
      <c r="D538" t="s">
        <v>37</v>
      </c>
      <c r="E538" t="s">
        <v>1977</v>
      </c>
      <c r="F538" t="s">
        <v>1978</v>
      </c>
      <c r="G538" t="s">
        <v>23</v>
      </c>
      <c r="H538" t="s">
        <v>24</v>
      </c>
      <c r="I538" t="s">
        <v>1979</v>
      </c>
      <c r="J538" t="s">
        <v>126</v>
      </c>
      <c r="K538" t="s">
        <v>87</v>
      </c>
      <c r="L538" t="s">
        <v>1982</v>
      </c>
      <c r="M538" t="s">
        <v>29</v>
      </c>
      <c r="N538" t="s">
        <v>43</v>
      </c>
      <c r="O538" t="s">
        <v>1983</v>
      </c>
      <c r="P538">
        <v>601.47</v>
      </c>
      <c r="Q538">
        <v>3</v>
      </c>
      <c r="R538">
        <v>-300.73500000000001</v>
      </c>
      <c r="S538" t="s">
        <v>72</v>
      </c>
    </row>
    <row r="539" spans="1:19" x14ac:dyDescent="0.35">
      <c r="A539" t="s">
        <v>1984</v>
      </c>
      <c r="B539" s="1">
        <v>42525</v>
      </c>
      <c r="C539" s="1">
        <v>42525</v>
      </c>
      <c r="D539" t="s">
        <v>417</v>
      </c>
      <c r="E539" t="s">
        <v>1985</v>
      </c>
      <c r="F539" t="s">
        <v>1986</v>
      </c>
      <c r="G539" t="s">
        <v>23</v>
      </c>
      <c r="H539" t="s">
        <v>24</v>
      </c>
      <c r="I539" t="s">
        <v>165</v>
      </c>
      <c r="J539" t="s">
        <v>114</v>
      </c>
      <c r="K539" t="s">
        <v>63</v>
      </c>
      <c r="L539" t="s">
        <v>1371</v>
      </c>
      <c r="M539" t="s">
        <v>29</v>
      </c>
      <c r="N539" t="s">
        <v>30</v>
      </c>
      <c r="O539" t="s">
        <v>1372</v>
      </c>
      <c r="P539">
        <v>136.78399999999999</v>
      </c>
      <c r="Q539">
        <v>1</v>
      </c>
      <c r="R539">
        <v>5.1294000000000004</v>
      </c>
      <c r="S539" t="s">
        <v>55</v>
      </c>
    </row>
    <row r="540" spans="1:19" x14ac:dyDescent="0.35">
      <c r="A540" t="s">
        <v>1984</v>
      </c>
      <c r="B540" s="1">
        <v>42525</v>
      </c>
      <c r="C540" s="1">
        <v>42525</v>
      </c>
      <c r="D540" t="s">
        <v>417</v>
      </c>
      <c r="E540" t="s">
        <v>1985</v>
      </c>
      <c r="F540" t="s">
        <v>1986</v>
      </c>
      <c r="G540" t="s">
        <v>23</v>
      </c>
      <c r="H540" t="s">
        <v>24</v>
      </c>
      <c r="I540" t="s">
        <v>165</v>
      </c>
      <c r="J540" t="s">
        <v>114</v>
      </c>
      <c r="K540" t="s">
        <v>63</v>
      </c>
      <c r="L540" t="s">
        <v>861</v>
      </c>
      <c r="M540" t="s">
        <v>29</v>
      </c>
      <c r="N540" t="s">
        <v>53</v>
      </c>
      <c r="O540" t="s">
        <v>862</v>
      </c>
      <c r="P540">
        <v>61.12</v>
      </c>
      <c r="Q540">
        <v>4</v>
      </c>
      <c r="R540">
        <v>20.780799999999999</v>
      </c>
      <c r="S540" t="s">
        <v>55</v>
      </c>
    </row>
    <row r="541" spans="1:19" x14ac:dyDescent="0.35">
      <c r="A541" t="s">
        <v>1987</v>
      </c>
      <c r="B541" s="1">
        <v>41968</v>
      </c>
      <c r="C541" s="1">
        <v>41973</v>
      </c>
      <c r="D541" t="s">
        <v>37</v>
      </c>
      <c r="E541" t="s">
        <v>1988</v>
      </c>
      <c r="F541" t="s">
        <v>1989</v>
      </c>
      <c r="G541" t="s">
        <v>84</v>
      </c>
      <c r="H541" t="s">
        <v>24</v>
      </c>
      <c r="I541" t="s">
        <v>680</v>
      </c>
      <c r="J541" t="s">
        <v>86</v>
      </c>
      <c r="K541" t="s">
        <v>87</v>
      </c>
      <c r="L541" t="s">
        <v>42</v>
      </c>
      <c r="M541" t="s">
        <v>29</v>
      </c>
      <c r="N541" t="s">
        <v>43</v>
      </c>
      <c r="O541" t="s">
        <v>44</v>
      </c>
      <c r="P541">
        <v>1218.7349999999999</v>
      </c>
      <c r="Q541">
        <v>5</v>
      </c>
      <c r="R541">
        <v>-121.87350000000001</v>
      </c>
      <c r="S541" t="s">
        <v>32</v>
      </c>
    </row>
    <row r="542" spans="1:19" x14ac:dyDescent="0.35">
      <c r="A542" t="s">
        <v>1987</v>
      </c>
      <c r="B542" s="1">
        <v>41968</v>
      </c>
      <c r="C542" s="1">
        <v>41973</v>
      </c>
      <c r="D542" t="s">
        <v>37</v>
      </c>
      <c r="E542" t="s">
        <v>1988</v>
      </c>
      <c r="F542" t="s">
        <v>1989</v>
      </c>
      <c r="G542" t="s">
        <v>84</v>
      </c>
      <c r="H542" t="s">
        <v>24</v>
      </c>
      <c r="I542" t="s">
        <v>680</v>
      </c>
      <c r="J542" t="s">
        <v>86</v>
      </c>
      <c r="K542" t="s">
        <v>87</v>
      </c>
      <c r="L542" t="s">
        <v>652</v>
      </c>
      <c r="M542" t="s">
        <v>29</v>
      </c>
      <c r="N542" t="s">
        <v>53</v>
      </c>
      <c r="O542" t="s">
        <v>653</v>
      </c>
      <c r="P542">
        <v>6.0960000000000001</v>
      </c>
      <c r="Q542">
        <v>3</v>
      </c>
      <c r="R542">
        <v>-3.9624000000000001</v>
      </c>
      <c r="S542" t="s">
        <v>32</v>
      </c>
    </row>
    <row r="543" spans="1:19" x14ac:dyDescent="0.35">
      <c r="A543" t="s">
        <v>1990</v>
      </c>
      <c r="B543" s="1">
        <v>42488</v>
      </c>
      <c r="C543" s="1">
        <v>42495</v>
      </c>
      <c r="D543" t="s">
        <v>37</v>
      </c>
      <c r="E543" t="s">
        <v>1991</v>
      </c>
      <c r="F543" t="s">
        <v>1992</v>
      </c>
      <c r="G543" t="s">
        <v>84</v>
      </c>
      <c r="H543" t="s">
        <v>24</v>
      </c>
      <c r="I543" t="s">
        <v>49</v>
      </c>
      <c r="J543" t="s">
        <v>50</v>
      </c>
      <c r="K543" t="s">
        <v>51</v>
      </c>
      <c r="L543" t="s">
        <v>994</v>
      </c>
      <c r="M543" t="s">
        <v>29</v>
      </c>
      <c r="N543" t="s">
        <v>34</v>
      </c>
      <c r="O543" t="s">
        <v>995</v>
      </c>
      <c r="P543">
        <v>41.567999999999998</v>
      </c>
      <c r="Q543">
        <v>2</v>
      </c>
      <c r="R543">
        <v>2.5979999999999999</v>
      </c>
      <c r="S543" t="s">
        <v>107</v>
      </c>
    </row>
    <row r="544" spans="1:19" x14ac:dyDescent="0.35">
      <c r="A544" t="s">
        <v>1993</v>
      </c>
      <c r="B544" s="1">
        <v>41755</v>
      </c>
      <c r="C544" s="1">
        <v>41762</v>
      </c>
      <c r="D544" t="s">
        <v>37</v>
      </c>
      <c r="E544" t="s">
        <v>1994</v>
      </c>
      <c r="F544" t="s">
        <v>1995</v>
      </c>
      <c r="G544" t="s">
        <v>84</v>
      </c>
      <c r="H544" t="s">
        <v>24</v>
      </c>
      <c r="I544" t="s">
        <v>49</v>
      </c>
      <c r="J544" t="s">
        <v>50</v>
      </c>
      <c r="K544" t="s">
        <v>51</v>
      </c>
      <c r="L544" t="s">
        <v>457</v>
      </c>
      <c r="M544" t="s">
        <v>29</v>
      </c>
      <c r="N544" t="s">
        <v>34</v>
      </c>
      <c r="O544" t="s">
        <v>458</v>
      </c>
      <c r="P544">
        <v>230.28</v>
      </c>
      <c r="Q544">
        <v>3</v>
      </c>
      <c r="R544">
        <v>23.027999999999999</v>
      </c>
      <c r="S544" t="s">
        <v>107</v>
      </c>
    </row>
    <row r="545" spans="1:19" x14ac:dyDescent="0.35">
      <c r="A545" t="s">
        <v>1996</v>
      </c>
      <c r="B545" s="1">
        <v>42870</v>
      </c>
      <c r="C545" s="1">
        <v>42875</v>
      </c>
      <c r="D545" t="s">
        <v>37</v>
      </c>
      <c r="E545" t="s">
        <v>1997</v>
      </c>
      <c r="F545" t="s">
        <v>1998</v>
      </c>
      <c r="G545" t="s">
        <v>23</v>
      </c>
      <c r="H545" t="s">
        <v>24</v>
      </c>
      <c r="I545" t="s">
        <v>183</v>
      </c>
      <c r="J545" t="s">
        <v>184</v>
      </c>
      <c r="K545" t="s">
        <v>51</v>
      </c>
      <c r="L545" t="s">
        <v>1112</v>
      </c>
      <c r="M545" t="s">
        <v>29</v>
      </c>
      <c r="N545" t="s">
        <v>53</v>
      </c>
      <c r="O545" t="s">
        <v>1113</v>
      </c>
      <c r="P545">
        <v>39.96</v>
      </c>
      <c r="Q545">
        <v>2</v>
      </c>
      <c r="R545">
        <v>17.1828</v>
      </c>
      <c r="S545" t="s">
        <v>153</v>
      </c>
    </row>
    <row r="546" spans="1:19" x14ac:dyDescent="0.35">
      <c r="A546" t="s">
        <v>1996</v>
      </c>
      <c r="B546" s="1">
        <v>42870</v>
      </c>
      <c r="C546" s="1">
        <v>42875</v>
      </c>
      <c r="D546" t="s">
        <v>37</v>
      </c>
      <c r="E546" t="s">
        <v>1997</v>
      </c>
      <c r="F546" t="s">
        <v>1998</v>
      </c>
      <c r="G546" t="s">
        <v>23</v>
      </c>
      <c r="H546" t="s">
        <v>24</v>
      </c>
      <c r="I546" t="s">
        <v>183</v>
      </c>
      <c r="J546" t="s">
        <v>184</v>
      </c>
      <c r="K546" t="s">
        <v>51</v>
      </c>
      <c r="L546" t="s">
        <v>1999</v>
      </c>
      <c r="M546" t="s">
        <v>29</v>
      </c>
      <c r="N546" t="s">
        <v>34</v>
      </c>
      <c r="O546" t="s">
        <v>2000</v>
      </c>
      <c r="P546">
        <v>42.624000000000002</v>
      </c>
      <c r="Q546">
        <v>2</v>
      </c>
      <c r="R546">
        <v>4.2624000000000004</v>
      </c>
      <c r="S546" t="s">
        <v>153</v>
      </c>
    </row>
    <row r="547" spans="1:19" x14ac:dyDescent="0.35">
      <c r="A547" t="s">
        <v>1996</v>
      </c>
      <c r="B547" s="1">
        <v>42870</v>
      </c>
      <c r="C547" s="1">
        <v>42875</v>
      </c>
      <c r="D547" t="s">
        <v>37</v>
      </c>
      <c r="E547" t="s">
        <v>1997</v>
      </c>
      <c r="F547" t="s">
        <v>1998</v>
      </c>
      <c r="G547" t="s">
        <v>23</v>
      </c>
      <c r="H547" t="s">
        <v>24</v>
      </c>
      <c r="I547" t="s">
        <v>183</v>
      </c>
      <c r="J547" t="s">
        <v>184</v>
      </c>
      <c r="K547" t="s">
        <v>51</v>
      </c>
      <c r="L547" t="s">
        <v>238</v>
      </c>
      <c r="M547" t="s">
        <v>29</v>
      </c>
      <c r="N547" t="s">
        <v>34</v>
      </c>
      <c r="O547" t="s">
        <v>239</v>
      </c>
      <c r="P547">
        <v>220.96</v>
      </c>
      <c r="Q547">
        <v>1</v>
      </c>
      <c r="R547">
        <v>24.858000000000001</v>
      </c>
      <c r="S547" t="s">
        <v>153</v>
      </c>
    </row>
    <row r="548" spans="1:19" x14ac:dyDescent="0.35">
      <c r="A548" t="s">
        <v>2001</v>
      </c>
      <c r="B548" s="1">
        <v>42190</v>
      </c>
      <c r="C548" s="1">
        <v>42195</v>
      </c>
      <c r="D548" t="s">
        <v>20</v>
      </c>
      <c r="E548" t="s">
        <v>1516</v>
      </c>
      <c r="F548" t="s">
        <v>1517</v>
      </c>
      <c r="G548" t="s">
        <v>84</v>
      </c>
      <c r="H548" t="s">
        <v>24</v>
      </c>
      <c r="I548" t="s">
        <v>1902</v>
      </c>
      <c r="J548" t="s">
        <v>1027</v>
      </c>
      <c r="K548" t="s">
        <v>27</v>
      </c>
      <c r="L548" t="s">
        <v>2002</v>
      </c>
      <c r="M548" t="s">
        <v>29</v>
      </c>
      <c r="N548" t="s">
        <v>53</v>
      </c>
      <c r="O548" t="s">
        <v>2003</v>
      </c>
      <c r="P548">
        <v>4.9279999999999999</v>
      </c>
      <c r="Q548">
        <v>2</v>
      </c>
      <c r="R548">
        <v>0.73919999999999997</v>
      </c>
      <c r="S548" t="s">
        <v>66</v>
      </c>
    </row>
    <row r="549" spans="1:19" x14ac:dyDescent="0.35">
      <c r="A549" t="s">
        <v>2004</v>
      </c>
      <c r="B549" s="1">
        <v>42898</v>
      </c>
      <c r="C549" s="1">
        <v>42904</v>
      </c>
      <c r="D549" t="s">
        <v>37</v>
      </c>
      <c r="E549" t="s">
        <v>2005</v>
      </c>
      <c r="F549" t="s">
        <v>2006</v>
      </c>
      <c r="G549" t="s">
        <v>23</v>
      </c>
      <c r="H549" t="s">
        <v>24</v>
      </c>
      <c r="I549" t="s">
        <v>165</v>
      </c>
      <c r="J549" t="s">
        <v>114</v>
      </c>
      <c r="K549" t="s">
        <v>63</v>
      </c>
      <c r="L549" t="s">
        <v>571</v>
      </c>
      <c r="M549" t="s">
        <v>29</v>
      </c>
      <c r="N549" t="s">
        <v>34</v>
      </c>
      <c r="O549" t="s">
        <v>572</v>
      </c>
      <c r="P549">
        <v>858.24</v>
      </c>
      <c r="Q549">
        <v>4</v>
      </c>
      <c r="R549">
        <v>143.04</v>
      </c>
      <c r="S549" t="s">
        <v>55</v>
      </c>
    </row>
    <row r="550" spans="1:19" x14ac:dyDescent="0.35">
      <c r="A550" t="s">
        <v>2007</v>
      </c>
      <c r="B550" s="1">
        <v>42477</v>
      </c>
      <c r="C550" s="1">
        <v>42481</v>
      </c>
      <c r="D550" t="s">
        <v>20</v>
      </c>
      <c r="E550" t="s">
        <v>1728</v>
      </c>
      <c r="F550" t="s">
        <v>1729</v>
      </c>
      <c r="G550" t="s">
        <v>94</v>
      </c>
      <c r="H550" t="s">
        <v>24</v>
      </c>
      <c r="I550" t="s">
        <v>2008</v>
      </c>
      <c r="J550" t="s">
        <v>1027</v>
      </c>
      <c r="K550" t="s">
        <v>27</v>
      </c>
      <c r="L550" t="s">
        <v>491</v>
      </c>
      <c r="M550" t="s">
        <v>29</v>
      </c>
      <c r="N550" t="s">
        <v>53</v>
      </c>
      <c r="O550" t="s">
        <v>492</v>
      </c>
      <c r="P550">
        <v>18.623999999999999</v>
      </c>
      <c r="Q550">
        <v>8</v>
      </c>
      <c r="R550">
        <v>6.2855999999999996</v>
      </c>
      <c r="S550" t="s">
        <v>107</v>
      </c>
    </row>
    <row r="551" spans="1:19" x14ac:dyDescent="0.35">
      <c r="A551" t="s">
        <v>2009</v>
      </c>
      <c r="B551" s="1">
        <v>41889</v>
      </c>
      <c r="C551" s="1">
        <v>41894</v>
      </c>
      <c r="D551" t="s">
        <v>20</v>
      </c>
      <c r="E551" t="s">
        <v>2010</v>
      </c>
      <c r="F551" t="s">
        <v>2011</v>
      </c>
      <c r="G551" t="s">
        <v>23</v>
      </c>
      <c r="H551" t="s">
        <v>24</v>
      </c>
      <c r="I551" t="s">
        <v>2012</v>
      </c>
      <c r="J551" t="s">
        <v>1513</v>
      </c>
      <c r="K551" t="s">
        <v>87</v>
      </c>
      <c r="L551" t="s">
        <v>1302</v>
      </c>
      <c r="M551" t="s">
        <v>29</v>
      </c>
      <c r="N551" t="s">
        <v>53</v>
      </c>
      <c r="O551" t="s">
        <v>2013</v>
      </c>
      <c r="P551">
        <v>57.69</v>
      </c>
      <c r="Q551">
        <v>3</v>
      </c>
      <c r="R551">
        <v>23.652899999999999</v>
      </c>
      <c r="S551" t="s">
        <v>72</v>
      </c>
    </row>
    <row r="552" spans="1:19" x14ac:dyDescent="0.35">
      <c r="A552" t="s">
        <v>2009</v>
      </c>
      <c r="B552" s="1">
        <v>41889</v>
      </c>
      <c r="C552" s="1">
        <v>41894</v>
      </c>
      <c r="D552" t="s">
        <v>20</v>
      </c>
      <c r="E552" t="s">
        <v>2010</v>
      </c>
      <c r="F552" t="s">
        <v>2011</v>
      </c>
      <c r="G552" t="s">
        <v>23</v>
      </c>
      <c r="H552" t="s">
        <v>24</v>
      </c>
      <c r="I552" t="s">
        <v>2012</v>
      </c>
      <c r="J552" t="s">
        <v>1513</v>
      </c>
      <c r="K552" t="s">
        <v>87</v>
      </c>
      <c r="L552" t="s">
        <v>1948</v>
      </c>
      <c r="M552" t="s">
        <v>29</v>
      </c>
      <c r="N552" t="s">
        <v>53</v>
      </c>
      <c r="O552" t="s">
        <v>1949</v>
      </c>
      <c r="P552">
        <v>821.88</v>
      </c>
      <c r="Q552">
        <v>6</v>
      </c>
      <c r="R552">
        <v>213.68879999999999</v>
      </c>
      <c r="S552" t="s">
        <v>72</v>
      </c>
    </row>
    <row r="553" spans="1:19" x14ac:dyDescent="0.35">
      <c r="A553" t="s">
        <v>2014</v>
      </c>
      <c r="B553" s="1">
        <v>42639</v>
      </c>
      <c r="C553" s="1">
        <v>42644</v>
      </c>
      <c r="D553" t="s">
        <v>37</v>
      </c>
      <c r="E553" t="s">
        <v>2015</v>
      </c>
      <c r="F553" t="s">
        <v>2016</v>
      </c>
      <c r="G553" t="s">
        <v>84</v>
      </c>
      <c r="H553" t="s">
        <v>24</v>
      </c>
      <c r="I553" t="s">
        <v>2017</v>
      </c>
      <c r="J553" t="s">
        <v>50</v>
      </c>
      <c r="K553" t="s">
        <v>51</v>
      </c>
      <c r="L553" t="s">
        <v>1127</v>
      </c>
      <c r="M553" t="s">
        <v>29</v>
      </c>
      <c r="N553" t="s">
        <v>30</v>
      </c>
      <c r="O553" t="s">
        <v>1128</v>
      </c>
      <c r="P553">
        <v>424.95749999999998</v>
      </c>
      <c r="Q553">
        <v>5</v>
      </c>
      <c r="R553">
        <v>19.998000000000001</v>
      </c>
      <c r="S553" t="s">
        <v>72</v>
      </c>
    </row>
    <row r="554" spans="1:19" x14ac:dyDescent="0.35">
      <c r="A554" t="s">
        <v>2018</v>
      </c>
      <c r="B554" s="1">
        <v>42995</v>
      </c>
      <c r="C554" s="1">
        <v>42999</v>
      </c>
      <c r="D554" t="s">
        <v>20</v>
      </c>
      <c r="E554" t="s">
        <v>363</v>
      </c>
      <c r="F554" t="s">
        <v>364</v>
      </c>
      <c r="G554" t="s">
        <v>84</v>
      </c>
      <c r="H554" t="s">
        <v>24</v>
      </c>
      <c r="I554" t="s">
        <v>1224</v>
      </c>
      <c r="J554" t="s">
        <v>71</v>
      </c>
      <c r="K554" t="s">
        <v>51</v>
      </c>
      <c r="L554" t="s">
        <v>2019</v>
      </c>
      <c r="M554" t="s">
        <v>29</v>
      </c>
      <c r="N554" t="s">
        <v>30</v>
      </c>
      <c r="O554" t="s">
        <v>2020</v>
      </c>
      <c r="P554">
        <v>1292.94</v>
      </c>
      <c r="Q554">
        <v>3</v>
      </c>
      <c r="R554">
        <v>77.576400000000007</v>
      </c>
      <c r="S554" t="s">
        <v>72</v>
      </c>
    </row>
    <row r="555" spans="1:19" x14ac:dyDescent="0.35">
      <c r="A555" t="s">
        <v>2021</v>
      </c>
      <c r="B555" s="1">
        <v>42362</v>
      </c>
      <c r="C555" s="1">
        <v>42366</v>
      </c>
      <c r="D555" t="s">
        <v>37</v>
      </c>
      <c r="E555" t="s">
        <v>2022</v>
      </c>
      <c r="F555" t="s">
        <v>2023</v>
      </c>
      <c r="G555" t="s">
        <v>84</v>
      </c>
      <c r="H555" t="s">
        <v>24</v>
      </c>
      <c r="I555" t="s">
        <v>2024</v>
      </c>
      <c r="J555" t="s">
        <v>511</v>
      </c>
      <c r="K555" t="s">
        <v>51</v>
      </c>
      <c r="L555" t="s">
        <v>238</v>
      </c>
      <c r="M555" t="s">
        <v>29</v>
      </c>
      <c r="N555" t="s">
        <v>34</v>
      </c>
      <c r="O555" t="s">
        <v>239</v>
      </c>
      <c r="P555">
        <v>883.84</v>
      </c>
      <c r="Q555">
        <v>4</v>
      </c>
      <c r="R555">
        <v>99.432000000000002</v>
      </c>
      <c r="S555" t="s">
        <v>90</v>
      </c>
    </row>
    <row r="556" spans="1:19" x14ac:dyDescent="0.35">
      <c r="A556" t="s">
        <v>2025</v>
      </c>
      <c r="B556" s="1">
        <v>42491</v>
      </c>
      <c r="C556" s="1">
        <v>42494</v>
      </c>
      <c r="D556" t="s">
        <v>81</v>
      </c>
      <c r="E556" t="s">
        <v>2026</v>
      </c>
      <c r="F556" t="s">
        <v>2027</v>
      </c>
      <c r="G556" t="s">
        <v>23</v>
      </c>
      <c r="H556" t="s">
        <v>24</v>
      </c>
      <c r="I556" t="s">
        <v>132</v>
      </c>
      <c r="J556" t="s">
        <v>133</v>
      </c>
      <c r="K556" t="s">
        <v>27</v>
      </c>
      <c r="L556" t="s">
        <v>204</v>
      </c>
      <c r="M556" t="s">
        <v>29</v>
      </c>
      <c r="N556" t="s">
        <v>43</v>
      </c>
      <c r="O556" t="s">
        <v>205</v>
      </c>
      <c r="P556">
        <v>370.62</v>
      </c>
      <c r="Q556">
        <v>3</v>
      </c>
      <c r="R556">
        <v>-142.071</v>
      </c>
      <c r="S556" t="s">
        <v>153</v>
      </c>
    </row>
    <row r="557" spans="1:19" x14ac:dyDescent="0.35">
      <c r="A557" t="s">
        <v>2028</v>
      </c>
      <c r="B557" s="1">
        <v>42241</v>
      </c>
      <c r="C557" s="1">
        <v>42246</v>
      </c>
      <c r="D557" t="s">
        <v>37</v>
      </c>
      <c r="E557" t="s">
        <v>2029</v>
      </c>
      <c r="F557" t="s">
        <v>2030</v>
      </c>
      <c r="G557" t="s">
        <v>94</v>
      </c>
      <c r="H557" t="s">
        <v>24</v>
      </c>
      <c r="I557" t="s">
        <v>49</v>
      </c>
      <c r="J557" t="s">
        <v>50</v>
      </c>
      <c r="K557" t="s">
        <v>51</v>
      </c>
      <c r="L557" t="s">
        <v>64</v>
      </c>
      <c r="M557" t="s">
        <v>29</v>
      </c>
      <c r="N557" t="s">
        <v>34</v>
      </c>
      <c r="O557" t="s">
        <v>65</v>
      </c>
      <c r="P557">
        <v>40.783999999999999</v>
      </c>
      <c r="Q557">
        <v>1</v>
      </c>
      <c r="R557">
        <v>4.5881999999999996</v>
      </c>
      <c r="S557" t="s">
        <v>245</v>
      </c>
    </row>
    <row r="558" spans="1:19" x14ac:dyDescent="0.35">
      <c r="A558" t="s">
        <v>2031</v>
      </c>
      <c r="B558" s="1">
        <v>41891</v>
      </c>
      <c r="C558" s="1">
        <v>41894</v>
      </c>
      <c r="D558" t="s">
        <v>20</v>
      </c>
      <c r="E558" t="s">
        <v>2032</v>
      </c>
      <c r="F558" t="s">
        <v>2033</v>
      </c>
      <c r="G558" t="s">
        <v>84</v>
      </c>
      <c r="H558" t="s">
        <v>24</v>
      </c>
      <c r="I558" t="s">
        <v>2034</v>
      </c>
      <c r="J558" t="s">
        <v>425</v>
      </c>
      <c r="K558" t="s">
        <v>63</v>
      </c>
      <c r="L558" t="s">
        <v>2035</v>
      </c>
      <c r="M558" t="s">
        <v>29</v>
      </c>
      <c r="N558" t="s">
        <v>34</v>
      </c>
      <c r="O558" t="s">
        <v>2036</v>
      </c>
      <c r="P558">
        <v>785.88</v>
      </c>
      <c r="Q558">
        <v>6</v>
      </c>
      <c r="R558">
        <v>212.1876</v>
      </c>
      <c r="S558" t="s">
        <v>72</v>
      </c>
    </row>
    <row r="559" spans="1:19" x14ac:dyDescent="0.35">
      <c r="A559" t="s">
        <v>2037</v>
      </c>
      <c r="B559" s="1">
        <v>42391</v>
      </c>
      <c r="C559" s="1">
        <v>42397</v>
      </c>
      <c r="D559" t="s">
        <v>37</v>
      </c>
      <c r="E559" t="s">
        <v>778</v>
      </c>
      <c r="F559" t="s">
        <v>779</v>
      </c>
      <c r="G559" t="s">
        <v>84</v>
      </c>
      <c r="H559" t="s">
        <v>24</v>
      </c>
      <c r="I559" t="s">
        <v>183</v>
      </c>
      <c r="J559" t="s">
        <v>184</v>
      </c>
      <c r="K559" t="s">
        <v>51</v>
      </c>
      <c r="L559" t="s">
        <v>621</v>
      </c>
      <c r="M559" t="s">
        <v>29</v>
      </c>
      <c r="N559" t="s">
        <v>53</v>
      </c>
      <c r="O559" t="s">
        <v>622</v>
      </c>
      <c r="P559">
        <v>109.9</v>
      </c>
      <c r="Q559">
        <v>5</v>
      </c>
      <c r="R559">
        <v>37.366</v>
      </c>
      <c r="S559" t="s">
        <v>161</v>
      </c>
    </row>
    <row r="560" spans="1:19" x14ac:dyDescent="0.35">
      <c r="A560" t="s">
        <v>2038</v>
      </c>
      <c r="B560" s="1">
        <v>41927</v>
      </c>
      <c r="C560" s="1">
        <v>41932</v>
      </c>
      <c r="D560" t="s">
        <v>37</v>
      </c>
      <c r="E560" t="s">
        <v>2039</v>
      </c>
      <c r="F560" t="s">
        <v>2040</v>
      </c>
      <c r="G560" t="s">
        <v>23</v>
      </c>
      <c r="H560" t="s">
        <v>24</v>
      </c>
      <c r="I560" t="s">
        <v>2041</v>
      </c>
      <c r="J560" t="s">
        <v>41</v>
      </c>
      <c r="K560" t="s">
        <v>27</v>
      </c>
      <c r="L560" t="s">
        <v>1302</v>
      </c>
      <c r="M560" t="s">
        <v>29</v>
      </c>
      <c r="N560" t="s">
        <v>53</v>
      </c>
      <c r="O560" t="s">
        <v>2013</v>
      </c>
      <c r="P560">
        <v>15.384</v>
      </c>
      <c r="Q560">
        <v>1</v>
      </c>
      <c r="R560">
        <v>4.0382999999999996</v>
      </c>
      <c r="S560" t="s">
        <v>45</v>
      </c>
    </row>
    <row r="561" spans="1:19" x14ac:dyDescent="0.35">
      <c r="A561" t="s">
        <v>2042</v>
      </c>
      <c r="B561" s="1">
        <v>41716</v>
      </c>
      <c r="C561" s="1">
        <v>41721</v>
      </c>
      <c r="D561" t="s">
        <v>37</v>
      </c>
      <c r="E561" t="s">
        <v>1965</v>
      </c>
      <c r="F561" t="s">
        <v>1966</v>
      </c>
      <c r="G561" t="s">
        <v>94</v>
      </c>
      <c r="H561" t="s">
        <v>24</v>
      </c>
      <c r="I561" t="s">
        <v>597</v>
      </c>
      <c r="J561" t="s">
        <v>41</v>
      </c>
      <c r="K561" t="s">
        <v>27</v>
      </c>
      <c r="L561" t="s">
        <v>1302</v>
      </c>
      <c r="M561" t="s">
        <v>29</v>
      </c>
      <c r="N561" t="s">
        <v>53</v>
      </c>
      <c r="O561" t="s">
        <v>2013</v>
      </c>
      <c r="P561">
        <v>30.768000000000001</v>
      </c>
      <c r="Q561">
        <v>2</v>
      </c>
      <c r="R561">
        <v>8.0765999999999991</v>
      </c>
      <c r="S561" t="s">
        <v>187</v>
      </c>
    </row>
    <row r="562" spans="1:19" x14ac:dyDescent="0.35">
      <c r="A562" t="s">
        <v>2042</v>
      </c>
      <c r="B562" s="1">
        <v>41716</v>
      </c>
      <c r="C562" s="1">
        <v>41721</v>
      </c>
      <c r="D562" t="s">
        <v>37</v>
      </c>
      <c r="E562" t="s">
        <v>1965</v>
      </c>
      <c r="F562" t="s">
        <v>1966</v>
      </c>
      <c r="G562" t="s">
        <v>94</v>
      </c>
      <c r="H562" t="s">
        <v>24</v>
      </c>
      <c r="I562" t="s">
        <v>597</v>
      </c>
      <c r="J562" t="s">
        <v>41</v>
      </c>
      <c r="K562" t="s">
        <v>27</v>
      </c>
      <c r="L562" t="s">
        <v>1528</v>
      </c>
      <c r="M562" t="s">
        <v>29</v>
      </c>
      <c r="N562" t="s">
        <v>53</v>
      </c>
      <c r="O562" t="s">
        <v>1529</v>
      </c>
      <c r="P562">
        <v>122.352</v>
      </c>
      <c r="Q562">
        <v>3</v>
      </c>
      <c r="R562">
        <v>15.294</v>
      </c>
      <c r="S562" t="s">
        <v>187</v>
      </c>
    </row>
    <row r="563" spans="1:19" x14ac:dyDescent="0.35">
      <c r="A563" t="s">
        <v>2043</v>
      </c>
      <c r="B563" s="1">
        <v>42034</v>
      </c>
      <c r="C563" s="1">
        <v>42041</v>
      </c>
      <c r="D563" t="s">
        <v>37</v>
      </c>
      <c r="E563" t="s">
        <v>2044</v>
      </c>
      <c r="F563" t="s">
        <v>2045</v>
      </c>
      <c r="G563" t="s">
        <v>23</v>
      </c>
      <c r="H563" t="s">
        <v>24</v>
      </c>
      <c r="I563" t="s">
        <v>49</v>
      </c>
      <c r="J563" t="s">
        <v>50</v>
      </c>
      <c r="K563" t="s">
        <v>51</v>
      </c>
      <c r="L563" t="s">
        <v>2046</v>
      </c>
      <c r="M563" t="s">
        <v>29</v>
      </c>
      <c r="N563" t="s">
        <v>53</v>
      </c>
      <c r="O563" t="s">
        <v>2047</v>
      </c>
      <c r="P563">
        <v>227.36</v>
      </c>
      <c r="Q563">
        <v>7</v>
      </c>
      <c r="R563">
        <v>81.849599999999995</v>
      </c>
      <c r="S563" t="s">
        <v>161</v>
      </c>
    </row>
    <row r="564" spans="1:19" x14ac:dyDescent="0.35">
      <c r="A564" t="s">
        <v>2048</v>
      </c>
      <c r="B564" s="1">
        <v>43017</v>
      </c>
      <c r="C564" s="1">
        <v>43019</v>
      </c>
      <c r="D564" t="s">
        <v>81</v>
      </c>
      <c r="E564" t="s">
        <v>2049</v>
      </c>
      <c r="F564" t="s">
        <v>2050</v>
      </c>
      <c r="G564" t="s">
        <v>84</v>
      </c>
      <c r="H564" t="s">
        <v>24</v>
      </c>
      <c r="I564" t="s">
        <v>2051</v>
      </c>
      <c r="J564" t="s">
        <v>223</v>
      </c>
      <c r="K564" t="s">
        <v>63</v>
      </c>
      <c r="L564" t="s">
        <v>767</v>
      </c>
      <c r="M564" t="s">
        <v>29</v>
      </c>
      <c r="N564" t="s">
        <v>53</v>
      </c>
      <c r="O564" t="s">
        <v>768</v>
      </c>
      <c r="P564">
        <v>45.887999999999998</v>
      </c>
      <c r="Q564">
        <v>4</v>
      </c>
      <c r="R564">
        <v>9.1776</v>
      </c>
      <c r="S564" t="s">
        <v>45</v>
      </c>
    </row>
    <row r="565" spans="1:19" x14ac:dyDescent="0.35">
      <c r="A565" t="s">
        <v>2052</v>
      </c>
      <c r="B565" s="1">
        <v>41979</v>
      </c>
      <c r="C565" s="1">
        <v>41981</v>
      </c>
      <c r="D565" t="s">
        <v>20</v>
      </c>
      <c r="E565" t="s">
        <v>1565</v>
      </c>
      <c r="F565" t="s">
        <v>1566</v>
      </c>
      <c r="G565" t="s">
        <v>23</v>
      </c>
      <c r="H565" t="s">
        <v>24</v>
      </c>
      <c r="I565" t="s">
        <v>95</v>
      </c>
      <c r="J565" t="s">
        <v>86</v>
      </c>
      <c r="K565" t="s">
        <v>87</v>
      </c>
      <c r="L565" t="s">
        <v>688</v>
      </c>
      <c r="M565" t="s">
        <v>29</v>
      </c>
      <c r="N565" t="s">
        <v>53</v>
      </c>
      <c r="O565" t="s">
        <v>689</v>
      </c>
      <c r="P565">
        <v>23.975999999999999</v>
      </c>
      <c r="Q565">
        <v>3</v>
      </c>
      <c r="R565">
        <v>-14.3856</v>
      </c>
      <c r="S565" t="s">
        <v>90</v>
      </c>
    </row>
    <row r="566" spans="1:19" x14ac:dyDescent="0.35">
      <c r="A566" t="s">
        <v>2053</v>
      </c>
      <c r="B566" s="1">
        <v>43046</v>
      </c>
      <c r="C566" s="1">
        <v>43052</v>
      </c>
      <c r="D566" t="s">
        <v>37</v>
      </c>
      <c r="E566" t="s">
        <v>2054</v>
      </c>
      <c r="F566" t="s">
        <v>2055</v>
      </c>
      <c r="G566" t="s">
        <v>23</v>
      </c>
      <c r="H566" t="s">
        <v>24</v>
      </c>
      <c r="I566" t="s">
        <v>61</v>
      </c>
      <c r="J566" t="s">
        <v>62</v>
      </c>
      <c r="K566" t="s">
        <v>63</v>
      </c>
      <c r="L566" t="s">
        <v>1891</v>
      </c>
      <c r="M566" t="s">
        <v>29</v>
      </c>
      <c r="N566" t="s">
        <v>43</v>
      </c>
      <c r="O566" t="s">
        <v>1892</v>
      </c>
      <c r="P566">
        <v>350.35199999999998</v>
      </c>
      <c r="Q566">
        <v>4</v>
      </c>
      <c r="R566">
        <v>-140.14080000000001</v>
      </c>
      <c r="S566" t="s">
        <v>32</v>
      </c>
    </row>
    <row r="567" spans="1:19" x14ac:dyDescent="0.35">
      <c r="A567" t="s">
        <v>2056</v>
      </c>
      <c r="B567" s="1">
        <v>42779</v>
      </c>
      <c r="C567" s="1">
        <v>42785</v>
      </c>
      <c r="D567" t="s">
        <v>37</v>
      </c>
      <c r="E567" t="s">
        <v>2057</v>
      </c>
      <c r="F567" t="s">
        <v>2058</v>
      </c>
      <c r="G567" t="s">
        <v>23</v>
      </c>
      <c r="H567" t="s">
        <v>24</v>
      </c>
      <c r="I567" t="s">
        <v>183</v>
      </c>
      <c r="J567" t="s">
        <v>184</v>
      </c>
      <c r="K567" t="s">
        <v>51</v>
      </c>
      <c r="L567" t="s">
        <v>300</v>
      </c>
      <c r="M567" t="s">
        <v>29</v>
      </c>
      <c r="N567" t="s">
        <v>53</v>
      </c>
      <c r="O567" t="s">
        <v>301</v>
      </c>
      <c r="P567">
        <v>107.53</v>
      </c>
      <c r="Q567">
        <v>1</v>
      </c>
      <c r="R567">
        <v>21.506</v>
      </c>
      <c r="S567" t="s">
        <v>289</v>
      </c>
    </row>
    <row r="568" spans="1:19" x14ac:dyDescent="0.35">
      <c r="A568" t="s">
        <v>2059</v>
      </c>
      <c r="B568" s="1">
        <v>42321</v>
      </c>
      <c r="C568" s="1">
        <v>42327</v>
      </c>
      <c r="D568" t="s">
        <v>37</v>
      </c>
      <c r="E568" t="s">
        <v>303</v>
      </c>
      <c r="F568" t="s">
        <v>304</v>
      </c>
      <c r="G568" t="s">
        <v>23</v>
      </c>
      <c r="H568" t="s">
        <v>24</v>
      </c>
      <c r="I568" t="s">
        <v>222</v>
      </c>
      <c r="J568" t="s">
        <v>192</v>
      </c>
      <c r="K568" t="s">
        <v>63</v>
      </c>
      <c r="L568" t="s">
        <v>1127</v>
      </c>
      <c r="M568" t="s">
        <v>29</v>
      </c>
      <c r="N568" t="s">
        <v>30</v>
      </c>
      <c r="O568" t="s">
        <v>1128</v>
      </c>
      <c r="P568">
        <v>299.97000000000003</v>
      </c>
      <c r="Q568">
        <v>3</v>
      </c>
      <c r="R568">
        <v>56.994300000000003</v>
      </c>
      <c r="S568" t="s">
        <v>32</v>
      </c>
    </row>
    <row r="569" spans="1:19" x14ac:dyDescent="0.35">
      <c r="A569" t="s">
        <v>2060</v>
      </c>
      <c r="B569" s="1">
        <v>41947</v>
      </c>
      <c r="C569" s="1">
        <v>41951</v>
      </c>
      <c r="D569" t="s">
        <v>37</v>
      </c>
      <c r="E569" t="s">
        <v>2061</v>
      </c>
      <c r="F569" t="s">
        <v>2062</v>
      </c>
      <c r="G569" t="s">
        <v>23</v>
      </c>
      <c r="H569" t="s">
        <v>24</v>
      </c>
      <c r="I569" t="s">
        <v>630</v>
      </c>
      <c r="J569" t="s">
        <v>50</v>
      </c>
      <c r="K569" t="s">
        <v>51</v>
      </c>
      <c r="L569" t="s">
        <v>1980</v>
      </c>
      <c r="M569" t="s">
        <v>29</v>
      </c>
      <c r="N569" t="s">
        <v>53</v>
      </c>
      <c r="O569" t="s">
        <v>1981</v>
      </c>
      <c r="P569">
        <v>35.340000000000003</v>
      </c>
      <c r="Q569">
        <v>2</v>
      </c>
      <c r="R569">
        <v>13.4292</v>
      </c>
      <c r="S569" t="s">
        <v>32</v>
      </c>
    </row>
    <row r="570" spans="1:19" x14ac:dyDescent="0.35">
      <c r="A570" t="s">
        <v>2063</v>
      </c>
      <c r="B570" s="1">
        <v>42175</v>
      </c>
      <c r="C570" s="1">
        <v>42180</v>
      </c>
      <c r="D570" t="s">
        <v>20</v>
      </c>
      <c r="E570" t="s">
        <v>2064</v>
      </c>
      <c r="F570" t="s">
        <v>2065</v>
      </c>
      <c r="G570" t="s">
        <v>84</v>
      </c>
      <c r="H570" t="s">
        <v>24</v>
      </c>
      <c r="I570" t="s">
        <v>320</v>
      </c>
      <c r="J570" t="s">
        <v>50</v>
      </c>
      <c r="K570" t="s">
        <v>51</v>
      </c>
      <c r="L570" t="s">
        <v>736</v>
      </c>
      <c r="M570" t="s">
        <v>29</v>
      </c>
      <c r="N570" t="s">
        <v>53</v>
      </c>
      <c r="O570" t="s">
        <v>737</v>
      </c>
      <c r="P570">
        <v>257.64</v>
      </c>
      <c r="Q570">
        <v>6</v>
      </c>
      <c r="R570">
        <v>100.4796</v>
      </c>
      <c r="S570" t="s">
        <v>55</v>
      </c>
    </row>
    <row r="571" spans="1:19" x14ac:dyDescent="0.35">
      <c r="A571" t="s">
        <v>2066</v>
      </c>
      <c r="B571" s="1">
        <v>41771</v>
      </c>
      <c r="C571" s="1">
        <v>41776</v>
      </c>
      <c r="D571" t="s">
        <v>37</v>
      </c>
      <c r="E571" t="s">
        <v>1918</v>
      </c>
      <c r="F571" t="s">
        <v>1919</v>
      </c>
      <c r="G571" t="s">
        <v>23</v>
      </c>
      <c r="H571" t="s">
        <v>24</v>
      </c>
      <c r="I571" t="s">
        <v>229</v>
      </c>
      <c r="J571" t="s">
        <v>425</v>
      </c>
      <c r="K571" t="s">
        <v>63</v>
      </c>
      <c r="L571" t="s">
        <v>753</v>
      </c>
      <c r="M571" t="s">
        <v>29</v>
      </c>
      <c r="N571" t="s">
        <v>43</v>
      </c>
      <c r="O571" t="s">
        <v>754</v>
      </c>
      <c r="P571">
        <v>700.05600000000004</v>
      </c>
      <c r="Q571">
        <v>3</v>
      </c>
      <c r="R571">
        <v>-130.0104</v>
      </c>
      <c r="S571" t="s">
        <v>153</v>
      </c>
    </row>
    <row r="572" spans="1:19" x14ac:dyDescent="0.35">
      <c r="A572" t="s">
        <v>2067</v>
      </c>
      <c r="B572" s="1">
        <v>41798</v>
      </c>
      <c r="C572" s="1">
        <v>41804</v>
      </c>
      <c r="D572" t="s">
        <v>37</v>
      </c>
      <c r="E572" t="s">
        <v>619</v>
      </c>
      <c r="F572" t="s">
        <v>620</v>
      </c>
      <c r="G572" t="s">
        <v>23</v>
      </c>
      <c r="H572" t="s">
        <v>24</v>
      </c>
      <c r="I572" t="s">
        <v>183</v>
      </c>
      <c r="J572" t="s">
        <v>184</v>
      </c>
      <c r="K572" t="s">
        <v>51</v>
      </c>
      <c r="L572" t="s">
        <v>2068</v>
      </c>
      <c r="M572" t="s">
        <v>29</v>
      </c>
      <c r="N572" t="s">
        <v>34</v>
      </c>
      <c r="O572" t="s">
        <v>2069</v>
      </c>
      <c r="P572">
        <v>585.55200000000002</v>
      </c>
      <c r="Q572">
        <v>3</v>
      </c>
      <c r="R572">
        <v>73.194000000000003</v>
      </c>
      <c r="S572" t="s">
        <v>55</v>
      </c>
    </row>
    <row r="573" spans="1:19" x14ac:dyDescent="0.35">
      <c r="A573" t="s">
        <v>2070</v>
      </c>
      <c r="B573" s="1">
        <v>41785</v>
      </c>
      <c r="C573" s="1">
        <v>41789</v>
      </c>
      <c r="D573" t="s">
        <v>37</v>
      </c>
      <c r="E573" t="s">
        <v>2026</v>
      </c>
      <c r="F573" t="s">
        <v>2027</v>
      </c>
      <c r="G573" t="s">
        <v>23</v>
      </c>
      <c r="H573" t="s">
        <v>24</v>
      </c>
      <c r="I573" t="s">
        <v>49</v>
      </c>
      <c r="J573" t="s">
        <v>50</v>
      </c>
      <c r="K573" t="s">
        <v>51</v>
      </c>
      <c r="L573" t="s">
        <v>1523</v>
      </c>
      <c r="M573" t="s">
        <v>29</v>
      </c>
      <c r="N573" t="s">
        <v>34</v>
      </c>
      <c r="O573" t="s">
        <v>1524</v>
      </c>
      <c r="P573">
        <v>225.29599999999999</v>
      </c>
      <c r="Q573">
        <v>2</v>
      </c>
      <c r="R573">
        <v>22.529599999999999</v>
      </c>
      <c r="S573" t="s">
        <v>153</v>
      </c>
    </row>
    <row r="574" spans="1:19" x14ac:dyDescent="0.35">
      <c r="A574" t="s">
        <v>2071</v>
      </c>
      <c r="B574" s="1">
        <v>42440</v>
      </c>
      <c r="C574" s="1">
        <v>42444</v>
      </c>
      <c r="D574" t="s">
        <v>37</v>
      </c>
      <c r="E574" t="s">
        <v>2072</v>
      </c>
      <c r="F574" t="s">
        <v>2073</v>
      </c>
      <c r="G574" t="s">
        <v>94</v>
      </c>
      <c r="H574" t="s">
        <v>24</v>
      </c>
      <c r="I574" t="s">
        <v>339</v>
      </c>
      <c r="J574" t="s">
        <v>658</v>
      </c>
      <c r="K574" t="s">
        <v>27</v>
      </c>
      <c r="L574" t="s">
        <v>1302</v>
      </c>
      <c r="M574" t="s">
        <v>29</v>
      </c>
      <c r="N574" t="s">
        <v>53</v>
      </c>
      <c r="O574" t="s">
        <v>2013</v>
      </c>
      <c r="P574">
        <v>76.92</v>
      </c>
      <c r="Q574">
        <v>4</v>
      </c>
      <c r="R574">
        <v>31.537199999999999</v>
      </c>
      <c r="S574" t="s">
        <v>187</v>
      </c>
    </row>
    <row r="575" spans="1:19" x14ac:dyDescent="0.35">
      <c r="A575" t="s">
        <v>2074</v>
      </c>
      <c r="B575" s="1">
        <v>43079</v>
      </c>
      <c r="C575" s="1">
        <v>43081</v>
      </c>
      <c r="D575" t="s">
        <v>81</v>
      </c>
      <c r="E575" t="s">
        <v>1493</v>
      </c>
      <c r="F575" t="s">
        <v>1494</v>
      </c>
      <c r="G575" t="s">
        <v>23</v>
      </c>
      <c r="H575" t="s">
        <v>24</v>
      </c>
      <c r="I575" t="s">
        <v>40</v>
      </c>
      <c r="J575" t="s">
        <v>41</v>
      </c>
      <c r="K575" t="s">
        <v>27</v>
      </c>
      <c r="L575" t="s">
        <v>918</v>
      </c>
      <c r="M575" t="s">
        <v>29</v>
      </c>
      <c r="N575" t="s">
        <v>53</v>
      </c>
      <c r="O575" t="s">
        <v>308</v>
      </c>
      <c r="P575">
        <v>19.103999999999999</v>
      </c>
      <c r="Q575">
        <v>3</v>
      </c>
      <c r="R575">
        <v>5.7312000000000003</v>
      </c>
      <c r="S575" t="s">
        <v>90</v>
      </c>
    </row>
    <row r="576" spans="1:19" x14ac:dyDescent="0.35">
      <c r="A576" t="s">
        <v>2075</v>
      </c>
      <c r="B576" s="1">
        <v>42202</v>
      </c>
      <c r="C576" s="1">
        <v>42204</v>
      </c>
      <c r="D576" t="s">
        <v>20</v>
      </c>
      <c r="E576" t="s">
        <v>1322</v>
      </c>
      <c r="F576" t="s">
        <v>1323</v>
      </c>
      <c r="G576" t="s">
        <v>23</v>
      </c>
      <c r="H576" t="s">
        <v>24</v>
      </c>
      <c r="I576" t="s">
        <v>2076</v>
      </c>
      <c r="J576" t="s">
        <v>50</v>
      </c>
      <c r="K576" t="s">
        <v>51</v>
      </c>
      <c r="L576" t="s">
        <v>1467</v>
      </c>
      <c r="M576" t="s">
        <v>29</v>
      </c>
      <c r="N576" t="s">
        <v>30</v>
      </c>
      <c r="O576" t="s">
        <v>1468</v>
      </c>
      <c r="P576">
        <v>195.46600000000001</v>
      </c>
      <c r="Q576">
        <v>2</v>
      </c>
      <c r="R576">
        <v>-13.797599999999999</v>
      </c>
      <c r="S576" t="s">
        <v>66</v>
      </c>
    </row>
    <row r="577" spans="1:19" x14ac:dyDescent="0.35">
      <c r="A577" t="s">
        <v>2077</v>
      </c>
      <c r="B577" s="1">
        <v>42855</v>
      </c>
      <c r="C577" s="1">
        <v>42860</v>
      </c>
      <c r="D577" t="s">
        <v>37</v>
      </c>
      <c r="E577" t="s">
        <v>2078</v>
      </c>
      <c r="F577" t="s">
        <v>2079</v>
      </c>
      <c r="G577" t="s">
        <v>84</v>
      </c>
      <c r="H577" t="s">
        <v>24</v>
      </c>
      <c r="I577" t="s">
        <v>2080</v>
      </c>
      <c r="J577" t="s">
        <v>41</v>
      </c>
      <c r="K577" t="s">
        <v>27</v>
      </c>
      <c r="L577" t="s">
        <v>437</v>
      </c>
      <c r="M577" t="s">
        <v>29</v>
      </c>
      <c r="N577" t="s">
        <v>53</v>
      </c>
      <c r="O577" t="s">
        <v>438</v>
      </c>
      <c r="P577">
        <v>23.68</v>
      </c>
      <c r="Q577">
        <v>8</v>
      </c>
      <c r="R577">
        <v>6.2160000000000002</v>
      </c>
      <c r="S577" t="s">
        <v>107</v>
      </c>
    </row>
    <row r="578" spans="1:19" x14ac:dyDescent="0.35">
      <c r="A578" t="s">
        <v>2081</v>
      </c>
      <c r="B578" s="1">
        <v>42268</v>
      </c>
      <c r="C578" s="1">
        <v>42270</v>
      </c>
      <c r="D578" t="s">
        <v>81</v>
      </c>
      <c r="E578" t="s">
        <v>2082</v>
      </c>
      <c r="F578" t="s">
        <v>2083</v>
      </c>
      <c r="G578" t="s">
        <v>94</v>
      </c>
      <c r="H578" t="s">
        <v>24</v>
      </c>
      <c r="I578" t="s">
        <v>49</v>
      </c>
      <c r="J578" t="s">
        <v>50</v>
      </c>
      <c r="K578" t="s">
        <v>51</v>
      </c>
      <c r="L578" t="s">
        <v>616</v>
      </c>
      <c r="M578" t="s">
        <v>29</v>
      </c>
      <c r="N578" t="s">
        <v>34</v>
      </c>
      <c r="O578" t="s">
        <v>617</v>
      </c>
      <c r="P578">
        <v>601.53599999999994</v>
      </c>
      <c r="Q578">
        <v>4</v>
      </c>
      <c r="R578">
        <v>0</v>
      </c>
      <c r="S578" t="s">
        <v>72</v>
      </c>
    </row>
    <row r="579" spans="1:19" x14ac:dyDescent="0.35">
      <c r="A579" t="s">
        <v>2084</v>
      </c>
      <c r="B579" s="1">
        <v>41975</v>
      </c>
      <c r="C579" s="1">
        <v>41979</v>
      </c>
      <c r="D579" t="s">
        <v>37</v>
      </c>
      <c r="E579" t="s">
        <v>2085</v>
      </c>
      <c r="F579" t="s">
        <v>2086</v>
      </c>
      <c r="G579" t="s">
        <v>84</v>
      </c>
      <c r="H579" t="s">
        <v>24</v>
      </c>
      <c r="I579" t="s">
        <v>2087</v>
      </c>
      <c r="J579" t="s">
        <v>86</v>
      </c>
      <c r="K579" t="s">
        <v>87</v>
      </c>
      <c r="L579" t="s">
        <v>381</v>
      </c>
      <c r="M579" t="s">
        <v>29</v>
      </c>
      <c r="N579" t="s">
        <v>53</v>
      </c>
      <c r="O579" t="s">
        <v>382</v>
      </c>
      <c r="P579">
        <v>58.36</v>
      </c>
      <c r="Q579">
        <v>5</v>
      </c>
      <c r="R579">
        <v>-24.803000000000001</v>
      </c>
      <c r="S579" t="s">
        <v>90</v>
      </c>
    </row>
    <row r="580" spans="1:19" x14ac:dyDescent="0.35">
      <c r="A580" t="s">
        <v>2084</v>
      </c>
      <c r="B580" s="1">
        <v>41975</v>
      </c>
      <c r="C580" s="1">
        <v>41979</v>
      </c>
      <c r="D580" t="s">
        <v>37</v>
      </c>
      <c r="E580" t="s">
        <v>2085</v>
      </c>
      <c r="F580" t="s">
        <v>2086</v>
      </c>
      <c r="G580" t="s">
        <v>84</v>
      </c>
      <c r="H580" t="s">
        <v>24</v>
      </c>
      <c r="I580" t="s">
        <v>2087</v>
      </c>
      <c r="J580" t="s">
        <v>86</v>
      </c>
      <c r="K580" t="s">
        <v>87</v>
      </c>
      <c r="L580" t="s">
        <v>688</v>
      </c>
      <c r="M580" t="s">
        <v>29</v>
      </c>
      <c r="N580" t="s">
        <v>53</v>
      </c>
      <c r="O580" t="s">
        <v>689</v>
      </c>
      <c r="P580">
        <v>39.96</v>
      </c>
      <c r="Q580">
        <v>5</v>
      </c>
      <c r="R580">
        <v>-23.975999999999999</v>
      </c>
      <c r="S580" t="s">
        <v>90</v>
      </c>
    </row>
    <row r="581" spans="1:19" x14ac:dyDescent="0.35">
      <c r="A581" t="s">
        <v>2088</v>
      </c>
      <c r="B581" s="1">
        <v>41741</v>
      </c>
      <c r="C581" s="1">
        <v>41746</v>
      </c>
      <c r="D581" t="s">
        <v>37</v>
      </c>
      <c r="E581" t="s">
        <v>2089</v>
      </c>
      <c r="F581" t="s">
        <v>2090</v>
      </c>
      <c r="G581" t="s">
        <v>84</v>
      </c>
      <c r="H581" t="s">
        <v>24</v>
      </c>
      <c r="I581" t="s">
        <v>2091</v>
      </c>
      <c r="J581" t="s">
        <v>50</v>
      </c>
      <c r="K581" t="s">
        <v>51</v>
      </c>
      <c r="L581" t="s">
        <v>533</v>
      </c>
      <c r="M581" t="s">
        <v>29</v>
      </c>
      <c r="N581" t="s">
        <v>30</v>
      </c>
      <c r="O581" t="s">
        <v>534</v>
      </c>
      <c r="P581">
        <v>308.49900000000002</v>
      </c>
      <c r="Q581">
        <v>3</v>
      </c>
      <c r="R581">
        <v>-18.146999999999998</v>
      </c>
      <c r="S581" t="s">
        <v>107</v>
      </c>
    </row>
    <row r="582" spans="1:19" x14ac:dyDescent="0.35">
      <c r="A582" t="s">
        <v>2092</v>
      </c>
      <c r="B582" s="1">
        <v>43042</v>
      </c>
      <c r="C582" s="1">
        <v>43047</v>
      </c>
      <c r="D582" t="s">
        <v>37</v>
      </c>
      <c r="E582" t="s">
        <v>2093</v>
      </c>
      <c r="F582" t="s">
        <v>2094</v>
      </c>
      <c r="G582" t="s">
        <v>23</v>
      </c>
      <c r="H582" t="s">
        <v>24</v>
      </c>
      <c r="I582" t="s">
        <v>2095</v>
      </c>
      <c r="J582" t="s">
        <v>1887</v>
      </c>
      <c r="K582" t="s">
        <v>51</v>
      </c>
      <c r="L582" t="s">
        <v>166</v>
      </c>
      <c r="M582" t="s">
        <v>29</v>
      </c>
      <c r="N582" t="s">
        <v>53</v>
      </c>
      <c r="O582" t="s">
        <v>167</v>
      </c>
      <c r="P582">
        <v>41.37</v>
      </c>
      <c r="Q582">
        <v>3</v>
      </c>
      <c r="R582">
        <v>17.375399999999999</v>
      </c>
      <c r="S582" t="s">
        <v>32</v>
      </c>
    </row>
    <row r="583" spans="1:19" x14ac:dyDescent="0.35">
      <c r="A583" t="s">
        <v>2096</v>
      </c>
      <c r="B583" s="1">
        <v>42254</v>
      </c>
      <c r="C583" s="1">
        <v>42258</v>
      </c>
      <c r="D583" t="s">
        <v>37</v>
      </c>
      <c r="E583" t="s">
        <v>2044</v>
      </c>
      <c r="F583" t="s">
        <v>2045</v>
      </c>
      <c r="G583" t="s">
        <v>23</v>
      </c>
      <c r="H583" t="s">
        <v>24</v>
      </c>
      <c r="I583" t="s">
        <v>1365</v>
      </c>
      <c r="J583" t="s">
        <v>86</v>
      </c>
      <c r="K583" t="s">
        <v>87</v>
      </c>
      <c r="L583" t="s">
        <v>1756</v>
      </c>
      <c r="M583" t="s">
        <v>29</v>
      </c>
      <c r="N583" t="s">
        <v>34</v>
      </c>
      <c r="O583" t="s">
        <v>1757</v>
      </c>
      <c r="P583">
        <v>47.515999999999998</v>
      </c>
      <c r="Q583">
        <v>2</v>
      </c>
      <c r="R583">
        <v>-2.0364</v>
      </c>
      <c r="S583" t="s">
        <v>72</v>
      </c>
    </row>
    <row r="584" spans="1:19" x14ac:dyDescent="0.35">
      <c r="A584" t="s">
        <v>2097</v>
      </c>
      <c r="B584" s="1">
        <v>42210</v>
      </c>
      <c r="C584" s="1">
        <v>42212</v>
      </c>
      <c r="D584" t="s">
        <v>20</v>
      </c>
      <c r="E584" t="s">
        <v>2098</v>
      </c>
      <c r="F584" t="s">
        <v>2099</v>
      </c>
      <c r="G584" t="s">
        <v>23</v>
      </c>
      <c r="H584" t="s">
        <v>24</v>
      </c>
      <c r="I584" t="s">
        <v>183</v>
      </c>
      <c r="J584" t="s">
        <v>184</v>
      </c>
      <c r="K584" t="s">
        <v>51</v>
      </c>
      <c r="L584" t="s">
        <v>1686</v>
      </c>
      <c r="M584" t="s">
        <v>29</v>
      </c>
      <c r="N584" t="s">
        <v>30</v>
      </c>
      <c r="O584" t="s">
        <v>1905</v>
      </c>
      <c r="P584">
        <v>704.9</v>
      </c>
      <c r="Q584">
        <v>5</v>
      </c>
      <c r="R584">
        <v>56.392000000000003</v>
      </c>
      <c r="S584" t="s">
        <v>66</v>
      </c>
    </row>
    <row r="585" spans="1:19" x14ac:dyDescent="0.35">
      <c r="A585" t="s">
        <v>2097</v>
      </c>
      <c r="B585" s="1">
        <v>42210</v>
      </c>
      <c r="C585" s="1">
        <v>42212</v>
      </c>
      <c r="D585" t="s">
        <v>20</v>
      </c>
      <c r="E585" t="s">
        <v>2098</v>
      </c>
      <c r="F585" t="s">
        <v>2099</v>
      </c>
      <c r="G585" t="s">
        <v>23</v>
      </c>
      <c r="H585" t="s">
        <v>24</v>
      </c>
      <c r="I585" t="s">
        <v>183</v>
      </c>
      <c r="J585" t="s">
        <v>184</v>
      </c>
      <c r="K585" t="s">
        <v>51</v>
      </c>
      <c r="L585" t="s">
        <v>1477</v>
      </c>
      <c r="M585" t="s">
        <v>29</v>
      </c>
      <c r="N585" t="s">
        <v>34</v>
      </c>
      <c r="O585" t="s">
        <v>1478</v>
      </c>
      <c r="P585">
        <v>561.56799999999998</v>
      </c>
      <c r="Q585">
        <v>2</v>
      </c>
      <c r="R585">
        <v>28.078399999999998</v>
      </c>
      <c r="S585" t="s">
        <v>66</v>
      </c>
    </row>
    <row r="586" spans="1:19" x14ac:dyDescent="0.35">
      <c r="A586" t="s">
        <v>2100</v>
      </c>
      <c r="B586" s="1">
        <v>42324</v>
      </c>
      <c r="C586" s="1">
        <v>42326</v>
      </c>
      <c r="D586" t="s">
        <v>20</v>
      </c>
      <c r="E586" t="s">
        <v>1342</v>
      </c>
      <c r="F586" t="s">
        <v>1343</v>
      </c>
      <c r="G586" t="s">
        <v>94</v>
      </c>
      <c r="H586" t="s">
        <v>24</v>
      </c>
      <c r="I586" t="s">
        <v>896</v>
      </c>
      <c r="J586" t="s">
        <v>230</v>
      </c>
      <c r="K586" t="s">
        <v>87</v>
      </c>
      <c r="L586" t="s">
        <v>2101</v>
      </c>
      <c r="M586" t="s">
        <v>29</v>
      </c>
      <c r="N586" t="s">
        <v>53</v>
      </c>
      <c r="O586" t="s">
        <v>2102</v>
      </c>
      <c r="P586">
        <v>185.58</v>
      </c>
      <c r="Q586">
        <v>6</v>
      </c>
      <c r="R586">
        <v>76.087800000000001</v>
      </c>
      <c r="S586" t="s">
        <v>32</v>
      </c>
    </row>
    <row r="587" spans="1:19" x14ac:dyDescent="0.35">
      <c r="A587" t="s">
        <v>2100</v>
      </c>
      <c r="B587" s="1">
        <v>42324</v>
      </c>
      <c r="C587" s="1">
        <v>42326</v>
      </c>
      <c r="D587" t="s">
        <v>20</v>
      </c>
      <c r="E587" t="s">
        <v>1342</v>
      </c>
      <c r="F587" t="s">
        <v>1343</v>
      </c>
      <c r="G587" t="s">
        <v>94</v>
      </c>
      <c r="H587" t="s">
        <v>24</v>
      </c>
      <c r="I587" t="s">
        <v>896</v>
      </c>
      <c r="J587" t="s">
        <v>230</v>
      </c>
      <c r="K587" t="s">
        <v>87</v>
      </c>
      <c r="L587" t="s">
        <v>898</v>
      </c>
      <c r="M587" t="s">
        <v>29</v>
      </c>
      <c r="N587" t="s">
        <v>43</v>
      </c>
      <c r="O587" t="s">
        <v>899</v>
      </c>
      <c r="P587">
        <v>214.11</v>
      </c>
      <c r="Q587">
        <v>3</v>
      </c>
      <c r="R587">
        <v>36.398699999999998</v>
      </c>
      <c r="S587" t="s">
        <v>32</v>
      </c>
    </row>
    <row r="588" spans="1:19" x14ac:dyDescent="0.35">
      <c r="A588" t="s">
        <v>2100</v>
      </c>
      <c r="B588" s="1">
        <v>42324</v>
      </c>
      <c r="C588" s="1">
        <v>42326</v>
      </c>
      <c r="D588" t="s">
        <v>20</v>
      </c>
      <c r="E588" t="s">
        <v>1342</v>
      </c>
      <c r="F588" t="s">
        <v>1343</v>
      </c>
      <c r="G588" t="s">
        <v>94</v>
      </c>
      <c r="H588" t="s">
        <v>24</v>
      </c>
      <c r="I588" t="s">
        <v>896</v>
      </c>
      <c r="J588" t="s">
        <v>230</v>
      </c>
      <c r="K588" t="s">
        <v>87</v>
      </c>
      <c r="L588" t="s">
        <v>690</v>
      </c>
      <c r="M588" t="s">
        <v>29</v>
      </c>
      <c r="N588" t="s">
        <v>43</v>
      </c>
      <c r="O588" t="s">
        <v>691</v>
      </c>
      <c r="P588">
        <v>653.54999999999995</v>
      </c>
      <c r="Q588">
        <v>3</v>
      </c>
      <c r="R588">
        <v>111.1035</v>
      </c>
      <c r="S588" t="s">
        <v>32</v>
      </c>
    </row>
    <row r="589" spans="1:19" x14ac:dyDescent="0.35">
      <c r="A589" t="s">
        <v>2103</v>
      </c>
      <c r="B589" s="1">
        <v>42248</v>
      </c>
      <c r="C589" s="1">
        <v>42255</v>
      </c>
      <c r="D589" t="s">
        <v>37</v>
      </c>
      <c r="E589" t="s">
        <v>2104</v>
      </c>
      <c r="F589" t="s">
        <v>2105</v>
      </c>
      <c r="G589" t="s">
        <v>94</v>
      </c>
      <c r="H589" t="s">
        <v>24</v>
      </c>
      <c r="I589" t="s">
        <v>229</v>
      </c>
      <c r="J589" t="s">
        <v>425</v>
      </c>
      <c r="K589" t="s">
        <v>63</v>
      </c>
      <c r="L589" t="s">
        <v>243</v>
      </c>
      <c r="M589" t="s">
        <v>29</v>
      </c>
      <c r="N589" t="s">
        <v>34</v>
      </c>
      <c r="O589" t="s">
        <v>244</v>
      </c>
      <c r="P589">
        <v>60.74</v>
      </c>
      <c r="Q589">
        <v>1</v>
      </c>
      <c r="R589">
        <v>15.185</v>
      </c>
      <c r="S589" t="s">
        <v>72</v>
      </c>
    </row>
    <row r="590" spans="1:19" x14ac:dyDescent="0.35">
      <c r="A590" t="s">
        <v>2103</v>
      </c>
      <c r="B590" s="1">
        <v>42248</v>
      </c>
      <c r="C590" s="1">
        <v>42255</v>
      </c>
      <c r="D590" t="s">
        <v>37</v>
      </c>
      <c r="E590" t="s">
        <v>2104</v>
      </c>
      <c r="F590" t="s">
        <v>2105</v>
      </c>
      <c r="G590" t="s">
        <v>94</v>
      </c>
      <c r="H590" t="s">
        <v>24</v>
      </c>
      <c r="I590" t="s">
        <v>229</v>
      </c>
      <c r="J590" t="s">
        <v>425</v>
      </c>
      <c r="K590" t="s">
        <v>63</v>
      </c>
      <c r="L590" t="s">
        <v>1787</v>
      </c>
      <c r="M590" t="s">
        <v>29</v>
      </c>
      <c r="N590" t="s">
        <v>53</v>
      </c>
      <c r="O590" t="s">
        <v>1788</v>
      </c>
      <c r="P590">
        <v>124.36</v>
      </c>
      <c r="Q590">
        <v>2</v>
      </c>
      <c r="R590">
        <v>27.359200000000001</v>
      </c>
      <c r="S590" t="s">
        <v>72</v>
      </c>
    </row>
    <row r="591" spans="1:19" x14ac:dyDescent="0.35">
      <c r="A591" t="s">
        <v>2106</v>
      </c>
      <c r="B591" s="1">
        <v>42495</v>
      </c>
      <c r="C591" s="1">
        <v>42498</v>
      </c>
      <c r="D591" t="s">
        <v>81</v>
      </c>
      <c r="E591" t="s">
        <v>2107</v>
      </c>
      <c r="F591" t="s">
        <v>2108</v>
      </c>
      <c r="G591" t="s">
        <v>23</v>
      </c>
      <c r="H591" t="s">
        <v>24</v>
      </c>
      <c r="I591" t="s">
        <v>1042</v>
      </c>
      <c r="J591" t="s">
        <v>50</v>
      </c>
      <c r="K591" t="s">
        <v>51</v>
      </c>
      <c r="L591" t="s">
        <v>282</v>
      </c>
      <c r="M591" t="s">
        <v>29</v>
      </c>
      <c r="N591" t="s">
        <v>43</v>
      </c>
      <c r="O591" t="s">
        <v>283</v>
      </c>
      <c r="P591">
        <v>298.77600000000001</v>
      </c>
      <c r="Q591">
        <v>3</v>
      </c>
      <c r="R591">
        <v>7.4694000000000003</v>
      </c>
      <c r="S591" t="s">
        <v>153</v>
      </c>
    </row>
    <row r="592" spans="1:19" x14ac:dyDescent="0.35">
      <c r="A592" t="s">
        <v>2109</v>
      </c>
      <c r="B592" s="1">
        <v>41907</v>
      </c>
      <c r="C592" s="1">
        <v>41912</v>
      </c>
      <c r="D592" t="s">
        <v>37</v>
      </c>
      <c r="E592" t="s">
        <v>531</v>
      </c>
      <c r="F592" t="s">
        <v>532</v>
      </c>
      <c r="G592" t="s">
        <v>94</v>
      </c>
      <c r="H592" t="s">
        <v>24</v>
      </c>
      <c r="I592" t="s">
        <v>95</v>
      </c>
      <c r="J592" t="s">
        <v>86</v>
      </c>
      <c r="K592" t="s">
        <v>87</v>
      </c>
      <c r="L592" t="s">
        <v>727</v>
      </c>
      <c r="M592" t="s">
        <v>29</v>
      </c>
      <c r="N592" t="s">
        <v>30</v>
      </c>
      <c r="O592" t="s">
        <v>728</v>
      </c>
      <c r="P592">
        <v>300.53280000000001</v>
      </c>
      <c r="Q592">
        <v>2</v>
      </c>
      <c r="R592">
        <v>-97.231200000000001</v>
      </c>
      <c r="S592" t="s">
        <v>72</v>
      </c>
    </row>
    <row r="593" spans="1:19" x14ac:dyDescent="0.35">
      <c r="A593" t="s">
        <v>2110</v>
      </c>
      <c r="B593" s="1">
        <v>41712</v>
      </c>
      <c r="C593" s="1">
        <v>41717</v>
      </c>
      <c r="D593" t="s">
        <v>37</v>
      </c>
      <c r="E593" t="s">
        <v>739</v>
      </c>
      <c r="F593" t="s">
        <v>740</v>
      </c>
      <c r="G593" t="s">
        <v>94</v>
      </c>
      <c r="H593" t="s">
        <v>24</v>
      </c>
      <c r="I593" t="s">
        <v>2111</v>
      </c>
      <c r="J593" t="s">
        <v>707</v>
      </c>
      <c r="K593" t="s">
        <v>27</v>
      </c>
      <c r="L593" t="s">
        <v>566</v>
      </c>
      <c r="M593" t="s">
        <v>29</v>
      </c>
      <c r="N593" t="s">
        <v>34</v>
      </c>
      <c r="O593" t="s">
        <v>567</v>
      </c>
      <c r="P593">
        <v>1139.92</v>
      </c>
      <c r="Q593">
        <v>4</v>
      </c>
      <c r="R593">
        <v>284.98</v>
      </c>
      <c r="S593" t="s">
        <v>187</v>
      </c>
    </row>
    <row r="594" spans="1:19" x14ac:dyDescent="0.35">
      <c r="A594" t="s">
        <v>2112</v>
      </c>
      <c r="B594" s="1">
        <v>42731</v>
      </c>
      <c r="C594" s="1">
        <v>42735</v>
      </c>
      <c r="D594" t="s">
        <v>37</v>
      </c>
      <c r="E594" t="s">
        <v>1150</v>
      </c>
      <c r="F594" t="s">
        <v>1151</v>
      </c>
      <c r="G594" t="s">
        <v>84</v>
      </c>
      <c r="H594" t="s">
        <v>24</v>
      </c>
      <c r="I594" t="s">
        <v>2113</v>
      </c>
      <c r="J594" t="s">
        <v>126</v>
      </c>
      <c r="K594" t="s">
        <v>87</v>
      </c>
      <c r="L594" t="s">
        <v>647</v>
      </c>
      <c r="M594" t="s">
        <v>29</v>
      </c>
      <c r="N594" t="s">
        <v>34</v>
      </c>
      <c r="O594" t="s">
        <v>648</v>
      </c>
      <c r="P594">
        <v>845.48800000000006</v>
      </c>
      <c r="Q594">
        <v>8</v>
      </c>
      <c r="R594">
        <v>-12.0784</v>
      </c>
      <c r="S594" t="s">
        <v>90</v>
      </c>
    </row>
    <row r="595" spans="1:19" x14ac:dyDescent="0.35">
      <c r="A595" t="s">
        <v>2114</v>
      </c>
      <c r="B595" s="1">
        <v>42833</v>
      </c>
      <c r="C595" s="1">
        <v>42840</v>
      </c>
      <c r="D595" t="s">
        <v>37</v>
      </c>
      <c r="E595" t="s">
        <v>2115</v>
      </c>
      <c r="F595" t="s">
        <v>2116</v>
      </c>
      <c r="G595" t="s">
        <v>84</v>
      </c>
      <c r="H595" t="s">
        <v>24</v>
      </c>
      <c r="I595" t="s">
        <v>1808</v>
      </c>
      <c r="J595" t="s">
        <v>658</v>
      </c>
      <c r="K595" t="s">
        <v>27</v>
      </c>
      <c r="L595" t="s">
        <v>2117</v>
      </c>
      <c r="M595" t="s">
        <v>29</v>
      </c>
      <c r="N595" t="s">
        <v>53</v>
      </c>
      <c r="O595" t="s">
        <v>2118</v>
      </c>
      <c r="P595">
        <v>56.28</v>
      </c>
      <c r="Q595">
        <v>6</v>
      </c>
      <c r="R595">
        <v>15.7584</v>
      </c>
      <c r="S595" t="s">
        <v>107</v>
      </c>
    </row>
    <row r="596" spans="1:19" x14ac:dyDescent="0.35">
      <c r="A596" t="s">
        <v>2119</v>
      </c>
      <c r="B596" s="1">
        <v>42448</v>
      </c>
      <c r="C596" s="1">
        <v>42450</v>
      </c>
      <c r="D596" t="s">
        <v>20</v>
      </c>
      <c r="E596" t="s">
        <v>1872</v>
      </c>
      <c r="F596" t="s">
        <v>1873</v>
      </c>
      <c r="G596" t="s">
        <v>23</v>
      </c>
      <c r="H596" t="s">
        <v>24</v>
      </c>
      <c r="I596" t="s">
        <v>752</v>
      </c>
      <c r="J596" t="s">
        <v>114</v>
      </c>
      <c r="K596" t="s">
        <v>63</v>
      </c>
      <c r="L596" t="s">
        <v>2120</v>
      </c>
      <c r="M596" t="s">
        <v>29</v>
      </c>
      <c r="N596" t="s">
        <v>53</v>
      </c>
      <c r="O596" t="s">
        <v>2121</v>
      </c>
      <c r="P596">
        <v>14.98</v>
      </c>
      <c r="Q596">
        <v>1</v>
      </c>
      <c r="R596">
        <v>6.8907999999999996</v>
      </c>
      <c r="S596" t="s">
        <v>187</v>
      </c>
    </row>
    <row r="597" spans="1:19" x14ac:dyDescent="0.35">
      <c r="A597" t="s">
        <v>2119</v>
      </c>
      <c r="B597" s="1">
        <v>42448</v>
      </c>
      <c r="C597" s="1">
        <v>42450</v>
      </c>
      <c r="D597" t="s">
        <v>20</v>
      </c>
      <c r="E597" t="s">
        <v>1872</v>
      </c>
      <c r="F597" t="s">
        <v>1873</v>
      </c>
      <c r="G597" t="s">
        <v>23</v>
      </c>
      <c r="H597" t="s">
        <v>24</v>
      </c>
      <c r="I597" t="s">
        <v>752</v>
      </c>
      <c r="J597" t="s">
        <v>114</v>
      </c>
      <c r="K597" t="s">
        <v>63</v>
      </c>
      <c r="L597" t="s">
        <v>652</v>
      </c>
      <c r="M597" t="s">
        <v>29</v>
      </c>
      <c r="N597" t="s">
        <v>53</v>
      </c>
      <c r="O597" t="s">
        <v>653</v>
      </c>
      <c r="P597">
        <v>20.32</v>
      </c>
      <c r="Q597">
        <v>4</v>
      </c>
      <c r="R597">
        <v>6.9088000000000003</v>
      </c>
      <c r="S597" t="s">
        <v>187</v>
      </c>
    </row>
    <row r="598" spans="1:19" x14ac:dyDescent="0.35">
      <c r="A598" t="s">
        <v>2122</v>
      </c>
      <c r="B598" s="1">
        <v>42608</v>
      </c>
      <c r="C598" s="1">
        <v>42611</v>
      </c>
      <c r="D598" t="s">
        <v>81</v>
      </c>
      <c r="E598" t="s">
        <v>389</v>
      </c>
      <c r="F598" t="s">
        <v>390</v>
      </c>
      <c r="G598" t="s">
        <v>84</v>
      </c>
      <c r="H598" t="s">
        <v>24</v>
      </c>
      <c r="I598" t="s">
        <v>630</v>
      </c>
      <c r="J598" t="s">
        <v>50</v>
      </c>
      <c r="K598" t="s">
        <v>51</v>
      </c>
      <c r="L598" t="s">
        <v>550</v>
      </c>
      <c r="M598" t="s">
        <v>29</v>
      </c>
      <c r="N598" t="s">
        <v>34</v>
      </c>
      <c r="O598" t="s">
        <v>551</v>
      </c>
      <c r="P598">
        <v>1603.136</v>
      </c>
      <c r="Q598">
        <v>4</v>
      </c>
      <c r="R598">
        <v>100.196</v>
      </c>
      <c r="S598" t="s">
        <v>245</v>
      </c>
    </row>
    <row r="599" spans="1:19" x14ac:dyDescent="0.35">
      <c r="A599" t="s">
        <v>2123</v>
      </c>
      <c r="B599" s="1">
        <v>42597</v>
      </c>
      <c r="C599" s="1">
        <v>42599</v>
      </c>
      <c r="D599" t="s">
        <v>20</v>
      </c>
      <c r="E599" t="s">
        <v>2124</v>
      </c>
      <c r="F599" t="s">
        <v>2125</v>
      </c>
      <c r="G599" t="s">
        <v>23</v>
      </c>
      <c r="H599" t="s">
        <v>24</v>
      </c>
      <c r="I599" t="s">
        <v>1902</v>
      </c>
      <c r="J599" t="s">
        <v>1027</v>
      </c>
      <c r="K599" t="s">
        <v>27</v>
      </c>
      <c r="L599" t="s">
        <v>1523</v>
      </c>
      <c r="M599" t="s">
        <v>29</v>
      </c>
      <c r="N599" t="s">
        <v>34</v>
      </c>
      <c r="O599" t="s">
        <v>1524</v>
      </c>
      <c r="P599">
        <v>225.29599999999999</v>
      </c>
      <c r="Q599">
        <v>2</v>
      </c>
      <c r="R599">
        <v>22.529599999999999</v>
      </c>
      <c r="S599" t="s">
        <v>245</v>
      </c>
    </row>
    <row r="600" spans="1:19" x14ac:dyDescent="0.35">
      <c r="A600" t="s">
        <v>2126</v>
      </c>
      <c r="B600" s="1">
        <v>42874</v>
      </c>
      <c r="C600" s="1">
        <v>42878</v>
      </c>
      <c r="D600" t="s">
        <v>37</v>
      </c>
      <c r="E600" t="s">
        <v>2127</v>
      </c>
      <c r="F600" t="s">
        <v>2128</v>
      </c>
      <c r="G600" t="s">
        <v>23</v>
      </c>
      <c r="H600" t="s">
        <v>24</v>
      </c>
      <c r="I600" t="s">
        <v>2129</v>
      </c>
      <c r="J600" t="s">
        <v>658</v>
      </c>
      <c r="K600" t="s">
        <v>27</v>
      </c>
      <c r="L600" t="s">
        <v>269</v>
      </c>
      <c r="M600" t="s">
        <v>29</v>
      </c>
      <c r="N600" t="s">
        <v>30</v>
      </c>
      <c r="O600" t="s">
        <v>270</v>
      </c>
      <c r="P600">
        <v>1628.82</v>
      </c>
      <c r="Q600">
        <v>9</v>
      </c>
      <c r="R600">
        <v>374.62860000000001</v>
      </c>
      <c r="S600" t="s">
        <v>153</v>
      </c>
    </row>
    <row r="601" spans="1:19" x14ac:dyDescent="0.35">
      <c r="A601" t="s">
        <v>2130</v>
      </c>
      <c r="B601" s="1">
        <v>42898</v>
      </c>
      <c r="C601" s="1">
        <v>42905</v>
      </c>
      <c r="D601" t="s">
        <v>37</v>
      </c>
      <c r="E601" t="s">
        <v>213</v>
      </c>
      <c r="F601" t="s">
        <v>214</v>
      </c>
      <c r="G601" t="s">
        <v>23</v>
      </c>
      <c r="H601" t="s">
        <v>24</v>
      </c>
      <c r="I601" t="s">
        <v>780</v>
      </c>
      <c r="J601" t="s">
        <v>41</v>
      </c>
      <c r="K601" t="s">
        <v>27</v>
      </c>
      <c r="L601" t="s">
        <v>2131</v>
      </c>
      <c r="M601" t="s">
        <v>29</v>
      </c>
      <c r="N601" t="s">
        <v>53</v>
      </c>
      <c r="O601" t="s">
        <v>2132</v>
      </c>
      <c r="P601">
        <v>17.088000000000001</v>
      </c>
      <c r="Q601">
        <v>2</v>
      </c>
      <c r="R601">
        <v>1.0680000000000001</v>
      </c>
      <c r="S601" t="s">
        <v>55</v>
      </c>
    </row>
    <row r="602" spans="1:19" x14ac:dyDescent="0.35">
      <c r="A602" t="s">
        <v>2133</v>
      </c>
      <c r="B602" s="1">
        <v>41720</v>
      </c>
      <c r="C602" s="1">
        <v>41724</v>
      </c>
      <c r="D602" t="s">
        <v>37</v>
      </c>
      <c r="E602" t="s">
        <v>2134</v>
      </c>
      <c r="F602" t="s">
        <v>2135</v>
      </c>
      <c r="G602" t="s">
        <v>84</v>
      </c>
      <c r="H602" t="s">
        <v>24</v>
      </c>
      <c r="I602" t="s">
        <v>1213</v>
      </c>
      <c r="J602" t="s">
        <v>511</v>
      </c>
      <c r="K602" t="s">
        <v>51</v>
      </c>
      <c r="L602" t="s">
        <v>659</v>
      </c>
      <c r="M602" t="s">
        <v>29</v>
      </c>
      <c r="N602" t="s">
        <v>34</v>
      </c>
      <c r="O602" t="s">
        <v>660</v>
      </c>
      <c r="P602">
        <v>314.35199999999998</v>
      </c>
      <c r="Q602">
        <v>3</v>
      </c>
      <c r="R602">
        <v>-35.364600000000003</v>
      </c>
      <c r="S602" t="s">
        <v>187</v>
      </c>
    </row>
    <row r="603" spans="1:19" x14ac:dyDescent="0.35">
      <c r="A603" t="s">
        <v>2136</v>
      </c>
      <c r="B603" s="1">
        <v>42390</v>
      </c>
      <c r="C603" s="1">
        <v>42392</v>
      </c>
      <c r="D603" t="s">
        <v>20</v>
      </c>
      <c r="E603" t="s">
        <v>2137</v>
      </c>
      <c r="F603" t="s">
        <v>2138</v>
      </c>
      <c r="G603" t="s">
        <v>23</v>
      </c>
      <c r="H603" t="s">
        <v>24</v>
      </c>
      <c r="I603" t="s">
        <v>630</v>
      </c>
      <c r="J603" t="s">
        <v>50</v>
      </c>
      <c r="K603" t="s">
        <v>51</v>
      </c>
      <c r="L603" t="s">
        <v>1270</v>
      </c>
      <c r="M603" t="s">
        <v>29</v>
      </c>
      <c r="N603" t="s">
        <v>34</v>
      </c>
      <c r="O603" t="s">
        <v>1271</v>
      </c>
      <c r="P603">
        <v>153.56800000000001</v>
      </c>
      <c r="Q603">
        <v>2</v>
      </c>
      <c r="R603">
        <v>-5.7587999999999999</v>
      </c>
      <c r="S603" t="s">
        <v>161</v>
      </c>
    </row>
    <row r="604" spans="1:19" x14ac:dyDescent="0.35">
      <c r="A604" t="s">
        <v>2136</v>
      </c>
      <c r="B604" s="1">
        <v>42390</v>
      </c>
      <c r="C604" s="1">
        <v>42392</v>
      </c>
      <c r="D604" t="s">
        <v>20</v>
      </c>
      <c r="E604" t="s">
        <v>2137</v>
      </c>
      <c r="F604" t="s">
        <v>2138</v>
      </c>
      <c r="G604" t="s">
        <v>23</v>
      </c>
      <c r="H604" t="s">
        <v>24</v>
      </c>
      <c r="I604" t="s">
        <v>630</v>
      </c>
      <c r="J604" t="s">
        <v>50</v>
      </c>
      <c r="K604" t="s">
        <v>51</v>
      </c>
      <c r="L604" t="s">
        <v>412</v>
      </c>
      <c r="M604" t="s">
        <v>29</v>
      </c>
      <c r="N604" t="s">
        <v>34</v>
      </c>
      <c r="O604" t="s">
        <v>413</v>
      </c>
      <c r="P604">
        <v>1013.4880000000001</v>
      </c>
      <c r="Q604">
        <v>7</v>
      </c>
      <c r="R604">
        <v>76.011600000000001</v>
      </c>
      <c r="S604" t="s">
        <v>161</v>
      </c>
    </row>
    <row r="605" spans="1:19" x14ac:dyDescent="0.35">
      <c r="A605" t="s">
        <v>2139</v>
      </c>
      <c r="B605" s="1">
        <v>42685</v>
      </c>
      <c r="C605" s="1">
        <v>42690</v>
      </c>
      <c r="D605" t="s">
        <v>20</v>
      </c>
      <c r="E605" t="s">
        <v>2140</v>
      </c>
      <c r="F605" t="s">
        <v>2141</v>
      </c>
      <c r="G605" t="s">
        <v>23</v>
      </c>
      <c r="H605" t="s">
        <v>24</v>
      </c>
      <c r="I605" t="s">
        <v>320</v>
      </c>
      <c r="J605" t="s">
        <v>50</v>
      </c>
      <c r="K605" t="s">
        <v>51</v>
      </c>
      <c r="L605" t="s">
        <v>1062</v>
      </c>
      <c r="M605" t="s">
        <v>29</v>
      </c>
      <c r="N605" t="s">
        <v>53</v>
      </c>
      <c r="O605" t="s">
        <v>1063</v>
      </c>
      <c r="P605">
        <v>6.96</v>
      </c>
      <c r="Q605">
        <v>4</v>
      </c>
      <c r="R605">
        <v>2.2271999999999998</v>
      </c>
      <c r="S605" t="s">
        <v>32</v>
      </c>
    </row>
    <row r="606" spans="1:19" x14ac:dyDescent="0.35">
      <c r="A606" t="s">
        <v>2142</v>
      </c>
      <c r="B606" s="1">
        <v>42661</v>
      </c>
      <c r="C606" s="1">
        <v>42665</v>
      </c>
      <c r="D606" t="s">
        <v>37</v>
      </c>
      <c r="E606" t="s">
        <v>2054</v>
      </c>
      <c r="F606" t="s">
        <v>2055</v>
      </c>
      <c r="G606" t="s">
        <v>23</v>
      </c>
      <c r="H606" t="s">
        <v>24</v>
      </c>
      <c r="I606" t="s">
        <v>2143</v>
      </c>
      <c r="J606" t="s">
        <v>511</v>
      </c>
      <c r="K606" t="s">
        <v>51</v>
      </c>
      <c r="L606" t="s">
        <v>479</v>
      </c>
      <c r="M606" t="s">
        <v>29</v>
      </c>
      <c r="N606" t="s">
        <v>34</v>
      </c>
      <c r="O606" t="s">
        <v>480</v>
      </c>
      <c r="P606">
        <v>307.92</v>
      </c>
      <c r="Q606">
        <v>5</v>
      </c>
      <c r="R606">
        <v>-34.640999999999998</v>
      </c>
      <c r="S606" t="s">
        <v>45</v>
      </c>
    </row>
    <row r="607" spans="1:19" x14ac:dyDescent="0.35">
      <c r="A607" t="s">
        <v>2144</v>
      </c>
      <c r="B607" s="1">
        <v>41758</v>
      </c>
      <c r="C607" s="1">
        <v>41760</v>
      </c>
      <c r="D607" t="s">
        <v>20</v>
      </c>
      <c r="E607" t="s">
        <v>2145</v>
      </c>
      <c r="F607" t="s">
        <v>2146</v>
      </c>
      <c r="G607" t="s">
        <v>23</v>
      </c>
      <c r="H607" t="s">
        <v>24</v>
      </c>
      <c r="I607" t="s">
        <v>2147</v>
      </c>
      <c r="J607" t="s">
        <v>1397</v>
      </c>
      <c r="K607" t="s">
        <v>27</v>
      </c>
      <c r="L607" t="s">
        <v>994</v>
      </c>
      <c r="M607" t="s">
        <v>29</v>
      </c>
      <c r="N607" t="s">
        <v>34</v>
      </c>
      <c r="O607" t="s">
        <v>995</v>
      </c>
      <c r="P607">
        <v>51.96</v>
      </c>
      <c r="Q607">
        <v>2</v>
      </c>
      <c r="R607">
        <v>12.99</v>
      </c>
      <c r="S607" t="s">
        <v>107</v>
      </c>
    </row>
    <row r="608" spans="1:19" x14ac:dyDescent="0.35">
      <c r="A608" t="s">
        <v>2148</v>
      </c>
      <c r="B608" s="1">
        <v>43031</v>
      </c>
      <c r="C608" s="1">
        <v>43037</v>
      </c>
      <c r="D608" t="s">
        <v>37</v>
      </c>
      <c r="E608" t="s">
        <v>1147</v>
      </c>
      <c r="F608" t="s">
        <v>1148</v>
      </c>
      <c r="G608" t="s">
        <v>84</v>
      </c>
      <c r="H608" t="s">
        <v>24</v>
      </c>
      <c r="I608" t="s">
        <v>885</v>
      </c>
      <c r="J608" t="s">
        <v>114</v>
      </c>
      <c r="K608" t="s">
        <v>63</v>
      </c>
      <c r="L608" t="s">
        <v>2149</v>
      </c>
      <c r="M608" t="s">
        <v>29</v>
      </c>
      <c r="N608" t="s">
        <v>53</v>
      </c>
      <c r="O608" t="s">
        <v>2150</v>
      </c>
      <c r="P608">
        <v>69.08</v>
      </c>
      <c r="Q608">
        <v>11</v>
      </c>
      <c r="R608">
        <v>29.0136</v>
      </c>
      <c r="S608" t="s">
        <v>45</v>
      </c>
    </row>
    <row r="609" spans="1:19" x14ac:dyDescent="0.35">
      <c r="A609" t="s">
        <v>2151</v>
      </c>
      <c r="B609" s="1">
        <v>42120</v>
      </c>
      <c r="C609" s="1">
        <v>42124</v>
      </c>
      <c r="D609" t="s">
        <v>37</v>
      </c>
      <c r="E609" t="s">
        <v>1889</v>
      </c>
      <c r="F609" t="s">
        <v>1890</v>
      </c>
      <c r="G609" t="s">
        <v>23</v>
      </c>
      <c r="H609" t="s">
        <v>24</v>
      </c>
      <c r="I609" t="s">
        <v>95</v>
      </c>
      <c r="J609" t="s">
        <v>86</v>
      </c>
      <c r="K609" t="s">
        <v>87</v>
      </c>
      <c r="L609" t="s">
        <v>373</v>
      </c>
      <c r="M609" t="s">
        <v>29</v>
      </c>
      <c r="N609" t="s">
        <v>34</v>
      </c>
      <c r="O609" t="s">
        <v>374</v>
      </c>
      <c r="P609">
        <v>408.42200000000003</v>
      </c>
      <c r="Q609">
        <v>2</v>
      </c>
      <c r="R609">
        <v>-5.8346</v>
      </c>
      <c r="S609" t="s">
        <v>107</v>
      </c>
    </row>
    <row r="610" spans="1:19" x14ac:dyDescent="0.35">
      <c r="A610" t="s">
        <v>2152</v>
      </c>
      <c r="B610" s="1">
        <v>42548</v>
      </c>
      <c r="C610" s="1">
        <v>42552</v>
      </c>
      <c r="D610" t="s">
        <v>37</v>
      </c>
      <c r="E610" t="s">
        <v>1520</v>
      </c>
      <c r="F610" t="s">
        <v>1521</v>
      </c>
      <c r="G610" t="s">
        <v>84</v>
      </c>
      <c r="H610" t="s">
        <v>24</v>
      </c>
      <c r="I610" t="s">
        <v>2153</v>
      </c>
      <c r="J610" t="s">
        <v>126</v>
      </c>
      <c r="K610" t="s">
        <v>87</v>
      </c>
      <c r="L610" t="s">
        <v>1591</v>
      </c>
      <c r="M610" t="s">
        <v>29</v>
      </c>
      <c r="N610" t="s">
        <v>34</v>
      </c>
      <c r="O610" t="s">
        <v>1592</v>
      </c>
      <c r="P610">
        <v>539.65800000000002</v>
      </c>
      <c r="Q610">
        <v>3</v>
      </c>
      <c r="R610">
        <v>-7.7093999999999996</v>
      </c>
      <c r="S610" t="s">
        <v>55</v>
      </c>
    </row>
    <row r="611" spans="1:19" x14ac:dyDescent="0.35">
      <c r="A611" t="s">
        <v>2154</v>
      </c>
      <c r="B611" s="1">
        <v>42697</v>
      </c>
      <c r="C611" s="1">
        <v>42697</v>
      </c>
      <c r="D611" t="s">
        <v>417</v>
      </c>
      <c r="E611" t="s">
        <v>2155</v>
      </c>
      <c r="F611" t="s">
        <v>2156</v>
      </c>
      <c r="G611" t="s">
        <v>84</v>
      </c>
      <c r="H611" t="s">
        <v>24</v>
      </c>
      <c r="I611" t="s">
        <v>61</v>
      </c>
      <c r="J611" t="s">
        <v>62</v>
      </c>
      <c r="K611" t="s">
        <v>63</v>
      </c>
      <c r="L611" t="s">
        <v>1442</v>
      </c>
      <c r="M611" t="s">
        <v>29</v>
      </c>
      <c r="N611" t="s">
        <v>53</v>
      </c>
      <c r="O611" t="s">
        <v>1443</v>
      </c>
      <c r="P611">
        <v>14.368</v>
      </c>
      <c r="Q611">
        <v>2</v>
      </c>
      <c r="R611">
        <v>3.9512</v>
      </c>
      <c r="S611" t="s">
        <v>32</v>
      </c>
    </row>
    <row r="612" spans="1:19" x14ac:dyDescent="0.35">
      <c r="A612" t="s">
        <v>2154</v>
      </c>
      <c r="B612" s="1">
        <v>42697</v>
      </c>
      <c r="C612" s="1">
        <v>42697</v>
      </c>
      <c r="D612" t="s">
        <v>417</v>
      </c>
      <c r="E612" t="s">
        <v>2155</v>
      </c>
      <c r="F612" t="s">
        <v>2156</v>
      </c>
      <c r="G612" t="s">
        <v>84</v>
      </c>
      <c r="H612" t="s">
        <v>24</v>
      </c>
      <c r="I612" t="s">
        <v>61</v>
      </c>
      <c r="J612" t="s">
        <v>62</v>
      </c>
      <c r="K612" t="s">
        <v>63</v>
      </c>
      <c r="L612" t="s">
        <v>1259</v>
      </c>
      <c r="M612" t="s">
        <v>29</v>
      </c>
      <c r="N612" t="s">
        <v>53</v>
      </c>
      <c r="O612" t="s">
        <v>1260</v>
      </c>
      <c r="P612">
        <v>70.447999999999993</v>
      </c>
      <c r="Q612">
        <v>7</v>
      </c>
      <c r="R612">
        <v>12.3284</v>
      </c>
      <c r="S612" t="s">
        <v>32</v>
      </c>
    </row>
    <row r="613" spans="1:19" x14ac:dyDescent="0.35">
      <c r="A613" t="s">
        <v>2157</v>
      </c>
      <c r="B613" s="1">
        <v>41884</v>
      </c>
      <c r="C613" s="1">
        <v>41887</v>
      </c>
      <c r="D613" t="s">
        <v>81</v>
      </c>
      <c r="E613" t="s">
        <v>2158</v>
      </c>
      <c r="F613" t="s">
        <v>2159</v>
      </c>
      <c r="G613" t="s">
        <v>23</v>
      </c>
      <c r="H613" t="s">
        <v>24</v>
      </c>
      <c r="I613" t="s">
        <v>1356</v>
      </c>
      <c r="J613" t="s">
        <v>114</v>
      </c>
      <c r="K613" t="s">
        <v>63</v>
      </c>
      <c r="L613" t="s">
        <v>2160</v>
      </c>
      <c r="M613" t="s">
        <v>29</v>
      </c>
      <c r="N613" t="s">
        <v>53</v>
      </c>
      <c r="O613" t="s">
        <v>2161</v>
      </c>
      <c r="P613">
        <v>70.709999999999994</v>
      </c>
      <c r="Q613">
        <v>1</v>
      </c>
      <c r="R613">
        <v>4.9497</v>
      </c>
      <c r="S613" t="s">
        <v>72</v>
      </c>
    </row>
    <row r="614" spans="1:19" x14ac:dyDescent="0.35">
      <c r="A614" t="s">
        <v>2162</v>
      </c>
      <c r="B614" s="1">
        <v>42926</v>
      </c>
      <c r="C614" s="1">
        <v>42930</v>
      </c>
      <c r="D614" t="s">
        <v>20</v>
      </c>
      <c r="E614" t="s">
        <v>2163</v>
      </c>
      <c r="F614" t="s">
        <v>2164</v>
      </c>
      <c r="G614" t="s">
        <v>23</v>
      </c>
      <c r="H614" t="s">
        <v>24</v>
      </c>
      <c r="I614" t="s">
        <v>339</v>
      </c>
      <c r="J614" t="s">
        <v>658</v>
      </c>
      <c r="K614" t="s">
        <v>27</v>
      </c>
      <c r="L614" t="s">
        <v>2149</v>
      </c>
      <c r="M614" t="s">
        <v>29</v>
      </c>
      <c r="N614" t="s">
        <v>53</v>
      </c>
      <c r="O614" t="s">
        <v>2150</v>
      </c>
      <c r="P614">
        <v>18.84</v>
      </c>
      <c r="Q614">
        <v>3</v>
      </c>
      <c r="R614">
        <v>7.9127999999999998</v>
      </c>
      <c r="S614" t="s">
        <v>66</v>
      </c>
    </row>
    <row r="615" spans="1:19" x14ac:dyDescent="0.35">
      <c r="A615" t="s">
        <v>2165</v>
      </c>
      <c r="B615" s="1">
        <v>43057</v>
      </c>
      <c r="C615" s="1">
        <v>43063</v>
      </c>
      <c r="D615" t="s">
        <v>37</v>
      </c>
      <c r="E615" t="s">
        <v>1273</v>
      </c>
      <c r="F615" t="s">
        <v>1274</v>
      </c>
      <c r="G615" t="s">
        <v>94</v>
      </c>
      <c r="H615" t="s">
        <v>24</v>
      </c>
      <c r="I615" t="s">
        <v>2166</v>
      </c>
      <c r="J615" t="s">
        <v>281</v>
      </c>
      <c r="K615" t="s">
        <v>87</v>
      </c>
      <c r="L615" t="s">
        <v>793</v>
      </c>
      <c r="M615" t="s">
        <v>29</v>
      </c>
      <c r="N615" t="s">
        <v>53</v>
      </c>
      <c r="O615" t="s">
        <v>794</v>
      </c>
      <c r="P615">
        <v>19.760000000000002</v>
      </c>
      <c r="Q615">
        <v>4</v>
      </c>
      <c r="R615">
        <v>8.2992000000000008</v>
      </c>
      <c r="S615" t="s">
        <v>32</v>
      </c>
    </row>
    <row r="616" spans="1:19" x14ac:dyDescent="0.35">
      <c r="A616" t="s">
        <v>2167</v>
      </c>
      <c r="B616" s="1">
        <v>42224</v>
      </c>
      <c r="C616" s="1">
        <v>42224</v>
      </c>
      <c r="D616" t="s">
        <v>417</v>
      </c>
      <c r="E616" t="s">
        <v>2168</v>
      </c>
      <c r="F616" t="s">
        <v>2169</v>
      </c>
      <c r="G616" t="s">
        <v>23</v>
      </c>
      <c r="H616" t="s">
        <v>24</v>
      </c>
      <c r="I616" t="s">
        <v>320</v>
      </c>
      <c r="J616" t="s">
        <v>50</v>
      </c>
      <c r="K616" t="s">
        <v>51</v>
      </c>
      <c r="L616" t="s">
        <v>412</v>
      </c>
      <c r="M616" t="s">
        <v>29</v>
      </c>
      <c r="N616" t="s">
        <v>34</v>
      </c>
      <c r="O616" t="s">
        <v>413</v>
      </c>
      <c r="P616">
        <v>144.78399999999999</v>
      </c>
      <c r="Q616">
        <v>1</v>
      </c>
      <c r="R616">
        <v>10.8588</v>
      </c>
      <c r="S616" t="s">
        <v>245</v>
      </c>
    </row>
    <row r="617" spans="1:19" x14ac:dyDescent="0.35">
      <c r="A617" t="s">
        <v>2170</v>
      </c>
      <c r="B617" s="1">
        <v>42819</v>
      </c>
      <c r="C617" s="1">
        <v>42825</v>
      </c>
      <c r="D617" t="s">
        <v>37</v>
      </c>
      <c r="E617" t="s">
        <v>666</v>
      </c>
      <c r="F617" t="s">
        <v>667</v>
      </c>
      <c r="G617" t="s">
        <v>84</v>
      </c>
      <c r="H617" t="s">
        <v>24</v>
      </c>
      <c r="I617" t="s">
        <v>896</v>
      </c>
      <c r="J617" t="s">
        <v>230</v>
      </c>
      <c r="K617" t="s">
        <v>87</v>
      </c>
      <c r="L617" t="s">
        <v>2171</v>
      </c>
      <c r="M617" t="s">
        <v>29</v>
      </c>
      <c r="N617" t="s">
        <v>34</v>
      </c>
      <c r="O617" t="s">
        <v>2172</v>
      </c>
      <c r="P617">
        <v>90.99</v>
      </c>
      <c r="Q617">
        <v>1</v>
      </c>
      <c r="R617">
        <v>14.558400000000001</v>
      </c>
      <c r="S617" t="s">
        <v>187</v>
      </c>
    </row>
    <row r="618" spans="1:19" x14ac:dyDescent="0.35">
      <c r="A618" t="s">
        <v>2170</v>
      </c>
      <c r="B618" s="1">
        <v>42819</v>
      </c>
      <c r="C618" s="1">
        <v>42825</v>
      </c>
      <c r="D618" t="s">
        <v>37</v>
      </c>
      <c r="E618" t="s">
        <v>666</v>
      </c>
      <c r="F618" t="s">
        <v>667</v>
      </c>
      <c r="G618" t="s">
        <v>84</v>
      </c>
      <c r="H618" t="s">
        <v>24</v>
      </c>
      <c r="I618" t="s">
        <v>896</v>
      </c>
      <c r="J618" t="s">
        <v>230</v>
      </c>
      <c r="K618" t="s">
        <v>87</v>
      </c>
      <c r="L618" t="s">
        <v>807</v>
      </c>
      <c r="M618" t="s">
        <v>29</v>
      </c>
      <c r="N618" t="s">
        <v>34</v>
      </c>
      <c r="O618" t="s">
        <v>808</v>
      </c>
      <c r="P618">
        <v>1526.56</v>
      </c>
      <c r="Q618">
        <v>7</v>
      </c>
      <c r="R618">
        <v>427.43680000000001</v>
      </c>
      <c r="S618" t="s">
        <v>187</v>
      </c>
    </row>
    <row r="619" spans="1:19" x14ac:dyDescent="0.35">
      <c r="A619" t="s">
        <v>2170</v>
      </c>
      <c r="B619" s="1">
        <v>42819</v>
      </c>
      <c r="C619" s="1">
        <v>42825</v>
      </c>
      <c r="D619" t="s">
        <v>37</v>
      </c>
      <c r="E619" t="s">
        <v>666</v>
      </c>
      <c r="F619" t="s">
        <v>667</v>
      </c>
      <c r="G619" t="s">
        <v>84</v>
      </c>
      <c r="H619" t="s">
        <v>24</v>
      </c>
      <c r="I619" t="s">
        <v>896</v>
      </c>
      <c r="J619" t="s">
        <v>230</v>
      </c>
      <c r="K619" t="s">
        <v>87</v>
      </c>
      <c r="L619" t="s">
        <v>1019</v>
      </c>
      <c r="M619" t="s">
        <v>29</v>
      </c>
      <c r="N619" t="s">
        <v>34</v>
      </c>
      <c r="O619" t="s">
        <v>1020</v>
      </c>
      <c r="P619">
        <v>368.97</v>
      </c>
      <c r="Q619">
        <v>3</v>
      </c>
      <c r="R619">
        <v>40.5867</v>
      </c>
      <c r="S619" t="s">
        <v>187</v>
      </c>
    </row>
    <row r="620" spans="1:19" x14ac:dyDescent="0.35">
      <c r="A620" t="s">
        <v>2173</v>
      </c>
      <c r="B620" s="1">
        <v>43058</v>
      </c>
      <c r="C620" s="1">
        <v>43063</v>
      </c>
      <c r="D620" t="s">
        <v>37</v>
      </c>
      <c r="E620" t="s">
        <v>1363</v>
      </c>
      <c r="F620" t="s">
        <v>1364</v>
      </c>
      <c r="G620" t="s">
        <v>23</v>
      </c>
      <c r="H620" t="s">
        <v>24</v>
      </c>
      <c r="I620" t="s">
        <v>49</v>
      </c>
      <c r="J620" t="s">
        <v>50</v>
      </c>
      <c r="K620" t="s">
        <v>51</v>
      </c>
      <c r="L620" t="s">
        <v>2174</v>
      </c>
      <c r="M620" t="s">
        <v>29</v>
      </c>
      <c r="N620" t="s">
        <v>53</v>
      </c>
      <c r="O620" t="s">
        <v>2175</v>
      </c>
      <c r="P620">
        <v>18.7</v>
      </c>
      <c r="Q620">
        <v>1</v>
      </c>
      <c r="R620">
        <v>7.1059999999999999</v>
      </c>
      <c r="S620" t="s">
        <v>32</v>
      </c>
    </row>
    <row r="621" spans="1:19" x14ac:dyDescent="0.35">
      <c r="A621" t="s">
        <v>2176</v>
      </c>
      <c r="B621" s="1">
        <v>42678</v>
      </c>
      <c r="C621" s="1">
        <v>42679</v>
      </c>
      <c r="D621" t="s">
        <v>81</v>
      </c>
      <c r="E621" t="s">
        <v>2177</v>
      </c>
      <c r="F621" t="s">
        <v>2178</v>
      </c>
      <c r="G621" t="s">
        <v>23</v>
      </c>
      <c r="H621" t="s">
        <v>24</v>
      </c>
      <c r="I621" t="s">
        <v>320</v>
      </c>
      <c r="J621" t="s">
        <v>50</v>
      </c>
      <c r="K621" t="s">
        <v>51</v>
      </c>
      <c r="L621" t="s">
        <v>611</v>
      </c>
      <c r="M621" t="s">
        <v>29</v>
      </c>
      <c r="N621" t="s">
        <v>53</v>
      </c>
      <c r="O621" t="s">
        <v>612</v>
      </c>
      <c r="P621">
        <v>38.29</v>
      </c>
      <c r="Q621">
        <v>7</v>
      </c>
      <c r="R621">
        <v>16.464700000000001</v>
      </c>
      <c r="S621" t="s">
        <v>32</v>
      </c>
    </row>
    <row r="622" spans="1:19" x14ac:dyDescent="0.35">
      <c r="A622" t="s">
        <v>2179</v>
      </c>
      <c r="B622" s="1">
        <v>43083</v>
      </c>
      <c r="C622" s="1">
        <v>43087</v>
      </c>
      <c r="D622" t="s">
        <v>37</v>
      </c>
      <c r="E622" t="s">
        <v>1342</v>
      </c>
      <c r="F622" t="s">
        <v>1343</v>
      </c>
      <c r="G622" t="s">
        <v>94</v>
      </c>
      <c r="H622" t="s">
        <v>24</v>
      </c>
      <c r="I622" t="s">
        <v>630</v>
      </c>
      <c r="J622" t="s">
        <v>50</v>
      </c>
      <c r="K622" t="s">
        <v>51</v>
      </c>
      <c r="L622" t="s">
        <v>2180</v>
      </c>
      <c r="M622" t="s">
        <v>29</v>
      </c>
      <c r="N622" t="s">
        <v>53</v>
      </c>
      <c r="O622" t="s">
        <v>2181</v>
      </c>
      <c r="P622">
        <v>26.25</v>
      </c>
      <c r="Q622">
        <v>3</v>
      </c>
      <c r="R622">
        <v>11.025</v>
      </c>
      <c r="S622" t="s">
        <v>90</v>
      </c>
    </row>
    <row r="623" spans="1:19" x14ac:dyDescent="0.35">
      <c r="A623" t="s">
        <v>2182</v>
      </c>
      <c r="B623" s="1">
        <v>43051</v>
      </c>
      <c r="C623" s="1">
        <v>43051</v>
      </c>
      <c r="D623" t="s">
        <v>417</v>
      </c>
      <c r="E623" t="s">
        <v>2183</v>
      </c>
      <c r="F623" t="s">
        <v>2184</v>
      </c>
      <c r="G623" t="s">
        <v>94</v>
      </c>
      <c r="H623" t="s">
        <v>24</v>
      </c>
      <c r="I623" t="s">
        <v>1293</v>
      </c>
      <c r="J623" t="s">
        <v>511</v>
      </c>
      <c r="K623" t="s">
        <v>51</v>
      </c>
      <c r="L623" t="s">
        <v>2185</v>
      </c>
      <c r="M623" t="s">
        <v>29</v>
      </c>
      <c r="N623" t="s">
        <v>34</v>
      </c>
      <c r="O623" t="s">
        <v>2186</v>
      </c>
      <c r="P623">
        <v>113.88800000000001</v>
      </c>
      <c r="Q623">
        <v>2</v>
      </c>
      <c r="R623">
        <v>9.9651999999999994</v>
      </c>
      <c r="S623" t="s">
        <v>32</v>
      </c>
    </row>
    <row r="624" spans="1:19" x14ac:dyDescent="0.35">
      <c r="A624" t="s">
        <v>2182</v>
      </c>
      <c r="B624" s="1">
        <v>43051</v>
      </c>
      <c r="C624" s="1">
        <v>43051</v>
      </c>
      <c r="D624" t="s">
        <v>417</v>
      </c>
      <c r="E624" t="s">
        <v>2183</v>
      </c>
      <c r="F624" t="s">
        <v>2184</v>
      </c>
      <c r="G624" t="s">
        <v>94</v>
      </c>
      <c r="H624" t="s">
        <v>24</v>
      </c>
      <c r="I624" t="s">
        <v>1293</v>
      </c>
      <c r="J624" t="s">
        <v>511</v>
      </c>
      <c r="K624" t="s">
        <v>51</v>
      </c>
      <c r="L624" t="s">
        <v>2187</v>
      </c>
      <c r="M624" t="s">
        <v>29</v>
      </c>
      <c r="N624" t="s">
        <v>53</v>
      </c>
      <c r="O624" t="s">
        <v>2188</v>
      </c>
      <c r="P624">
        <v>113.568</v>
      </c>
      <c r="Q624">
        <v>2</v>
      </c>
      <c r="R624">
        <v>-5.6783999999999999</v>
      </c>
      <c r="S624" t="s">
        <v>32</v>
      </c>
    </row>
    <row r="625" spans="1:19" x14ac:dyDescent="0.35">
      <c r="A625" t="s">
        <v>2189</v>
      </c>
      <c r="B625" s="1">
        <v>42913</v>
      </c>
      <c r="C625" s="1">
        <v>42920</v>
      </c>
      <c r="D625" t="s">
        <v>37</v>
      </c>
      <c r="E625" t="s">
        <v>2190</v>
      </c>
      <c r="F625" t="s">
        <v>2191</v>
      </c>
      <c r="G625" t="s">
        <v>94</v>
      </c>
      <c r="H625" t="s">
        <v>24</v>
      </c>
      <c r="I625" t="s">
        <v>1356</v>
      </c>
      <c r="J625" t="s">
        <v>114</v>
      </c>
      <c r="K625" t="s">
        <v>63</v>
      </c>
      <c r="L625" t="s">
        <v>581</v>
      </c>
      <c r="M625" t="s">
        <v>29</v>
      </c>
      <c r="N625" t="s">
        <v>34</v>
      </c>
      <c r="O625" t="s">
        <v>582</v>
      </c>
      <c r="P625">
        <v>191.64599999999999</v>
      </c>
      <c r="Q625">
        <v>3</v>
      </c>
      <c r="R625">
        <v>31.940999999999999</v>
      </c>
      <c r="S625" t="s">
        <v>55</v>
      </c>
    </row>
    <row r="626" spans="1:19" x14ac:dyDescent="0.35">
      <c r="A626" t="s">
        <v>2192</v>
      </c>
      <c r="B626" s="1">
        <v>43085</v>
      </c>
      <c r="C626" s="1">
        <v>43090</v>
      </c>
      <c r="D626" t="s">
        <v>20</v>
      </c>
      <c r="E626" t="s">
        <v>2193</v>
      </c>
      <c r="F626" t="s">
        <v>2194</v>
      </c>
      <c r="G626" t="s">
        <v>84</v>
      </c>
      <c r="H626" t="s">
        <v>24</v>
      </c>
      <c r="I626" t="s">
        <v>752</v>
      </c>
      <c r="J626" t="s">
        <v>50</v>
      </c>
      <c r="K626" t="s">
        <v>51</v>
      </c>
      <c r="L626" t="s">
        <v>64</v>
      </c>
      <c r="M626" t="s">
        <v>29</v>
      </c>
      <c r="N626" t="s">
        <v>34</v>
      </c>
      <c r="O626" t="s">
        <v>65</v>
      </c>
      <c r="P626">
        <v>81.567999999999998</v>
      </c>
      <c r="Q626">
        <v>2</v>
      </c>
      <c r="R626">
        <v>9.1763999999999992</v>
      </c>
      <c r="S626" t="s">
        <v>90</v>
      </c>
    </row>
    <row r="627" spans="1:19" x14ac:dyDescent="0.35">
      <c r="A627" t="s">
        <v>2192</v>
      </c>
      <c r="B627" s="1">
        <v>43085</v>
      </c>
      <c r="C627" s="1">
        <v>43090</v>
      </c>
      <c r="D627" t="s">
        <v>20</v>
      </c>
      <c r="E627" t="s">
        <v>2193</v>
      </c>
      <c r="F627" t="s">
        <v>2194</v>
      </c>
      <c r="G627" t="s">
        <v>84</v>
      </c>
      <c r="H627" t="s">
        <v>24</v>
      </c>
      <c r="I627" t="s">
        <v>752</v>
      </c>
      <c r="J627" t="s">
        <v>50</v>
      </c>
      <c r="K627" t="s">
        <v>51</v>
      </c>
      <c r="L627" t="s">
        <v>243</v>
      </c>
      <c r="M627" t="s">
        <v>29</v>
      </c>
      <c r="N627" t="s">
        <v>34</v>
      </c>
      <c r="O627" t="s">
        <v>244</v>
      </c>
      <c r="P627">
        <v>97.183999999999997</v>
      </c>
      <c r="Q627">
        <v>2</v>
      </c>
      <c r="R627">
        <v>6.0739999999999998</v>
      </c>
      <c r="S627" t="s">
        <v>90</v>
      </c>
    </row>
    <row r="628" spans="1:19" x14ac:dyDescent="0.35">
      <c r="A628" t="s">
        <v>2192</v>
      </c>
      <c r="B628" s="1">
        <v>43085</v>
      </c>
      <c r="C628" s="1">
        <v>43090</v>
      </c>
      <c r="D628" t="s">
        <v>20</v>
      </c>
      <c r="E628" t="s">
        <v>2193</v>
      </c>
      <c r="F628" t="s">
        <v>2194</v>
      </c>
      <c r="G628" t="s">
        <v>84</v>
      </c>
      <c r="H628" t="s">
        <v>24</v>
      </c>
      <c r="I628" t="s">
        <v>752</v>
      </c>
      <c r="J628" t="s">
        <v>50</v>
      </c>
      <c r="K628" t="s">
        <v>51</v>
      </c>
      <c r="L628" t="s">
        <v>2195</v>
      </c>
      <c r="M628" t="s">
        <v>29</v>
      </c>
      <c r="N628" t="s">
        <v>53</v>
      </c>
      <c r="O628" t="s">
        <v>2196</v>
      </c>
      <c r="P628">
        <v>18.96</v>
      </c>
      <c r="Q628">
        <v>2</v>
      </c>
      <c r="R628">
        <v>7.5839999999999996</v>
      </c>
      <c r="S628" t="s">
        <v>90</v>
      </c>
    </row>
    <row r="629" spans="1:19" x14ac:dyDescent="0.35">
      <c r="A629" t="s">
        <v>2197</v>
      </c>
      <c r="B629" s="1">
        <v>42000</v>
      </c>
      <c r="C629" s="1">
        <v>42004</v>
      </c>
      <c r="D629" t="s">
        <v>37</v>
      </c>
      <c r="E629" t="s">
        <v>2198</v>
      </c>
      <c r="F629" t="s">
        <v>2199</v>
      </c>
      <c r="G629" t="s">
        <v>23</v>
      </c>
      <c r="H629" t="s">
        <v>24</v>
      </c>
      <c r="I629" t="s">
        <v>2200</v>
      </c>
      <c r="J629" t="s">
        <v>126</v>
      </c>
      <c r="K629" t="s">
        <v>87</v>
      </c>
      <c r="L629" t="s">
        <v>1281</v>
      </c>
      <c r="M629" t="s">
        <v>29</v>
      </c>
      <c r="N629" t="s">
        <v>53</v>
      </c>
      <c r="O629" t="s">
        <v>1282</v>
      </c>
      <c r="P629">
        <v>32.951999999999998</v>
      </c>
      <c r="Q629">
        <v>6</v>
      </c>
      <c r="R629">
        <v>-19.7712</v>
      </c>
      <c r="S629" t="s">
        <v>90</v>
      </c>
    </row>
    <row r="630" spans="1:19" x14ac:dyDescent="0.35">
      <c r="A630" t="s">
        <v>2201</v>
      </c>
      <c r="B630" s="1">
        <v>43045</v>
      </c>
      <c r="C630" s="1">
        <v>43048</v>
      </c>
      <c r="D630" t="s">
        <v>20</v>
      </c>
      <c r="E630" t="s">
        <v>2202</v>
      </c>
      <c r="F630" t="s">
        <v>2203</v>
      </c>
      <c r="G630" t="s">
        <v>23</v>
      </c>
      <c r="H630" t="s">
        <v>24</v>
      </c>
      <c r="I630" t="s">
        <v>1902</v>
      </c>
      <c r="J630" t="s">
        <v>1027</v>
      </c>
      <c r="K630" t="s">
        <v>27</v>
      </c>
      <c r="L630" t="s">
        <v>1980</v>
      </c>
      <c r="M630" t="s">
        <v>29</v>
      </c>
      <c r="N630" t="s">
        <v>53</v>
      </c>
      <c r="O630" t="s">
        <v>1981</v>
      </c>
      <c r="P630">
        <v>28.271999999999998</v>
      </c>
      <c r="Q630">
        <v>2</v>
      </c>
      <c r="R630">
        <v>6.3612000000000002</v>
      </c>
      <c r="S630" t="s">
        <v>32</v>
      </c>
    </row>
    <row r="631" spans="1:19" x14ac:dyDescent="0.35">
      <c r="A631" t="s">
        <v>2204</v>
      </c>
      <c r="B631" s="1">
        <v>42131</v>
      </c>
      <c r="C631" s="1">
        <v>42136</v>
      </c>
      <c r="D631" t="s">
        <v>37</v>
      </c>
      <c r="E631" t="s">
        <v>440</v>
      </c>
      <c r="F631" t="s">
        <v>441</v>
      </c>
      <c r="G631" t="s">
        <v>23</v>
      </c>
      <c r="H631" t="s">
        <v>24</v>
      </c>
      <c r="I631" t="s">
        <v>2205</v>
      </c>
      <c r="J631" t="s">
        <v>86</v>
      </c>
      <c r="K631" t="s">
        <v>87</v>
      </c>
      <c r="L631" t="s">
        <v>775</v>
      </c>
      <c r="M631" t="s">
        <v>29</v>
      </c>
      <c r="N631" t="s">
        <v>43</v>
      </c>
      <c r="O631" t="s">
        <v>776</v>
      </c>
      <c r="P631">
        <v>244.006</v>
      </c>
      <c r="Q631">
        <v>2</v>
      </c>
      <c r="R631">
        <v>-31.372199999999999</v>
      </c>
      <c r="S631" t="s">
        <v>153</v>
      </c>
    </row>
    <row r="632" spans="1:19" x14ac:dyDescent="0.35">
      <c r="A632" t="s">
        <v>2206</v>
      </c>
      <c r="B632" s="1">
        <v>43073</v>
      </c>
      <c r="C632" s="1">
        <v>43073</v>
      </c>
      <c r="D632" t="s">
        <v>417</v>
      </c>
      <c r="E632" t="s">
        <v>2207</v>
      </c>
      <c r="F632" t="s">
        <v>2208</v>
      </c>
      <c r="G632" t="s">
        <v>84</v>
      </c>
      <c r="H632" t="s">
        <v>24</v>
      </c>
      <c r="I632" t="s">
        <v>61</v>
      </c>
      <c r="J632" t="s">
        <v>62</v>
      </c>
      <c r="K632" t="s">
        <v>63</v>
      </c>
      <c r="L632" t="s">
        <v>2209</v>
      </c>
      <c r="M632" t="s">
        <v>29</v>
      </c>
      <c r="N632" t="s">
        <v>34</v>
      </c>
      <c r="O632" t="s">
        <v>2210</v>
      </c>
      <c r="P632">
        <v>188.55199999999999</v>
      </c>
      <c r="Q632">
        <v>7</v>
      </c>
      <c r="R632">
        <v>-2.6936</v>
      </c>
      <c r="S632" t="s">
        <v>90</v>
      </c>
    </row>
    <row r="633" spans="1:19" x14ac:dyDescent="0.35">
      <c r="A633" t="s">
        <v>2211</v>
      </c>
      <c r="B633" s="1">
        <v>41652</v>
      </c>
      <c r="C633" s="1">
        <v>41655</v>
      </c>
      <c r="D633" t="s">
        <v>20</v>
      </c>
      <c r="E633" t="s">
        <v>1426</v>
      </c>
      <c r="F633" t="s">
        <v>1427</v>
      </c>
      <c r="G633" t="s">
        <v>23</v>
      </c>
      <c r="H633" t="s">
        <v>24</v>
      </c>
      <c r="I633" t="s">
        <v>2212</v>
      </c>
      <c r="J633" t="s">
        <v>150</v>
      </c>
      <c r="K633" t="s">
        <v>27</v>
      </c>
      <c r="L633" t="s">
        <v>2171</v>
      </c>
      <c r="M633" t="s">
        <v>29</v>
      </c>
      <c r="N633" t="s">
        <v>34</v>
      </c>
      <c r="O633" t="s">
        <v>2172</v>
      </c>
      <c r="P633">
        <v>545.94000000000005</v>
      </c>
      <c r="Q633">
        <v>6</v>
      </c>
      <c r="R633">
        <v>87.350399999999993</v>
      </c>
      <c r="S633" t="s">
        <v>161</v>
      </c>
    </row>
    <row r="634" spans="1:19" x14ac:dyDescent="0.35">
      <c r="A634" t="s">
        <v>2213</v>
      </c>
      <c r="B634" s="1">
        <v>42167</v>
      </c>
      <c r="C634" s="1">
        <v>42172</v>
      </c>
      <c r="D634" t="s">
        <v>37</v>
      </c>
      <c r="E634" t="s">
        <v>2214</v>
      </c>
      <c r="F634" t="s">
        <v>2215</v>
      </c>
      <c r="G634" t="s">
        <v>23</v>
      </c>
      <c r="H634" t="s">
        <v>24</v>
      </c>
      <c r="I634" t="s">
        <v>61</v>
      </c>
      <c r="J634" t="s">
        <v>62</v>
      </c>
      <c r="K634" t="s">
        <v>63</v>
      </c>
      <c r="L634" t="s">
        <v>1700</v>
      </c>
      <c r="M634" t="s">
        <v>29</v>
      </c>
      <c r="N634" t="s">
        <v>53</v>
      </c>
      <c r="O634" t="s">
        <v>1701</v>
      </c>
      <c r="P634">
        <v>43.295999999999999</v>
      </c>
      <c r="Q634">
        <v>2</v>
      </c>
      <c r="R634">
        <v>4.3296000000000001</v>
      </c>
      <c r="S634" t="s">
        <v>55</v>
      </c>
    </row>
    <row r="635" spans="1:19" x14ac:dyDescent="0.35">
      <c r="A635" t="s">
        <v>2216</v>
      </c>
      <c r="B635" s="1">
        <v>41832</v>
      </c>
      <c r="C635" s="1">
        <v>41838</v>
      </c>
      <c r="D635" t="s">
        <v>37</v>
      </c>
      <c r="E635" t="s">
        <v>2217</v>
      </c>
      <c r="F635" t="s">
        <v>2218</v>
      </c>
      <c r="G635" t="s">
        <v>23</v>
      </c>
      <c r="H635" t="s">
        <v>24</v>
      </c>
      <c r="I635" t="s">
        <v>183</v>
      </c>
      <c r="J635" t="s">
        <v>184</v>
      </c>
      <c r="K635" t="s">
        <v>51</v>
      </c>
      <c r="L635" t="s">
        <v>2209</v>
      </c>
      <c r="M635" t="s">
        <v>29</v>
      </c>
      <c r="N635" t="s">
        <v>34</v>
      </c>
      <c r="O635" t="s">
        <v>2210</v>
      </c>
      <c r="P635">
        <v>123.136</v>
      </c>
      <c r="Q635">
        <v>4</v>
      </c>
      <c r="R635">
        <v>13.8528</v>
      </c>
      <c r="S635" t="s">
        <v>66</v>
      </c>
    </row>
    <row r="636" spans="1:19" x14ac:dyDescent="0.35">
      <c r="A636" t="s">
        <v>2219</v>
      </c>
      <c r="B636" s="1">
        <v>41979</v>
      </c>
      <c r="C636" s="1">
        <v>41984</v>
      </c>
      <c r="D636" t="s">
        <v>20</v>
      </c>
      <c r="E636" t="s">
        <v>595</v>
      </c>
      <c r="F636" t="s">
        <v>596</v>
      </c>
      <c r="G636" t="s">
        <v>23</v>
      </c>
      <c r="H636" t="s">
        <v>24</v>
      </c>
      <c r="I636" t="s">
        <v>869</v>
      </c>
      <c r="J636" t="s">
        <v>1508</v>
      </c>
      <c r="K636" t="s">
        <v>51</v>
      </c>
      <c r="L636" t="s">
        <v>1714</v>
      </c>
      <c r="M636" t="s">
        <v>29</v>
      </c>
      <c r="N636" t="s">
        <v>43</v>
      </c>
      <c r="O636" t="s">
        <v>1715</v>
      </c>
      <c r="P636">
        <v>275.49</v>
      </c>
      <c r="Q636">
        <v>1</v>
      </c>
      <c r="R636">
        <v>-170.8038</v>
      </c>
      <c r="S636" t="s">
        <v>90</v>
      </c>
    </row>
    <row r="637" spans="1:19" x14ac:dyDescent="0.35">
      <c r="A637" t="s">
        <v>2220</v>
      </c>
      <c r="B637" s="1">
        <v>42515</v>
      </c>
      <c r="C637" s="1">
        <v>42520</v>
      </c>
      <c r="D637" t="s">
        <v>37</v>
      </c>
      <c r="E637" t="s">
        <v>2221</v>
      </c>
      <c r="F637" t="s">
        <v>2222</v>
      </c>
      <c r="G637" t="s">
        <v>94</v>
      </c>
      <c r="H637" t="s">
        <v>24</v>
      </c>
      <c r="I637" t="s">
        <v>339</v>
      </c>
      <c r="J637" t="s">
        <v>658</v>
      </c>
      <c r="K637" t="s">
        <v>27</v>
      </c>
      <c r="L637" t="s">
        <v>2223</v>
      </c>
      <c r="M637" t="s">
        <v>29</v>
      </c>
      <c r="N637" t="s">
        <v>53</v>
      </c>
      <c r="O637" t="s">
        <v>2224</v>
      </c>
      <c r="P637">
        <v>24.96</v>
      </c>
      <c r="Q637">
        <v>4</v>
      </c>
      <c r="R637">
        <v>6.24</v>
      </c>
      <c r="S637" t="s">
        <v>153</v>
      </c>
    </row>
    <row r="638" spans="1:19" x14ac:dyDescent="0.35">
      <c r="A638" t="s">
        <v>2225</v>
      </c>
      <c r="B638" s="1">
        <v>41811</v>
      </c>
      <c r="C638" s="1">
        <v>41815</v>
      </c>
      <c r="D638" t="s">
        <v>37</v>
      </c>
      <c r="E638" t="s">
        <v>2226</v>
      </c>
      <c r="F638" t="s">
        <v>2227</v>
      </c>
      <c r="G638" t="s">
        <v>23</v>
      </c>
      <c r="H638" t="s">
        <v>24</v>
      </c>
      <c r="I638" t="s">
        <v>61</v>
      </c>
      <c r="J638" t="s">
        <v>62</v>
      </c>
      <c r="K638" t="s">
        <v>63</v>
      </c>
      <c r="L638" t="s">
        <v>2228</v>
      </c>
      <c r="M638" t="s">
        <v>29</v>
      </c>
      <c r="N638" t="s">
        <v>53</v>
      </c>
      <c r="O638" t="s">
        <v>2229</v>
      </c>
      <c r="P638">
        <v>3.984</v>
      </c>
      <c r="Q638">
        <v>1</v>
      </c>
      <c r="R638">
        <v>0.64739999999999998</v>
      </c>
      <c r="S638" t="s">
        <v>55</v>
      </c>
    </row>
    <row r="639" spans="1:19" x14ac:dyDescent="0.35">
      <c r="A639" t="s">
        <v>2230</v>
      </c>
      <c r="B639" s="1">
        <v>42709</v>
      </c>
      <c r="C639" s="1">
        <v>42710</v>
      </c>
      <c r="D639" t="s">
        <v>81</v>
      </c>
      <c r="E639" t="s">
        <v>1562</v>
      </c>
      <c r="F639" t="s">
        <v>1563</v>
      </c>
      <c r="G639" t="s">
        <v>23</v>
      </c>
      <c r="H639" t="s">
        <v>24</v>
      </c>
      <c r="I639" t="s">
        <v>2231</v>
      </c>
      <c r="J639" t="s">
        <v>26</v>
      </c>
      <c r="K639" t="s">
        <v>27</v>
      </c>
      <c r="L639" t="s">
        <v>1746</v>
      </c>
      <c r="M639" t="s">
        <v>29</v>
      </c>
      <c r="N639" t="s">
        <v>53</v>
      </c>
      <c r="O639" t="s">
        <v>1747</v>
      </c>
      <c r="P639">
        <v>191.82</v>
      </c>
      <c r="Q639">
        <v>3</v>
      </c>
      <c r="R639">
        <v>74.809799999999996</v>
      </c>
      <c r="S639" t="s">
        <v>90</v>
      </c>
    </row>
    <row r="640" spans="1:19" x14ac:dyDescent="0.35">
      <c r="A640" t="s">
        <v>2232</v>
      </c>
      <c r="B640" s="1">
        <v>42264</v>
      </c>
      <c r="C640" s="1">
        <v>42268</v>
      </c>
      <c r="D640" t="s">
        <v>37</v>
      </c>
      <c r="E640" t="s">
        <v>207</v>
      </c>
      <c r="F640" t="s">
        <v>208</v>
      </c>
      <c r="G640" t="s">
        <v>94</v>
      </c>
      <c r="H640" t="s">
        <v>24</v>
      </c>
      <c r="I640" t="s">
        <v>165</v>
      </c>
      <c r="J640" t="s">
        <v>114</v>
      </c>
      <c r="K640" t="s">
        <v>63</v>
      </c>
      <c r="L640" t="s">
        <v>913</v>
      </c>
      <c r="M640" t="s">
        <v>29</v>
      </c>
      <c r="N640" t="s">
        <v>43</v>
      </c>
      <c r="O640" t="s">
        <v>914</v>
      </c>
      <c r="P640">
        <v>344.22</v>
      </c>
      <c r="Q640">
        <v>2</v>
      </c>
      <c r="R640">
        <v>-103.26600000000001</v>
      </c>
      <c r="S640" t="s">
        <v>72</v>
      </c>
    </row>
    <row r="641" spans="1:19" x14ac:dyDescent="0.35">
      <c r="A641" t="s">
        <v>2233</v>
      </c>
      <c r="B641" s="1">
        <v>42605</v>
      </c>
      <c r="C641" s="1">
        <v>42612</v>
      </c>
      <c r="D641" t="s">
        <v>37</v>
      </c>
      <c r="E641" t="s">
        <v>1135</v>
      </c>
      <c r="F641" t="s">
        <v>1136</v>
      </c>
      <c r="G641" t="s">
        <v>94</v>
      </c>
      <c r="H641" t="s">
        <v>24</v>
      </c>
      <c r="I641" t="s">
        <v>2234</v>
      </c>
      <c r="J641" t="s">
        <v>86</v>
      </c>
      <c r="K641" t="s">
        <v>87</v>
      </c>
      <c r="L641" t="s">
        <v>1533</v>
      </c>
      <c r="M641" t="s">
        <v>29</v>
      </c>
      <c r="N641" t="s">
        <v>53</v>
      </c>
      <c r="O641" t="s">
        <v>1534</v>
      </c>
      <c r="P641">
        <v>22.608000000000001</v>
      </c>
      <c r="Q641">
        <v>3</v>
      </c>
      <c r="R641">
        <v>-10.1736</v>
      </c>
      <c r="S641" t="s">
        <v>245</v>
      </c>
    </row>
    <row r="642" spans="1:19" x14ac:dyDescent="0.35">
      <c r="A642" t="s">
        <v>2235</v>
      </c>
      <c r="B642" s="1">
        <v>42316</v>
      </c>
      <c r="C642" s="1">
        <v>42322</v>
      </c>
      <c r="D642" t="s">
        <v>37</v>
      </c>
      <c r="E642" t="s">
        <v>498</v>
      </c>
      <c r="F642" t="s">
        <v>499</v>
      </c>
      <c r="G642" t="s">
        <v>23</v>
      </c>
      <c r="H642" t="s">
        <v>24</v>
      </c>
      <c r="I642" t="s">
        <v>2236</v>
      </c>
      <c r="J642" t="s">
        <v>71</v>
      </c>
      <c r="K642" t="s">
        <v>51</v>
      </c>
      <c r="L642" t="s">
        <v>821</v>
      </c>
      <c r="M642" t="s">
        <v>29</v>
      </c>
      <c r="N642" t="s">
        <v>53</v>
      </c>
      <c r="O642" t="s">
        <v>822</v>
      </c>
      <c r="P642">
        <v>66.69</v>
      </c>
      <c r="Q642">
        <v>3</v>
      </c>
      <c r="R642">
        <v>22.0077</v>
      </c>
      <c r="S642" t="s">
        <v>32</v>
      </c>
    </row>
    <row r="643" spans="1:19" x14ac:dyDescent="0.35">
      <c r="A643" t="s">
        <v>2237</v>
      </c>
      <c r="B643" s="1">
        <v>43056</v>
      </c>
      <c r="C643" s="1">
        <v>43062</v>
      </c>
      <c r="D643" t="s">
        <v>37</v>
      </c>
      <c r="E643" t="s">
        <v>2238</v>
      </c>
      <c r="F643" t="s">
        <v>2239</v>
      </c>
      <c r="G643" t="s">
        <v>23</v>
      </c>
      <c r="H643" t="s">
        <v>24</v>
      </c>
      <c r="I643" t="s">
        <v>2240</v>
      </c>
      <c r="J643" t="s">
        <v>86</v>
      </c>
      <c r="K643" t="s">
        <v>87</v>
      </c>
      <c r="L643" t="s">
        <v>1766</v>
      </c>
      <c r="M643" t="s">
        <v>29</v>
      </c>
      <c r="N643" t="s">
        <v>30</v>
      </c>
      <c r="O643" t="s">
        <v>1767</v>
      </c>
      <c r="P643">
        <v>327.7328</v>
      </c>
      <c r="Q643">
        <v>2</v>
      </c>
      <c r="R643">
        <v>-14.4588</v>
      </c>
      <c r="S643" t="s">
        <v>32</v>
      </c>
    </row>
    <row r="644" spans="1:19" x14ac:dyDescent="0.35">
      <c r="A644" t="s">
        <v>2241</v>
      </c>
      <c r="B644" s="1">
        <v>42847</v>
      </c>
      <c r="C644" s="1">
        <v>42851</v>
      </c>
      <c r="D644" t="s">
        <v>37</v>
      </c>
      <c r="E644" t="s">
        <v>650</v>
      </c>
      <c r="F644" t="s">
        <v>651</v>
      </c>
      <c r="G644" t="s">
        <v>94</v>
      </c>
      <c r="H644" t="s">
        <v>24</v>
      </c>
      <c r="I644" t="s">
        <v>61</v>
      </c>
      <c r="J644" t="s">
        <v>62</v>
      </c>
      <c r="K644" t="s">
        <v>63</v>
      </c>
      <c r="L644" t="s">
        <v>1382</v>
      </c>
      <c r="M644" t="s">
        <v>29</v>
      </c>
      <c r="N644" t="s">
        <v>53</v>
      </c>
      <c r="O644" t="s">
        <v>1383</v>
      </c>
      <c r="P644">
        <v>254.352</v>
      </c>
      <c r="Q644">
        <v>3</v>
      </c>
      <c r="R644">
        <v>0</v>
      </c>
      <c r="S644" t="s">
        <v>107</v>
      </c>
    </row>
    <row r="645" spans="1:19" x14ac:dyDescent="0.35">
      <c r="A645" t="s">
        <v>2242</v>
      </c>
      <c r="B645" s="1">
        <v>43086</v>
      </c>
      <c r="C645" s="1">
        <v>43090</v>
      </c>
      <c r="D645" t="s">
        <v>37</v>
      </c>
      <c r="E645" t="s">
        <v>1325</v>
      </c>
      <c r="F645" t="s">
        <v>1326</v>
      </c>
      <c r="G645" t="s">
        <v>23</v>
      </c>
      <c r="H645" t="s">
        <v>24</v>
      </c>
      <c r="I645" t="s">
        <v>2111</v>
      </c>
      <c r="J645" t="s">
        <v>707</v>
      </c>
      <c r="K645" t="s">
        <v>27</v>
      </c>
      <c r="L645" t="s">
        <v>1177</v>
      </c>
      <c r="M645" t="s">
        <v>29</v>
      </c>
      <c r="N645" t="s">
        <v>34</v>
      </c>
      <c r="O645" t="s">
        <v>1178</v>
      </c>
      <c r="P645">
        <v>504.9</v>
      </c>
      <c r="Q645">
        <v>5</v>
      </c>
      <c r="R645">
        <v>80.784000000000006</v>
      </c>
      <c r="S645" t="s">
        <v>90</v>
      </c>
    </row>
    <row r="646" spans="1:19" x14ac:dyDescent="0.35">
      <c r="A646" t="s">
        <v>2243</v>
      </c>
      <c r="B646" s="1">
        <v>42268</v>
      </c>
      <c r="C646" s="1">
        <v>42274</v>
      </c>
      <c r="D646" t="s">
        <v>37</v>
      </c>
      <c r="E646" t="s">
        <v>2244</v>
      </c>
      <c r="F646" t="s">
        <v>2245</v>
      </c>
      <c r="G646" t="s">
        <v>84</v>
      </c>
      <c r="H646" t="s">
        <v>24</v>
      </c>
      <c r="I646" t="s">
        <v>2246</v>
      </c>
      <c r="J646" t="s">
        <v>281</v>
      </c>
      <c r="K646" t="s">
        <v>87</v>
      </c>
      <c r="L646" t="s">
        <v>1594</v>
      </c>
      <c r="M646" t="s">
        <v>29</v>
      </c>
      <c r="N646" t="s">
        <v>30</v>
      </c>
      <c r="O646" t="s">
        <v>1595</v>
      </c>
      <c r="P646">
        <v>194.32</v>
      </c>
      <c r="Q646">
        <v>4</v>
      </c>
      <c r="R646">
        <v>31.091200000000001</v>
      </c>
      <c r="S646" t="s">
        <v>72</v>
      </c>
    </row>
    <row r="647" spans="1:19" x14ac:dyDescent="0.35">
      <c r="A647" t="s">
        <v>2247</v>
      </c>
      <c r="B647" s="1">
        <v>42695</v>
      </c>
      <c r="C647" s="1">
        <v>42700</v>
      </c>
      <c r="D647" t="s">
        <v>37</v>
      </c>
      <c r="E647" t="s">
        <v>2248</v>
      </c>
      <c r="F647" t="s">
        <v>2249</v>
      </c>
      <c r="G647" t="s">
        <v>23</v>
      </c>
      <c r="H647" t="s">
        <v>24</v>
      </c>
      <c r="I647" t="s">
        <v>2250</v>
      </c>
      <c r="J647" t="s">
        <v>1508</v>
      </c>
      <c r="K647" t="s">
        <v>51</v>
      </c>
      <c r="L647" t="s">
        <v>1647</v>
      </c>
      <c r="M647" t="s">
        <v>29</v>
      </c>
      <c r="N647" t="s">
        <v>34</v>
      </c>
      <c r="O647" t="s">
        <v>1648</v>
      </c>
      <c r="P647">
        <v>195.136</v>
      </c>
      <c r="Q647">
        <v>4</v>
      </c>
      <c r="R647">
        <v>-12.196</v>
      </c>
      <c r="S647" t="s">
        <v>32</v>
      </c>
    </row>
    <row r="648" spans="1:19" x14ac:dyDescent="0.35">
      <c r="A648" t="s">
        <v>2251</v>
      </c>
      <c r="B648" s="1">
        <v>42166</v>
      </c>
      <c r="C648" s="1">
        <v>42171</v>
      </c>
      <c r="D648" t="s">
        <v>37</v>
      </c>
      <c r="E648" t="s">
        <v>1051</v>
      </c>
      <c r="F648" t="s">
        <v>1052</v>
      </c>
      <c r="G648" t="s">
        <v>23</v>
      </c>
      <c r="H648" t="s">
        <v>24</v>
      </c>
      <c r="I648" t="s">
        <v>1026</v>
      </c>
      <c r="J648" t="s">
        <v>1397</v>
      </c>
      <c r="K648" t="s">
        <v>27</v>
      </c>
      <c r="L648" t="s">
        <v>2252</v>
      </c>
      <c r="M648" t="s">
        <v>29</v>
      </c>
      <c r="N648" t="s">
        <v>53</v>
      </c>
      <c r="O648" t="s">
        <v>2253</v>
      </c>
      <c r="P648">
        <v>29.16</v>
      </c>
      <c r="Q648">
        <v>2</v>
      </c>
      <c r="R648">
        <v>10.789199999999999</v>
      </c>
      <c r="S648" t="s">
        <v>55</v>
      </c>
    </row>
    <row r="649" spans="1:19" x14ac:dyDescent="0.35">
      <c r="A649" t="s">
        <v>2254</v>
      </c>
      <c r="B649" s="1">
        <v>43011</v>
      </c>
      <c r="C649" s="1">
        <v>43016</v>
      </c>
      <c r="D649" t="s">
        <v>37</v>
      </c>
      <c r="E649" t="s">
        <v>2255</v>
      </c>
      <c r="F649" t="s">
        <v>2256</v>
      </c>
      <c r="G649" t="s">
        <v>84</v>
      </c>
      <c r="H649" t="s">
        <v>24</v>
      </c>
      <c r="I649" t="s">
        <v>1176</v>
      </c>
      <c r="J649" t="s">
        <v>50</v>
      </c>
      <c r="K649" t="s">
        <v>51</v>
      </c>
      <c r="L649" t="s">
        <v>898</v>
      </c>
      <c r="M649" t="s">
        <v>29</v>
      </c>
      <c r="N649" t="s">
        <v>43</v>
      </c>
      <c r="O649" t="s">
        <v>899</v>
      </c>
      <c r="P649">
        <v>171.28800000000001</v>
      </c>
      <c r="Q649">
        <v>3</v>
      </c>
      <c r="R649">
        <v>-6.4233000000000002</v>
      </c>
      <c r="S649" t="s">
        <v>45</v>
      </c>
    </row>
    <row r="650" spans="1:19" x14ac:dyDescent="0.35">
      <c r="A650" t="s">
        <v>2257</v>
      </c>
      <c r="B650" s="1">
        <v>42495</v>
      </c>
      <c r="C650" s="1">
        <v>42499</v>
      </c>
      <c r="D650" t="s">
        <v>37</v>
      </c>
      <c r="E650" t="s">
        <v>2258</v>
      </c>
      <c r="F650" t="s">
        <v>2259</v>
      </c>
      <c r="G650" t="s">
        <v>23</v>
      </c>
      <c r="H650" t="s">
        <v>24</v>
      </c>
      <c r="I650" t="s">
        <v>2260</v>
      </c>
      <c r="J650" t="s">
        <v>133</v>
      </c>
      <c r="K650" t="s">
        <v>27</v>
      </c>
      <c r="L650" t="s">
        <v>1302</v>
      </c>
      <c r="M650" t="s">
        <v>29</v>
      </c>
      <c r="N650" t="s">
        <v>53</v>
      </c>
      <c r="O650" t="s">
        <v>1303</v>
      </c>
      <c r="P650">
        <v>16.72</v>
      </c>
      <c r="Q650">
        <v>5</v>
      </c>
      <c r="R650">
        <v>3.3439999999999999</v>
      </c>
      <c r="S650" t="s">
        <v>153</v>
      </c>
    </row>
    <row r="651" spans="1:19" x14ac:dyDescent="0.35">
      <c r="A651" t="s">
        <v>2261</v>
      </c>
      <c r="B651" s="1">
        <v>42989</v>
      </c>
      <c r="C651" s="1">
        <v>42990</v>
      </c>
      <c r="D651" t="s">
        <v>417</v>
      </c>
      <c r="E651" t="s">
        <v>2262</v>
      </c>
      <c r="F651" t="s">
        <v>2263</v>
      </c>
      <c r="G651" t="s">
        <v>94</v>
      </c>
      <c r="H651" t="s">
        <v>24</v>
      </c>
      <c r="I651" t="s">
        <v>721</v>
      </c>
      <c r="J651" t="s">
        <v>50</v>
      </c>
      <c r="K651" t="s">
        <v>51</v>
      </c>
      <c r="L651" t="s">
        <v>2264</v>
      </c>
      <c r="M651" t="s">
        <v>29</v>
      </c>
      <c r="N651" t="s">
        <v>34</v>
      </c>
      <c r="O651" t="s">
        <v>2265</v>
      </c>
      <c r="P651">
        <v>2054.2719999999999</v>
      </c>
      <c r="Q651">
        <v>8</v>
      </c>
      <c r="R651">
        <v>256.78399999999999</v>
      </c>
      <c r="S651" t="s">
        <v>72</v>
      </c>
    </row>
    <row r="652" spans="1:19" x14ac:dyDescent="0.35">
      <c r="A652" t="s">
        <v>2266</v>
      </c>
      <c r="B652" s="1">
        <v>42827</v>
      </c>
      <c r="C652" s="1">
        <v>42829</v>
      </c>
      <c r="D652" t="s">
        <v>81</v>
      </c>
      <c r="E652" t="s">
        <v>2267</v>
      </c>
      <c r="F652" t="s">
        <v>2268</v>
      </c>
      <c r="G652" t="s">
        <v>94</v>
      </c>
      <c r="H652" t="s">
        <v>24</v>
      </c>
      <c r="I652" t="s">
        <v>339</v>
      </c>
      <c r="J652" t="s">
        <v>658</v>
      </c>
      <c r="K652" t="s">
        <v>27</v>
      </c>
      <c r="L652" t="s">
        <v>204</v>
      </c>
      <c r="M652" t="s">
        <v>29</v>
      </c>
      <c r="N652" t="s">
        <v>43</v>
      </c>
      <c r="O652" t="s">
        <v>205</v>
      </c>
      <c r="P652">
        <v>411.8</v>
      </c>
      <c r="Q652">
        <v>2</v>
      </c>
      <c r="R652">
        <v>70.006</v>
      </c>
      <c r="S652" t="s">
        <v>107</v>
      </c>
    </row>
    <row r="653" spans="1:19" x14ac:dyDescent="0.35">
      <c r="A653" t="s">
        <v>2269</v>
      </c>
      <c r="B653" s="1">
        <v>43014</v>
      </c>
      <c r="C653" s="1">
        <v>43019</v>
      </c>
      <c r="D653" t="s">
        <v>37</v>
      </c>
      <c r="E653" t="s">
        <v>337</v>
      </c>
      <c r="F653" t="s">
        <v>338</v>
      </c>
      <c r="G653" t="s">
        <v>94</v>
      </c>
      <c r="H653" t="s">
        <v>24</v>
      </c>
      <c r="I653" t="s">
        <v>2270</v>
      </c>
      <c r="J653" t="s">
        <v>2271</v>
      </c>
      <c r="K653" t="s">
        <v>51</v>
      </c>
      <c r="L653" t="s">
        <v>2272</v>
      </c>
      <c r="M653" t="s">
        <v>29</v>
      </c>
      <c r="N653" t="s">
        <v>53</v>
      </c>
      <c r="O653" t="s">
        <v>2273</v>
      </c>
      <c r="P653">
        <v>41.96</v>
      </c>
      <c r="Q653">
        <v>2</v>
      </c>
      <c r="R653">
        <v>2.9371999999999998</v>
      </c>
      <c r="S653" t="s">
        <v>45</v>
      </c>
    </row>
    <row r="654" spans="1:19" x14ac:dyDescent="0.35">
      <c r="A654" t="s">
        <v>2274</v>
      </c>
      <c r="B654" s="1">
        <v>43027</v>
      </c>
      <c r="C654" s="1">
        <v>43032</v>
      </c>
      <c r="D654" t="s">
        <v>20</v>
      </c>
      <c r="E654" t="s">
        <v>2275</v>
      </c>
      <c r="F654" t="s">
        <v>2276</v>
      </c>
      <c r="G654" t="s">
        <v>84</v>
      </c>
      <c r="H654" t="s">
        <v>24</v>
      </c>
      <c r="I654" t="s">
        <v>320</v>
      </c>
      <c r="J654" t="s">
        <v>50</v>
      </c>
      <c r="K654" t="s">
        <v>51</v>
      </c>
      <c r="L654" t="s">
        <v>861</v>
      </c>
      <c r="M654" t="s">
        <v>29</v>
      </c>
      <c r="N654" t="s">
        <v>53</v>
      </c>
      <c r="O654" t="s">
        <v>862</v>
      </c>
      <c r="P654">
        <v>30.56</v>
      </c>
      <c r="Q654">
        <v>2</v>
      </c>
      <c r="R654">
        <v>10.3904</v>
      </c>
      <c r="S654" t="s">
        <v>45</v>
      </c>
    </row>
    <row r="655" spans="1:19" x14ac:dyDescent="0.35">
      <c r="A655" t="s">
        <v>2274</v>
      </c>
      <c r="B655" s="1">
        <v>43027</v>
      </c>
      <c r="C655" s="1">
        <v>43032</v>
      </c>
      <c r="D655" t="s">
        <v>20</v>
      </c>
      <c r="E655" t="s">
        <v>2275</v>
      </c>
      <c r="F655" t="s">
        <v>2276</v>
      </c>
      <c r="G655" t="s">
        <v>84</v>
      </c>
      <c r="H655" t="s">
        <v>24</v>
      </c>
      <c r="I655" t="s">
        <v>320</v>
      </c>
      <c r="J655" t="s">
        <v>50</v>
      </c>
      <c r="K655" t="s">
        <v>51</v>
      </c>
      <c r="L655" t="s">
        <v>2277</v>
      </c>
      <c r="M655" t="s">
        <v>29</v>
      </c>
      <c r="N655" t="s">
        <v>43</v>
      </c>
      <c r="O655" t="s">
        <v>2278</v>
      </c>
      <c r="P655">
        <v>24.367999999999999</v>
      </c>
      <c r="Q655">
        <v>2</v>
      </c>
      <c r="R655">
        <v>-3.3506</v>
      </c>
      <c r="S655" t="s">
        <v>45</v>
      </c>
    </row>
    <row r="656" spans="1:19" x14ac:dyDescent="0.35">
      <c r="A656" t="s">
        <v>2279</v>
      </c>
      <c r="B656" s="1">
        <v>41960</v>
      </c>
      <c r="C656" s="1">
        <v>41965</v>
      </c>
      <c r="D656" t="s">
        <v>37</v>
      </c>
      <c r="E656" t="s">
        <v>2280</v>
      </c>
      <c r="F656" t="s">
        <v>2281</v>
      </c>
      <c r="G656" t="s">
        <v>84</v>
      </c>
      <c r="H656" t="s">
        <v>24</v>
      </c>
      <c r="I656" t="s">
        <v>222</v>
      </c>
      <c r="J656" t="s">
        <v>192</v>
      </c>
      <c r="K656" t="s">
        <v>63</v>
      </c>
      <c r="L656" t="s">
        <v>2282</v>
      </c>
      <c r="M656" t="s">
        <v>29</v>
      </c>
      <c r="N656" t="s">
        <v>53</v>
      </c>
      <c r="O656" t="s">
        <v>2283</v>
      </c>
      <c r="P656">
        <v>124.41</v>
      </c>
      <c r="Q656">
        <v>3</v>
      </c>
      <c r="R656">
        <v>14.9292</v>
      </c>
      <c r="S656" t="s">
        <v>32</v>
      </c>
    </row>
    <row r="657" spans="1:19" x14ac:dyDescent="0.35">
      <c r="A657" t="s">
        <v>2284</v>
      </c>
      <c r="B657" s="1">
        <v>42280</v>
      </c>
      <c r="C657" s="1">
        <v>42285</v>
      </c>
      <c r="D657" t="s">
        <v>37</v>
      </c>
      <c r="E657" t="s">
        <v>255</v>
      </c>
      <c r="F657" t="s">
        <v>256</v>
      </c>
      <c r="G657" t="s">
        <v>23</v>
      </c>
      <c r="H657" t="s">
        <v>24</v>
      </c>
      <c r="I657" t="s">
        <v>49</v>
      </c>
      <c r="J657" t="s">
        <v>50</v>
      </c>
      <c r="K657" t="s">
        <v>51</v>
      </c>
      <c r="L657" t="s">
        <v>801</v>
      </c>
      <c r="M657" t="s">
        <v>29</v>
      </c>
      <c r="N657" t="s">
        <v>30</v>
      </c>
      <c r="O657" t="s">
        <v>802</v>
      </c>
      <c r="P657">
        <v>120.666</v>
      </c>
      <c r="Q657">
        <v>2</v>
      </c>
      <c r="R657">
        <v>18.454799999999999</v>
      </c>
      <c r="S657" t="s">
        <v>45</v>
      </c>
    </row>
    <row r="658" spans="1:19" x14ac:dyDescent="0.35">
      <c r="A658" t="s">
        <v>2285</v>
      </c>
      <c r="B658" s="1">
        <v>41840</v>
      </c>
      <c r="C658" s="1">
        <v>41844</v>
      </c>
      <c r="D658" t="s">
        <v>37</v>
      </c>
      <c r="E658" t="s">
        <v>2286</v>
      </c>
      <c r="F658" t="s">
        <v>2287</v>
      </c>
      <c r="G658" t="s">
        <v>94</v>
      </c>
      <c r="H658" t="s">
        <v>24</v>
      </c>
      <c r="I658" t="s">
        <v>1730</v>
      </c>
      <c r="J658" t="s">
        <v>86</v>
      </c>
      <c r="K658" t="s">
        <v>87</v>
      </c>
      <c r="L658" t="s">
        <v>1138</v>
      </c>
      <c r="M658" t="s">
        <v>29</v>
      </c>
      <c r="N658" t="s">
        <v>53</v>
      </c>
      <c r="O658" t="s">
        <v>1139</v>
      </c>
      <c r="P658">
        <v>16.739999999999998</v>
      </c>
      <c r="Q658">
        <v>5</v>
      </c>
      <c r="R658">
        <v>-14.228999999999999</v>
      </c>
      <c r="S658" t="s">
        <v>66</v>
      </c>
    </row>
    <row r="659" spans="1:19" x14ac:dyDescent="0.35">
      <c r="A659" t="s">
        <v>2285</v>
      </c>
      <c r="B659" s="1">
        <v>41840</v>
      </c>
      <c r="C659" s="1">
        <v>41844</v>
      </c>
      <c r="D659" t="s">
        <v>37</v>
      </c>
      <c r="E659" t="s">
        <v>2286</v>
      </c>
      <c r="F659" t="s">
        <v>2287</v>
      </c>
      <c r="G659" t="s">
        <v>94</v>
      </c>
      <c r="H659" t="s">
        <v>24</v>
      </c>
      <c r="I659" t="s">
        <v>1730</v>
      </c>
      <c r="J659" t="s">
        <v>86</v>
      </c>
      <c r="K659" t="s">
        <v>87</v>
      </c>
      <c r="L659" t="s">
        <v>592</v>
      </c>
      <c r="M659" t="s">
        <v>29</v>
      </c>
      <c r="N659" t="s">
        <v>34</v>
      </c>
      <c r="O659" t="s">
        <v>593</v>
      </c>
      <c r="P659">
        <v>981.37199999999996</v>
      </c>
      <c r="Q659">
        <v>2</v>
      </c>
      <c r="R659">
        <v>-140.196</v>
      </c>
      <c r="S659" t="s">
        <v>66</v>
      </c>
    </row>
    <row r="660" spans="1:19" x14ac:dyDescent="0.35">
      <c r="A660" t="s">
        <v>2288</v>
      </c>
      <c r="B660" s="1">
        <v>42775</v>
      </c>
      <c r="C660" s="1">
        <v>42780</v>
      </c>
      <c r="D660" t="s">
        <v>37</v>
      </c>
      <c r="E660" t="s">
        <v>2289</v>
      </c>
      <c r="F660" t="s">
        <v>2290</v>
      </c>
      <c r="G660" t="s">
        <v>23</v>
      </c>
      <c r="H660" t="s">
        <v>24</v>
      </c>
      <c r="I660" t="s">
        <v>95</v>
      </c>
      <c r="J660" t="s">
        <v>86</v>
      </c>
      <c r="K660" t="s">
        <v>87</v>
      </c>
      <c r="L660" t="s">
        <v>2228</v>
      </c>
      <c r="M660" t="s">
        <v>29</v>
      </c>
      <c r="N660" t="s">
        <v>53</v>
      </c>
      <c r="O660" t="s">
        <v>2229</v>
      </c>
      <c r="P660">
        <v>3.984</v>
      </c>
      <c r="Q660">
        <v>2</v>
      </c>
      <c r="R660">
        <v>-2.6892</v>
      </c>
      <c r="S660" t="s">
        <v>289</v>
      </c>
    </row>
    <row r="661" spans="1:19" x14ac:dyDescent="0.35">
      <c r="A661" t="s">
        <v>2291</v>
      </c>
      <c r="B661" s="1">
        <v>42825</v>
      </c>
      <c r="C661" s="1">
        <v>42827</v>
      </c>
      <c r="D661" t="s">
        <v>20</v>
      </c>
      <c r="E661" t="s">
        <v>2292</v>
      </c>
      <c r="F661" t="s">
        <v>2293</v>
      </c>
      <c r="G661" t="s">
        <v>94</v>
      </c>
      <c r="H661" t="s">
        <v>24</v>
      </c>
      <c r="I661" t="s">
        <v>25</v>
      </c>
      <c r="J661" t="s">
        <v>26</v>
      </c>
      <c r="K661" t="s">
        <v>27</v>
      </c>
      <c r="L661" t="s">
        <v>1473</v>
      </c>
      <c r="M661" t="s">
        <v>29</v>
      </c>
      <c r="N661" t="s">
        <v>53</v>
      </c>
      <c r="O661" t="s">
        <v>1474</v>
      </c>
      <c r="P661">
        <v>61</v>
      </c>
      <c r="Q661">
        <v>5</v>
      </c>
      <c r="R661">
        <v>25.62</v>
      </c>
      <c r="S661" t="s">
        <v>187</v>
      </c>
    </row>
    <row r="662" spans="1:19" x14ac:dyDescent="0.35">
      <c r="A662" t="s">
        <v>2294</v>
      </c>
      <c r="B662" s="1">
        <v>42852</v>
      </c>
      <c r="C662" s="1">
        <v>42856</v>
      </c>
      <c r="D662" t="s">
        <v>37</v>
      </c>
      <c r="E662" t="s">
        <v>176</v>
      </c>
      <c r="F662" t="s">
        <v>177</v>
      </c>
      <c r="G662" t="s">
        <v>84</v>
      </c>
      <c r="H662" t="s">
        <v>24</v>
      </c>
      <c r="I662" t="s">
        <v>586</v>
      </c>
      <c r="J662" t="s">
        <v>86</v>
      </c>
      <c r="K662" t="s">
        <v>87</v>
      </c>
      <c r="L662" t="s">
        <v>407</v>
      </c>
      <c r="M662" t="s">
        <v>29</v>
      </c>
      <c r="N662" t="s">
        <v>30</v>
      </c>
      <c r="O662" t="s">
        <v>408</v>
      </c>
      <c r="P662">
        <v>220.26560000000001</v>
      </c>
      <c r="Q662">
        <v>4</v>
      </c>
      <c r="R662">
        <v>-42.1096</v>
      </c>
      <c r="S662" t="s">
        <v>107</v>
      </c>
    </row>
    <row r="663" spans="1:19" x14ac:dyDescent="0.35">
      <c r="A663" t="s">
        <v>2295</v>
      </c>
      <c r="B663" s="1">
        <v>42839</v>
      </c>
      <c r="C663" s="1">
        <v>42844</v>
      </c>
      <c r="D663" t="s">
        <v>37</v>
      </c>
      <c r="E663" t="s">
        <v>2296</v>
      </c>
      <c r="F663" t="s">
        <v>2297</v>
      </c>
      <c r="G663" t="s">
        <v>23</v>
      </c>
      <c r="H663" t="s">
        <v>24</v>
      </c>
      <c r="I663" t="s">
        <v>165</v>
      </c>
      <c r="J663" t="s">
        <v>114</v>
      </c>
      <c r="K663" t="s">
        <v>63</v>
      </c>
      <c r="L663" t="s">
        <v>889</v>
      </c>
      <c r="M663" t="s">
        <v>29</v>
      </c>
      <c r="N663" t="s">
        <v>30</v>
      </c>
      <c r="O663" t="s">
        <v>890</v>
      </c>
      <c r="P663">
        <v>242.352</v>
      </c>
      <c r="Q663">
        <v>3</v>
      </c>
      <c r="R663">
        <v>9.0882000000000005</v>
      </c>
      <c r="S663" t="s">
        <v>107</v>
      </c>
    </row>
    <row r="664" spans="1:19" x14ac:dyDescent="0.35">
      <c r="A664" t="s">
        <v>2298</v>
      </c>
      <c r="B664" s="1">
        <v>43091</v>
      </c>
      <c r="C664" s="1">
        <v>43096</v>
      </c>
      <c r="D664" t="s">
        <v>20</v>
      </c>
      <c r="E664" t="s">
        <v>2299</v>
      </c>
      <c r="F664" t="s">
        <v>2300</v>
      </c>
      <c r="G664" t="s">
        <v>84</v>
      </c>
      <c r="H664" t="s">
        <v>24</v>
      </c>
      <c r="I664" t="s">
        <v>1635</v>
      </c>
      <c r="J664" t="s">
        <v>1636</v>
      </c>
      <c r="K664" t="s">
        <v>63</v>
      </c>
      <c r="L664" t="s">
        <v>2301</v>
      </c>
      <c r="M664" t="s">
        <v>29</v>
      </c>
      <c r="N664" t="s">
        <v>30</v>
      </c>
      <c r="O664" t="s">
        <v>2302</v>
      </c>
      <c r="P664">
        <v>220.98</v>
      </c>
      <c r="Q664">
        <v>1</v>
      </c>
      <c r="R664">
        <v>50.825400000000002</v>
      </c>
      <c r="S664" t="s">
        <v>90</v>
      </c>
    </row>
    <row r="665" spans="1:19" x14ac:dyDescent="0.35">
      <c r="A665" t="s">
        <v>2303</v>
      </c>
      <c r="B665" s="1">
        <v>42605</v>
      </c>
      <c r="C665" s="1">
        <v>42612</v>
      </c>
      <c r="D665" t="s">
        <v>37</v>
      </c>
      <c r="E665" t="s">
        <v>2304</v>
      </c>
      <c r="F665" t="s">
        <v>2305</v>
      </c>
      <c r="G665" t="s">
        <v>23</v>
      </c>
      <c r="H665" t="s">
        <v>24</v>
      </c>
      <c r="I665" t="s">
        <v>183</v>
      </c>
      <c r="J665" t="s">
        <v>184</v>
      </c>
      <c r="K665" t="s">
        <v>51</v>
      </c>
      <c r="L665" t="s">
        <v>1155</v>
      </c>
      <c r="M665" t="s">
        <v>29</v>
      </c>
      <c r="N665" t="s">
        <v>34</v>
      </c>
      <c r="O665" t="s">
        <v>1156</v>
      </c>
      <c r="P665">
        <v>532.70399999999995</v>
      </c>
      <c r="Q665">
        <v>6</v>
      </c>
      <c r="R665">
        <v>-39.952800000000003</v>
      </c>
      <c r="S665" t="s">
        <v>245</v>
      </c>
    </row>
    <row r="666" spans="1:19" x14ac:dyDescent="0.35">
      <c r="A666" t="s">
        <v>2306</v>
      </c>
      <c r="B666" s="1">
        <v>42166</v>
      </c>
      <c r="C666" s="1">
        <v>42167</v>
      </c>
      <c r="D666" t="s">
        <v>81</v>
      </c>
      <c r="E666" t="s">
        <v>2307</v>
      </c>
      <c r="F666" t="s">
        <v>2308</v>
      </c>
      <c r="G666" t="s">
        <v>84</v>
      </c>
      <c r="H666" t="s">
        <v>24</v>
      </c>
      <c r="I666" t="s">
        <v>565</v>
      </c>
      <c r="J666" t="s">
        <v>41</v>
      </c>
      <c r="K666" t="s">
        <v>27</v>
      </c>
      <c r="L666" t="s">
        <v>397</v>
      </c>
      <c r="M666" t="s">
        <v>29</v>
      </c>
      <c r="N666" t="s">
        <v>34</v>
      </c>
      <c r="O666" t="s">
        <v>398</v>
      </c>
      <c r="P666">
        <v>1123.92</v>
      </c>
      <c r="Q666">
        <v>5</v>
      </c>
      <c r="R666">
        <v>-182.637</v>
      </c>
      <c r="S666" t="s">
        <v>55</v>
      </c>
    </row>
    <row r="667" spans="1:19" x14ac:dyDescent="0.35">
      <c r="A667" t="s">
        <v>2306</v>
      </c>
      <c r="B667" s="1">
        <v>42166</v>
      </c>
      <c r="C667" s="1">
        <v>42167</v>
      </c>
      <c r="D667" t="s">
        <v>81</v>
      </c>
      <c r="E667" t="s">
        <v>2307</v>
      </c>
      <c r="F667" t="s">
        <v>2308</v>
      </c>
      <c r="G667" t="s">
        <v>84</v>
      </c>
      <c r="H667" t="s">
        <v>24</v>
      </c>
      <c r="I667" t="s">
        <v>565</v>
      </c>
      <c r="J667" t="s">
        <v>41</v>
      </c>
      <c r="K667" t="s">
        <v>27</v>
      </c>
      <c r="L667" t="s">
        <v>2309</v>
      </c>
      <c r="M667" t="s">
        <v>29</v>
      </c>
      <c r="N667" t="s">
        <v>53</v>
      </c>
      <c r="O667" t="s">
        <v>2310</v>
      </c>
      <c r="P667">
        <v>48.671999999999997</v>
      </c>
      <c r="Q667">
        <v>3</v>
      </c>
      <c r="R667">
        <v>7.3007999999999997</v>
      </c>
      <c r="S667" t="s">
        <v>55</v>
      </c>
    </row>
    <row r="668" spans="1:19" x14ac:dyDescent="0.35">
      <c r="A668" t="s">
        <v>2311</v>
      </c>
      <c r="B668" s="1">
        <v>41989</v>
      </c>
      <c r="C668" s="1">
        <v>41990</v>
      </c>
      <c r="D668" t="s">
        <v>81</v>
      </c>
      <c r="E668" t="s">
        <v>2312</v>
      </c>
      <c r="F668" t="s">
        <v>2313</v>
      </c>
      <c r="G668" t="s">
        <v>94</v>
      </c>
      <c r="H668" t="s">
        <v>24</v>
      </c>
      <c r="I668" t="s">
        <v>49</v>
      </c>
      <c r="J668" t="s">
        <v>50</v>
      </c>
      <c r="K668" t="s">
        <v>51</v>
      </c>
      <c r="L668" t="s">
        <v>821</v>
      </c>
      <c r="M668" t="s">
        <v>29</v>
      </c>
      <c r="N668" t="s">
        <v>53</v>
      </c>
      <c r="O668" t="s">
        <v>822</v>
      </c>
      <c r="P668">
        <v>44.46</v>
      </c>
      <c r="Q668">
        <v>2</v>
      </c>
      <c r="R668">
        <v>14.671799999999999</v>
      </c>
      <c r="S668" t="s">
        <v>90</v>
      </c>
    </row>
    <row r="669" spans="1:19" x14ac:dyDescent="0.35">
      <c r="A669" t="s">
        <v>2311</v>
      </c>
      <c r="B669" s="1">
        <v>41989</v>
      </c>
      <c r="C669" s="1">
        <v>41990</v>
      </c>
      <c r="D669" t="s">
        <v>81</v>
      </c>
      <c r="E669" t="s">
        <v>2312</v>
      </c>
      <c r="F669" t="s">
        <v>2313</v>
      </c>
      <c r="G669" t="s">
        <v>94</v>
      </c>
      <c r="H669" t="s">
        <v>24</v>
      </c>
      <c r="I669" t="s">
        <v>49</v>
      </c>
      <c r="J669" t="s">
        <v>50</v>
      </c>
      <c r="K669" t="s">
        <v>51</v>
      </c>
      <c r="L669" t="s">
        <v>386</v>
      </c>
      <c r="M669" t="s">
        <v>29</v>
      </c>
      <c r="N669" t="s">
        <v>34</v>
      </c>
      <c r="O669" t="s">
        <v>387</v>
      </c>
      <c r="P669">
        <v>241.56800000000001</v>
      </c>
      <c r="Q669">
        <v>2</v>
      </c>
      <c r="R669">
        <v>18.117599999999999</v>
      </c>
      <c r="S669" t="s">
        <v>90</v>
      </c>
    </row>
    <row r="670" spans="1:19" x14ac:dyDescent="0.35">
      <c r="A670" t="s">
        <v>2314</v>
      </c>
      <c r="B670" s="1">
        <v>41875</v>
      </c>
      <c r="C670" s="1">
        <v>41877</v>
      </c>
      <c r="D670" t="s">
        <v>81</v>
      </c>
      <c r="E670" t="s">
        <v>2315</v>
      </c>
      <c r="F670" t="s">
        <v>2316</v>
      </c>
      <c r="G670" t="s">
        <v>84</v>
      </c>
      <c r="H670" t="s">
        <v>24</v>
      </c>
      <c r="I670" t="s">
        <v>752</v>
      </c>
      <c r="J670" t="s">
        <v>114</v>
      </c>
      <c r="K670" t="s">
        <v>63</v>
      </c>
      <c r="L670" t="s">
        <v>2317</v>
      </c>
      <c r="M670" t="s">
        <v>29</v>
      </c>
      <c r="N670" t="s">
        <v>53</v>
      </c>
      <c r="O670" t="s">
        <v>2318</v>
      </c>
      <c r="P670">
        <v>13.28</v>
      </c>
      <c r="Q670">
        <v>2</v>
      </c>
      <c r="R670">
        <v>6.3743999999999996</v>
      </c>
      <c r="S670" t="s">
        <v>245</v>
      </c>
    </row>
    <row r="671" spans="1:19" x14ac:dyDescent="0.35">
      <c r="A671" t="s">
        <v>2319</v>
      </c>
      <c r="B671" s="1">
        <v>43051</v>
      </c>
      <c r="C671" s="1">
        <v>43057</v>
      </c>
      <c r="D671" t="s">
        <v>37</v>
      </c>
      <c r="E671" t="s">
        <v>207</v>
      </c>
      <c r="F671" t="s">
        <v>208</v>
      </c>
      <c r="G671" t="s">
        <v>94</v>
      </c>
      <c r="H671" t="s">
        <v>24</v>
      </c>
      <c r="I671" t="s">
        <v>1730</v>
      </c>
      <c r="J671" t="s">
        <v>86</v>
      </c>
      <c r="K671" t="s">
        <v>87</v>
      </c>
      <c r="L671" t="s">
        <v>375</v>
      </c>
      <c r="M671" t="s">
        <v>29</v>
      </c>
      <c r="N671" t="s">
        <v>53</v>
      </c>
      <c r="O671" t="s">
        <v>376</v>
      </c>
      <c r="P671">
        <v>22.847999999999999</v>
      </c>
      <c r="Q671">
        <v>3</v>
      </c>
      <c r="R671">
        <v>-17.7072</v>
      </c>
      <c r="S671" t="s">
        <v>32</v>
      </c>
    </row>
    <row r="672" spans="1:19" x14ac:dyDescent="0.35">
      <c r="A672" t="s">
        <v>2320</v>
      </c>
      <c r="B672" s="1">
        <v>42618</v>
      </c>
      <c r="C672" s="1">
        <v>42624</v>
      </c>
      <c r="D672" t="s">
        <v>37</v>
      </c>
      <c r="E672" t="s">
        <v>671</v>
      </c>
      <c r="F672" t="s">
        <v>672</v>
      </c>
      <c r="G672" t="s">
        <v>84</v>
      </c>
      <c r="H672" t="s">
        <v>24</v>
      </c>
      <c r="I672" t="s">
        <v>2321</v>
      </c>
      <c r="J672" t="s">
        <v>86</v>
      </c>
      <c r="K672" t="s">
        <v>87</v>
      </c>
      <c r="L672" t="s">
        <v>581</v>
      </c>
      <c r="M672" t="s">
        <v>29</v>
      </c>
      <c r="N672" t="s">
        <v>34</v>
      </c>
      <c r="O672" t="s">
        <v>582</v>
      </c>
      <c r="P672">
        <v>347.80200000000002</v>
      </c>
      <c r="Q672">
        <v>7</v>
      </c>
      <c r="R672">
        <v>-24.843</v>
      </c>
      <c r="S672" t="s">
        <v>72</v>
      </c>
    </row>
    <row r="673" spans="1:19" x14ac:dyDescent="0.35">
      <c r="A673" t="s">
        <v>2322</v>
      </c>
      <c r="B673" s="1">
        <v>42777</v>
      </c>
      <c r="C673" s="1">
        <v>42779</v>
      </c>
      <c r="D673" t="s">
        <v>20</v>
      </c>
      <c r="E673" t="s">
        <v>2323</v>
      </c>
      <c r="F673" t="s">
        <v>2324</v>
      </c>
      <c r="G673" t="s">
        <v>84</v>
      </c>
      <c r="H673" t="s">
        <v>24</v>
      </c>
      <c r="I673" t="s">
        <v>183</v>
      </c>
      <c r="J673" t="s">
        <v>184</v>
      </c>
      <c r="K673" t="s">
        <v>51</v>
      </c>
      <c r="L673" t="s">
        <v>2325</v>
      </c>
      <c r="M673" t="s">
        <v>29</v>
      </c>
      <c r="N673" t="s">
        <v>34</v>
      </c>
      <c r="O673" t="s">
        <v>2326</v>
      </c>
      <c r="P673">
        <v>963.13599999999997</v>
      </c>
      <c r="Q673">
        <v>4</v>
      </c>
      <c r="R673">
        <v>108.3528</v>
      </c>
      <c r="S673" t="s">
        <v>289</v>
      </c>
    </row>
    <row r="674" spans="1:19" x14ac:dyDescent="0.35">
      <c r="A674" t="s">
        <v>2327</v>
      </c>
      <c r="B674" s="1">
        <v>42353</v>
      </c>
      <c r="C674" s="1">
        <v>42356</v>
      </c>
      <c r="D674" t="s">
        <v>81</v>
      </c>
      <c r="E674" t="s">
        <v>466</v>
      </c>
      <c r="F674" t="s">
        <v>467</v>
      </c>
      <c r="G674" t="s">
        <v>23</v>
      </c>
      <c r="H674" t="s">
        <v>24</v>
      </c>
      <c r="I674" t="s">
        <v>222</v>
      </c>
      <c r="J674" t="s">
        <v>223</v>
      </c>
      <c r="K674" t="s">
        <v>63</v>
      </c>
      <c r="L674" t="s">
        <v>346</v>
      </c>
      <c r="M674" t="s">
        <v>29</v>
      </c>
      <c r="N674" t="s">
        <v>53</v>
      </c>
      <c r="O674" t="s">
        <v>347</v>
      </c>
      <c r="P674">
        <v>262.86399999999998</v>
      </c>
      <c r="Q674">
        <v>7</v>
      </c>
      <c r="R674">
        <v>69.001800000000003</v>
      </c>
      <c r="S674" t="s">
        <v>90</v>
      </c>
    </row>
    <row r="675" spans="1:19" x14ac:dyDescent="0.35">
      <c r="A675" t="s">
        <v>2328</v>
      </c>
      <c r="B675" s="1">
        <v>42240</v>
      </c>
      <c r="C675" s="1">
        <v>42244</v>
      </c>
      <c r="D675" t="s">
        <v>37</v>
      </c>
      <c r="E675" t="s">
        <v>1934</v>
      </c>
      <c r="F675" t="s">
        <v>1935</v>
      </c>
      <c r="G675" t="s">
        <v>84</v>
      </c>
      <c r="H675" t="s">
        <v>24</v>
      </c>
      <c r="I675" t="s">
        <v>165</v>
      </c>
      <c r="J675" t="s">
        <v>114</v>
      </c>
      <c r="K675" t="s">
        <v>63</v>
      </c>
      <c r="L675" t="s">
        <v>56</v>
      </c>
      <c r="M675" t="s">
        <v>29</v>
      </c>
      <c r="N675" t="s">
        <v>43</v>
      </c>
      <c r="O675" t="s">
        <v>57</v>
      </c>
      <c r="P675">
        <v>284.36399999999998</v>
      </c>
      <c r="Q675">
        <v>2</v>
      </c>
      <c r="R675">
        <v>-75.830399999999997</v>
      </c>
      <c r="S675" t="s">
        <v>245</v>
      </c>
    </row>
    <row r="676" spans="1:19" x14ac:dyDescent="0.35">
      <c r="A676" t="s">
        <v>2329</v>
      </c>
      <c r="B676" s="1">
        <v>42672</v>
      </c>
      <c r="C676" s="1">
        <v>42674</v>
      </c>
      <c r="D676" t="s">
        <v>81</v>
      </c>
      <c r="E676" t="s">
        <v>410</v>
      </c>
      <c r="F676" t="s">
        <v>411</v>
      </c>
      <c r="G676" t="s">
        <v>23</v>
      </c>
      <c r="H676" t="s">
        <v>24</v>
      </c>
      <c r="I676" t="s">
        <v>1698</v>
      </c>
      <c r="J676" t="s">
        <v>281</v>
      </c>
      <c r="K676" t="s">
        <v>87</v>
      </c>
      <c r="L676" t="s">
        <v>365</v>
      </c>
      <c r="M676" t="s">
        <v>29</v>
      </c>
      <c r="N676" t="s">
        <v>53</v>
      </c>
      <c r="O676" t="s">
        <v>366</v>
      </c>
      <c r="P676">
        <v>67</v>
      </c>
      <c r="Q676">
        <v>5</v>
      </c>
      <c r="R676">
        <v>32.159999999999997</v>
      </c>
      <c r="S676" t="s">
        <v>45</v>
      </c>
    </row>
    <row r="677" spans="1:19" x14ac:dyDescent="0.35">
      <c r="A677" t="s">
        <v>2330</v>
      </c>
      <c r="B677" s="1">
        <v>42518</v>
      </c>
      <c r="C677" s="1">
        <v>42524</v>
      </c>
      <c r="D677" t="s">
        <v>37</v>
      </c>
      <c r="E677" t="s">
        <v>452</v>
      </c>
      <c r="F677" t="s">
        <v>453</v>
      </c>
      <c r="G677" t="s">
        <v>84</v>
      </c>
      <c r="H677" t="s">
        <v>24</v>
      </c>
      <c r="I677" t="s">
        <v>2331</v>
      </c>
      <c r="J677" t="s">
        <v>41</v>
      </c>
      <c r="K677" t="s">
        <v>27</v>
      </c>
      <c r="L677" t="s">
        <v>1647</v>
      </c>
      <c r="M677" t="s">
        <v>29</v>
      </c>
      <c r="N677" t="s">
        <v>34</v>
      </c>
      <c r="O677" t="s">
        <v>1648</v>
      </c>
      <c r="P677">
        <v>390.27199999999999</v>
      </c>
      <c r="Q677">
        <v>8</v>
      </c>
      <c r="R677">
        <v>-24.391999999999999</v>
      </c>
      <c r="S677" t="s">
        <v>153</v>
      </c>
    </row>
    <row r="678" spans="1:19" x14ac:dyDescent="0.35">
      <c r="A678" t="s">
        <v>2332</v>
      </c>
      <c r="B678" s="1">
        <v>42450</v>
      </c>
      <c r="C678" s="1">
        <v>42457</v>
      </c>
      <c r="D678" t="s">
        <v>37</v>
      </c>
      <c r="E678" t="s">
        <v>1206</v>
      </c>
      <c r="F678" t="s">
        <v>1207</v>
      </c>
      <c r="G678" t="s">
        <v>23</v>
      </c>
      <c r="H678" t="s">
        <v>24</v>
      </c>
      <c r="I678" t="s">
        <v>125</v>
      </c>
      <c r="J678" t="s">
        <v>126</v>
      </c>
      <c r="K678" t="s">
        <v>87</v>
      </c>
      <c r="L678" t="s">
        <v>846</v>
      </c>
      <c r="M678" t="s">
        <v>29</v>
      </c>
      <c r="N678" t="s">
        <v>34</v>
      </c>
      <c r="O678" t="s">
        <v>847</v>
      </c>
      <c r="P678">
        <v>528.42999999999995</v>
      </c>
      <c r="Q678">
        <v>5</v>
      </c>
      <c r="R678">
        <v>0</v>
      </c>
      <c r="S678" t="s">
        <v>187</v>
      </c>
    </row>
    <row r="679" spans="1:19" x14ac:dyDescent="0.35">
      <c r="A679" t="s">
        <v>2333</v>
      </c>
      <c r="B679" s="1">
        <v>43001</v>
      </c>
      <c r="C679" s="1">
        <v>43007</v>
      </c>
      <c r="D679" t="s">
        <v>37</v>
      </c>
      <c r="E679" t="s">
        <v>1056</v>
      </c>
      <c r="F679" t="s">
        <v>1057</v>
      </c>
      <c r="G679" t="s">
        <v>23</v>
      </c>
      <c r="H679" t="s">
        <v>24</v>
      </c>
      <c r="I679" t="s">
        <v>2334</v>
      </c>
      <c r="J679" t="s">
        <v>172</v>
      </c>
      <c r="K679" t="s">
        <v>51</v>
      </c>
      <c r="L679" t="s">
        <v>990</v>
      </c>
      <c r="M679" t="s">
        <v>29</v>
      </c>
      <c r="N679" t="s">
        <v>30</v>
      </c>
      <c r="O679" t="s">
        <v>991</v>
      </c>
      <c r="P679">
        <v>180.58799999999999</v>
      </c>
      <c r="Q679">
        <v>2</v>
      </c>
      <c r="R679">
        <v>-240.78399999999999</v>
      </c>
      <c r="S679" t="s">
        <v>72</v>
      </c>
    </row>
    <row r="680" spans="1:19" x14ac:dyDescent="0.35">
      <c r="A680" t="s">
        <v>2335</v>
      </c>
      <c r="B680" s="1">
        <v>43074</v>
      </c>
      <c r="C680" s="1">
        <v>43080</v>
      </c>
      <c r="D680" t="s">
        <v>37</v>
      </c>
      <c r="E680" t="s">
        <v>2336</v>
      </c>
      <c r="F680" t="s">
        <v>2337</v>
      </c>
      <c r="G680" t="s">
        <v>84</v>
      </c>
      <c r="H680" t="s">
        <v>24</v>
      </c>
      <c r="I680" t="s">
        <v>165</v>
      </c>
      <c r="J680" t="s">
        <v>114</v>
      </c>
      <c r="K680" t="s">
        <v>63</v>
      </c>
      <c r="L680" t="s">
        <v>52</v>
      </c>
      <c r="M680" t="s">
        <v>29</v>
      </c>
      <c r="N680" t="s">
        <v>53</v>
      </c>
      <c r="O680" t="s">
        <v>54</v>
      </c>
      <c r="P680">
        <v>20.94</v>
      </c>
      <c r="Q680">
        <v>3</v>
      </c>
      <c r="R680">
        <v>6.0726000000000004</v>
      </c>
      <c r="S680" t="s">
        <v>90</v>
      </c>
    </row>
    <row r="681" spans="1:19" x14ac:dyDescent="0.35">
      <c r="A681" t="s">
        <v>2335</v>
      </c>
      <c r="B681" s="1">
        <v>43074</v>
      </c>
      <c r="C681" s="1">
        <v>43080</v>
      </c>
      <c r="D681" t="s">
        <v>37</v>
      </c>
      <c r="E681" t="s">
        <v>2336</v>
      </c>
      <c r="F681" t="s">
        <v>2337</v>
      </c>
      <c r="G681" t="s">
        <v>84</v>
      </c>
      <c r="H681" t="s">
        <v>24</v>
      </c>
      <c r="I681" t="s">
        <v>165</v>
      </c>
      <c r="J681" t="s">
        <v>114</v>
      </c>
      <c r="K681" t="s">
        <v>63</v>
      </c>
      <c r="L681" t="s">
        <v>224</v>
      </c>
      <c r="M681" t="s">
        <v>29</v>
      </c>
      <c r="N681" t="s">
        <v>53</v>
      </c>
      <c r="O681" t="s">
        <v>225</v>
      </c>
      <c r="P681">
        <v>58.68</v>
      </c>
      <c r="Q681">
        <v>2</v>
      </c>
      <c r="R681">
        <v>18.190799999999999</v>
      </c>
      <c r="S681" t="s">
        <v>90</v>
      </c>
    </row>
    <row r="682" spans="1:19" x14ac:dyDescent="0.35">
      <c r="A682" t="s">
        <v>2338</v>
      </c>
      <c r="B682" s="1">
        <v>41777</v>
      </c>
      <c r="C682" s="1">
        <v>41779</v>
      </c>
      <c r="D682" t="s">
        <v>20</v>
      </c>
      <c r="E682" t="s">
        <v>2339</v>
      </c>
      <c r="F682" t="s">
        <v>2340</v>
      </c>
      <c r="G682" t="s">
        <v>23</v>
      </c>
      <c r="H682" t="s">
        <v>24</v>
      </c>
      <c r="I682" t="s">
        <v>496</v>
      </c>
      <c r="J682" t="s">
        <v>223</v>
      </c>
      <c r="K682" t="s">
        <v>63</v>
      </c>
      <c r="L682" t="s">
        <v>1787</v>
      </c>
      <c r="M682" t="s">
        <v>29</v>
      </c>
      <c r="N682" t="s">
        <v>53</v>
      </c>
      <c r="O682" t="s">
        <v>1788</v>
      </c>
      <c r="P682">
        <v>149.232</v>
      </c>
      <c r="Q682">
        <v>3</v>
      </c>
      <c r="R682">
        <v>3.7307999999999999</v>
      </c>
      <c r="S682" t="s">
        <v>153</v>
      </c>
    </row>
    <row r="683" spans="1:19" x14ac:dyDescent="0.35">
      <c r="A683" t="s">
        <v>2341</v>
      </c>
      <c r="B683" s="1">
        <v>41953</v>
      </c>
      <c r="C683" s="1">
        <v>41959</v>
      </c>
      <c r="D683" t="s">
        <v>37</v>
      </c>
      <c r="E683" t="s">
        <v>2342</v>
      </c>
      <c r="F683" t="s">
        <v>2343</v>
      </c>
      <c r="G683" t="s">
        <v>23</v>
      </c>
      <c r="H683" t="s">
        <v>24</v>
      </c>
      <c r="I683" t="s">
        <v>630</v>
      </c>
      <c r="J683" t="s">
        <v>50</v>
      </c>
      <c r="K683" t="s">
        <v>51</v>
      </c>
      <c r="L683" t="s">
        <v>120</v>
      </c>
      <c r="M683" t="s">
        <v>29</v>
      </c>
      <c r="N683" t="s">
        <v>53</v>
      </c>
      <c r="O683" t="s">
        <v>121</v>
      </c>
      <c r="P683">
        <v>39.880000000000003</v>
      </c>
      <c r="Q683">
        <v>2</v>
      </c>
      <c r="R683">
        <v>11.166399999999999</v>
      </c>
      <c r="S683" t="s">
        <v>32</v>
      </c>
    </row>
    <row r="684" spans="1:19" x14ac:dyDescent="0.35">
      <c r="A684" t="s">
        <v>2341</v>
      </c>
      <c r="B684" s="1">
        <v>41953</v>
      </c>
      <c r="C684" s="1">
        <v>41959</v>
      </c>
      <c r="D684" t="s">
        <v>37</v>
      </c>
      <c r="E684" t="s">
        <v>2342</v>
      </c>
      <c r="F684" t="s">
        <v>2343</v>
      </c>
      <c r="G684" t="s">
        <v>23</v>
      </c>
      <c r="H684" t="s">
        <v>24</v>
      </c>
      <c r="I684" t="s">
        <v>630</v>
      </c>
      <c r="J684" t="s">
        <v>50</v>
      </c>
      <c r="K684" t="s">
        <v>51</v>
      </c>
      <c r="L684" t="s">
        <v>1104</v>
      </c>
      <c r="M684" t="s">
        <v>29</v>
      </c>
      <c r="N684" t="s">
        <v>53</v>
      </c>
      <c r="O684" t="s">
        <v>1105</v>
      </c>
      <c r="P684">
        <v>53.2</v>
      </c>
      <c r="Q684">
        <v>5</v>
      </c>
      <c r="R684">
        <v>14.896000000000001</v>
      </c>
      <c r="S684" t="s">
        <v>32</v>
      </c>
    </row>
    <row r="685" spans="1:19" x14ac:dyDescent="0.35">
      <c r="A685" t="s">
        <v>2344</v>
      </c>
      <c r="B685" s="1">
        <v>42979</v>
      </c>
      <c r="C685" s="1">
        <v>42983</v>
      </c>
      <c r="D685" t="s">
        <v>20</v>
      </c>
      <c r="E685" t="s">
        <v>1440</v>
      </c>
      <c r="F685" t="s">
        <v>1441</v>
      </c>
      <c r="G685" t="s">
        <v>23</v>
      </c>
      <c r="H685" t="s">
        <v>24</v>
      </c>
      <c r="I685" t="s">
        <v>165</v>
      </c>
      <c r="J685" t="s">
        <v>114</v>
      </c>
      <c r="K685" t="s">
        <v>63</v>
      </c>
      <c r="L685" t="s">
        <v>1183</v>
      </c>
      <c r="M685" t="s">
        <v>29</v>
      </c>
      <c r="N685" t="s">
        <v>53</v>
      </c>
      <c r="O685" t="s">
        <v>1184</v>
      </c>
      <c r="P685">
        <v>114.9</v>
      </c>
      <c r="Q685">
        <v>5</v>
      </c>
      <c r="R685">
        <v>39.066000000000003</v>
      </c>
      <c r="S685" t="s">
        <v>72</v>
      </c>
    </row>
    <row r="686" spans="1:19" x14ac:dyDescent="0.35">
      <c r="A686" t="s">
        <v>2345</v>
      </c>
      <c r="B686" s="1">
        <v>42384</v>
      </c>
      <c r="C686" s="1">
        <v>42384</v>
      </c>
      <c r="D686" t="s">
        <v>417</v>
      </c>
      <c r="E686" t="s">
        <v>1174</v>
      </c>
      <c r="F686" t="s">
        <v>1175</v>
      </c>
      <c r="G686" t="s">
        <v>23</v>
      </c>
      <c r="H686" t="s">
        <v>24</v>
      </c>
      <c r="I686" t="s">
        <v>1571</v>
      </c>
      <c r="J686" t="s">
        <v>421</v>
      </c>
      <c r="K686" t="s">
        <v>63</v>
      </c>
      <c r="L686" t="s">
        <v>334</v>
      </c>
      <c r="M686" t="s">
        <v>29</v>
      </c>
      <c r="N686" t="s">
        <v>43</v>
      </c>
      <c r="O686" t="s">
        <v>335</v>
      </c>
      <c r="P686">
        <v>181.797</v>
      </c>
      <c r="Q686">
        <v>1</v>
      </c>
      <c r="R686">
        <v>-15.582599999999999</v>
      </c>
      <c r="S686" t="s">
        <v>161</v>
      </c>
    </row>
    <row r="687" spans="1:19" x14ac:dyDescent="0.35">
      <c r="A687" t="s">
        <v>2346</v>
      </c>
      <c r="B687" s="1">
        <v>42694</v>
      </c>
      <c r="C687" s="1">
        <v>42701</v>
      </c>
      <c r="D687" t="s">
        <v>37</v>
      </c>
      <c r="E687" t="s">
        <v>2347</v>
      </c>
      <c r="F687" t="s">
        <v>2348</v>
      </c>
      <c r="G687" t="s">
        <v>84</v>
      </c>
      <c r="H687" t="s">
        <v>24</v>
      </c>
      <c r="I687" t="s">
        <v>95</v>
      </c>
      <c r="J687" t="s">
        <v>86</v>
      </c>
      <c r="K687" t="s">
        <v>87</v>
      </c>
      <c r="L687" t="s">
        <v>1608</v>
      </c>
      <c r="M687" t="s">
        <v>29</v>
      </c>
      <c r="N687" t="s">
        <v>34</v>
      </c>
      <c r="O687" t="s">
        <v>1609</v>
      </c>
      <c r="P687">
        <v>318.43</v>
      </c>
      <c r="Q687">
        <v>5</v>
      </c>
      <c r="R687">
        <v>-77.332999999999998</v>
      </c>
      <c r="S687" t="s">
        <v>32</v>
      </c>
    </row>
    <row r="688" spans="1:19" x14ac:dyDescent="0.35">
      <c r="A688" t="s">
        <v>2346</v>
      </c>
      <c r="B688" s="1">
        <v>42694</v>
      </c>
      <c r="C688" s="1">
        <v>42701</v>
      </c>
      <c r="D688" t="s">
        <v>37</v>
      </c>
      <c r="E688" t="s">
        <v>2347</v>
      </c>
      <c r="F688" t="s">
        <v>2348</v>
      </c>
      <c r="G688" t="s">
        <v>84</v>
      </c>
      <c r="H688" t="s">
        <v>24</v>
      </c>
      <c r="I688" t="s">
        <v>95</v>
      </c>
      <c r="J688" t="s">
        <v>86</v>
      </c>
      <c r="K688" t="s">
        <v>87</v>
      </c>
      <c r="L688" t="s">
        <v>414</v>
      </c>
      <c r="M688" t="s">
        <v>29</v>
      </c>
      <c r="N688" t="s">
        <v>53</v>
      </c>
      <c r="O688" t="s">
        <v>415</v>
      </c>
      <c r="P688">
        <v>7.0679999999999996</v>
      </c>
      <c r="Q688">
        <v>3</v>
      </c>
      <c r="R688">
        <v>-2.8271999999999999</v>
      </c>
      <c r="S688" t="s">
        <v>32</v>
      </c>
    </row>
    <row r="689" spans="1:19" x14ac:dyDescent="0.35">
      <c r="A689" t="s">
        <v>2349</v>
      </c>
      <c r="B689" s="1">
        <v>43070</v>
      </c>
      <c r="C689" s="1">
        <v>43074</v>
      </c>
      <c r="D689" t="s">
        <v>37</v>
      </c>
      <c r="E689" t="s">
        <v>2350</v>
      </c>
      <c r="F689" t="s">
        <v>2351</v>
      </c>
      <c r="G689" t="s">
        <v>23</v>
      </c>
      <c r="H689" t="s">
        <v>24</v>
      </c>
      <c r="I689" t="s">
        <v>1708</v>
      </c>
      <c r="J689" t="s">
        <v>86</v>
      </c>
      <c r="K689" t="s">
        <v>87</v>
      </c>
      <c r="L689" t="s">
        <v>386</v>
      </c>
      <c r="M689" t="s">
        <v>29</v>
      </c>
      <c r="N689" t="s">
        <v>34</v>
      </c>
      <c r="O689" t="s">
        <v>387</v>
      </c>
      <c r="P689">
        <v>317.05799999999999</v>
      </c>
      <c r="Q689">
        <v>3</v>
      </c>
      <c r="R689">
        <v>-18.117599999999999</v>
      </c>
      <c r="S689" t="s">
        <v>90</v>
      </c>
    </row>
    <row r="690" spans="1:19" x14ac:dyDescent="0.35">
      <c r="A690" t="s">
        <v>2352</v>
      </c>
      <c r="B690" s="1">
        <v>42630</v>
      </c>
      <c r="C690" s="1">
        <v>42634</v>
      </c>
      <c r="D690" t="s">
        <v>37</v>
      </c>
      <c r="E690" t="s">
        <v>1773</v>
      </c>
      <c r="F690" t="s">
        <v>1774</v>
      </c>
      <c r="G690" t="s">
        <v>94</v>
      </c>
      <c r="H690" t="s">
        <v>24</v>
      </c>
      <c r="I690" t="s">
        <v>183</v>
      </c>
      <c r="J690" t="s">
        <v>184</v>
      </c>
      <c r="K690" t="s">
        <v>51</v>
      </c>
      <c r="L690" t="s">
        <v>2185</v>
      </c>
      <c r="M690" t="s">
        <v>29</v>
      </c>
      <c r="N690" t="s">
        <v>34</v>
      </c>
      <c r="O690" t="s">
        <v>2186</v>
      </c>
      <c r="P690">
        <v>113.88800000000001</v>
      </c>
      <c r="Q690">
        <v>2</v>
      </c>
      <c r="R690">
        <v>9.9651999999999994</v>
      </c>
      <c r="S690" t="s">
        <v>72</v>
      </c>
    </row>
    <row r="691" spans="1:19" x14ac:dyDescent="0.35">
      <c r="A691" t="s">
        <v>2353</v>
      </c>
      <c r="B691" s="1">
        <v>42842</v>
      </c>
      <c r="C691" s="1">
        <v>42844</v>
      </c>
      <c r="D691" t="s">
        <v>81</v>
      </c>
      <c r="E691" t="s">
        <v>2354</v>
      </c>
      <c r="F691" t="s">
        <v>2355</v>
      </c>
      <c r="G691" t="s">
        <v>23</v>
      </c>
      <c r="H691" t="s">
        <v>24</v>
      </c>
      <c r="I691" t="s">
        <v>61</v>
      </c>
      <c r="J691" t="s">
        <v>62</v>
      </c>
      <c r="K691" t="s">
        <v>63</v>
      </c>
      <c r="L691" t="s">
        <v>1281</v>
      </c>
      <c r="M691" t="s">
        <v>29</v>
      </c>
      <c r="N691" t="s">
        <v>53</v>
      </c>
      <c r="O691" t="s">
        <v>1749</v>
      </c>
      <c r="P691">
        <v>60.311999999999998</v>
      </c>
      <c r="Q691">
        <v>3</v>
      </c>
      <c r="R691">
        <v>5.2773000000000003</v>
      </c>
      <c r="S691" t="s">
        <v>107</v>
      </c>
    </row>
    <row r="692" spans="1:19" x14ac:dyDescent="0.35">
      <c r="A692" t="s">
        <v>2356</v>
      </c>
      <c r="B692" s="1">
        <v>42713</v>
      </c>
      <c r="C692" s="1">
        <v>42718</v>
      </c>
      <c r="D692" t="s">
        <v>20</v>
      </c>
      <c r="E692" t="s">
        <v>1295</v>
      </c>
      <c r="F692" t="s">
        <v>1296</v>
      </c>
      <c r="G692" t="s">
        <v>84</v>
      </c>
      <c r="H692" t="s">
        <v>24</v>
      </c>
      <c r="I692" t="s">
        <v>229</v>
      </c>
      <c r="J692" t="s">
        <v>133</v>
      </c>
      <c r="K692" t="s">
        <v>27</v>
      </c>
      <c r="L692" t="s">
        <v>1240</v>
      </c>
      <c r="M692" t="s">
        <v>29</v>
      </c>
      <c r="N692" t="s">
        <v>43</v>
      </c>
      <c r="O692" t="s">
        <v>1241</v>
      </c>
      <c r="P692">
        <v>79.974000000000004</v>
      </c>
      <c r="Q692">
        <v>3</v>
      </c>
      <c r="R692">
        <v>-29.323799999999999</v>
      </c>
      <c r="S692" t="s">
        <v>90</v>
      </c>
    </row>
    <row r="693" spans="1:19" x14ac:dyDescent="0.35">
      <c r="A693" t="s">
        <v>2357</v>
      </c>
      <c r="B693" s="1">
        <v>42044</v>
      </c>
      <c r="C693" s="1">
        <v>42051</v>
      </c>
      <c r="D693" t="s">
        <v>37</v>
      </c>
      <c r="E693" t="s">
        <v>2350</v>
      </c>
      <c r="F693" t="s">
        <v>2351</v>
      </c>
      <c r="G693" t="s">
        <v>23</v>
      </c>
      <c r="H693" t="s">
        <v>24</v>
      </c>
      <c r="I693" t="s">
        <v>49</v>
      </c>
      <c r="J693" t="s">
        <v>50</v>
      </c>
      <c r="K693" t="s">
        <v>51</v>
      </c>
      <c r="L693" t="s">
        <v>64</v>
      </c>
      <c r="M693" t="s">
        <v>29</v>
      </c>
      <c r="N693" t="s">
        <v>34</v>
      </c>
      <c r="O693" t="s">
        <v>65</v>
      </c>
      <c r="P693">
        <v>203.92</v>
      </c>
      <c r="Q693">
        <v>5</v>
      </c>
      <c r="R693">
        <v>22.940999999999999</v>
      </c>
      <c r="S693" t="s">
        <v>289</v>
      </c>
    </row>
    <row r="694" spans="1:19" x14ac:dyDescent="0.35">
      <c r="A694" t="s">
        <v>2358</v>
      </c>
      <c r="B694" s="1">
        <v>41912</v>
      </c>
      <c r="C694" s="1">
        <v>41918</v>
      </c>
      <c r="D694" t="s">
        <v>37</v>
      </c>
      <c r="E694" t="s">
        <v>761</v>
      </c>
      <c r="F694" t="s">
        <v>762</v>
      </c>
      <c r="G694" t="s">
        <v>84</v>
      </c>
      <c r="H694" t="s">
        <v>24</v>
      </c>
      <c r="I694" t="s">
        <v>165</v>
      </c>
      <c r="J694" t="s">
        <v>114</v>
      </c>
      <c r="K694" t="s">
        <v>63</v>
      </c>
      <c r="L694" t="s">
        <v>652</v>
      </c>
      <c r="M694" t="s">
        <v>29</v>
      </c>
      <c r="N694" t="s">
        <v>53</v>
      </c>
      <c r="O694" t="s">
        <v>653</v>
      </c>
      <c r="P694">
        <v>15.24</v>
      </c>
      <c r="Q694">
        <v>3</v>
      </c>
      <c r="R694">
        <v>5.1816000000000004</v>
      </c>
      <c r="S694" t="s">
        <v>72</v>
      </c>
    </row>
    <row r="695" spans="1:19" x14ac:dyDescent="0.35">
      <c r="A695" t="s">
        <v>2359</v>
      </c>
      <c r="B695" s="1">
        <v>41999</v>
      </c>
      <c r="C695" s="1">
        <v>42003</v>
      </c>
      <c r="D695" t="s">
        <v>37</v>
      </c>
      <c r="E695" t="s">
        <v>1645</v>
      </c>
      <c r="F695" t="s">
        <v>1646</v>
      </c>
      <c r="G695" t="s">
        <v>23</v>
      </c>
      <c r="H695" t="s">
        <v>24</v>
      </c>
      <c r="I695" t="s">
        <v>630</v>
      </c>
      <c r="J695" t="s">
        <v>50</v>
      </c>
      <c r="K695" t="s">
        <v>51</v>
      </c>
      <c r="L695" t="s">
        <v>1062</v>
      </c>
      <c r="M695" t="s">
        <v>29</v>
      </c>
      <c r="N695" t="s">
        <v>53</v>
      </c>
      <c r="O695" t="s">
        <v>1063</v>
      </c>
      <c r="P695">
        <v>3.48</v>
      </c>
      <c r="Q695">
        <v>2</v>
      </c>
      <c r="R695">
        <v>1.1135999999999999</v>
      </c>
      <c r="S695" t="s">
        <v>90</v>
      </c>
    </row>
    <row r="696" spans="1:19" x14ac:dyDescent="0.35">
      <c r="A696" t="s">
        <v>2360</v>
      </c>
      <c r="B696" s="1">
        <v>41961</v>
      </c>
      <c r="C696" s="1">
        <v>41965</v>
      </c>
      <c r="D696" t="s">
        <v>37</v>
      </c>
      <c r="E696" t="s">
        <v>619</v>
      </c>
      <c r="F696" t="s">
        <v>620</v>
      </c>
      <c r="G696" t="s">
        <v>23</v>
      </c>
      <c r="H696" t="s">
        <v>24</v>
      </c>
      <c r="I696" t="s">
        <v>61</v>
      </c>
      <c r="J696" t="s">
        <v>62</v>
      </c>
      <c r="K696" t="s">
        <v>63</v>
      </c>
      <c r="L696" t="s">
        <v>1281</v>
      </c>
      <c r="M696" t="s">
        <v>29</v>
      </c>
      <c r="N696" t="s">
        <v>53</v>
      </c>
      <c r="O696" t="s">
        <v>1749</v>
      </c>
      <c r="P696">
        <v>60.311999999999998</v>
      </c>
      <c r="Q696">
        <v>3</v>
      </c>
      <c r="R696">
        <v>5.2773000000000003</v>
      </c>
      <c r="S696" t="s">
        <v>32</v>
      </c>
    </row>
    <row r="697" spans="1:19" x14ac:dyDescent="0.35">
      <c r="A697" t="s">
        <v>2361</v>
      </c>
      <c r="B697" s="1">
        <v>42449</v>
      </c>
      <c r="C697" s="1">
        <v>42454</v>
      </c>
      <c r="D697" t="s">
        <v>20</v>
      </c>
      <c r="E697" t="s">
        <v>2362</v>
      </c>
      <c r="F697" t="s">
        <v>2363</v>
      </c>
      <c r="G697" t="s">
        <v>84</v>
      </c>
      <c r="H697" t="s">
        <v>24</v>
      </c>
      <c r="I697" t="s">
        <v>2364</v>
      </c>
      <c r="J697" t="s">
        <v>469</v>
      </c>
      <c r="K697" t="s">
        <v>27</v>
      </c>
      <c r="L697" t="s">
        <v>1119</v>
      </c>
      <c r="M697" t="s">
        <v>29</v>
      </c>
      <c r="N697" t="s">
        <v>53</v>
      </c>
      <c r="O697" t="s">
        <v>1120</v>
      </c>
      <c r="P697">
        <v>86.45</v>
      </c>
      <c r="Q697">
        <v>7</v>
      </c>
      <c r="R697">
        <v>38.037999999999997</v>
      </c>
      <c r="S697" t="s">
        <v>187</v>
      </c>
    </row>
    <row r="698" spans="1:19" x14ac:dyDescent="0.35">
      <c r="A698" t="s">
        <v>2365</v>
      </c>
      <c r="B698" s="1">
        <v>41909</v>
      </c>
      <c r="C698" s="1">
        <v>41913</v>
      </c>
      <c r="D698" t="s">
        <v>37</v>
      </c>
      <c r="E698" t="s">
        <v>2366</v>
      </c>
      <c r="F698" t="s">
        <v>2367</v>
      </c>
      <c r="G698" t="s">
        <v>23</v>
      </c>
      <c r="H698" t="s">
        <v>24</v>
      </c>
      <c r="I698" t="s">
        <v>630</v>
      </c>
      <c r="J698" t="s">
        <v>50</v>
      </c>
      <c r="K698" t="s">
        <v>51</v>
      </c>
      <c r="L698" t="s">
        <v>386</v>
      </c>
      <c r="M698" t="s">
        <v>29</v>
      </c>
      <c r="N698" t="s">
        <v>34</v>
      </c>
      <c r="O698" t="s">
        <v>387</v>
      </c>
      <c r="P698">
        <v>603.91999999999996</v>
      </c>
      <c r="Q698">
        <v>5</v>
      </c>
      <c r="R698">
        <v>45.293999999999997</v>
      </c>
      <c r="S698" t="s">
        <v>72</v>
      </c>
    </row>
    <row r="699" spans="1:19" x14ac:dyDescent="0.35">
      <c r="A699" t="s">
        <v>2368</v>
      </c>
      <c r="B699" s="1">
        <v>43093</v>
      </c>
      <c r="C699" s="1">
        <v>43097</v>
      </c>
      <c r="D699" t="s">
        <v>37</v>
      </c>
      <c r="E699" t="s">
        <v>2369</v>
      </c>
      <c r="F699" t="s">
        <v>2370</v>
      </c>
      <c r="G699" t="s">
        <v>23</v>
      </c>
      <c r="H699" t="s">
        <v>24</v>
      </c>
      <c r="I699" t="s">
        <v>752</v>
      </c>
      <c r="J699" t="s">
        <v>114</v>
      </c>
      <c r="K699" t="s">
        <v>63</v>
      </c>
      <c r="L699" t="s">
        <v>386</v>
      </c>
      <c r="M699" t="s">
        <v>29</v>
      </c>
      <c r="N699" t="s">
        <v>34</v>
      </c>
      <c r="O699" t="s">
        <v>387</v>
      </c>
      <c r="P699">
        <v>271.76400000000001</v>
      </c>
      <c r="Q699">
        <v>2</v>
      </c>
      <c r="R699">
        <v>48.313600000000001</v>
      </c>
      <c r="S699" t="s">
        <v>90</v>
      </c>
    </row>
    <row r="700" spans="1:19" x14ac:dyDescent="0.35">
      <c r="A700" t="s">
        <v>2371</v>
      </c>
      <c r="B700" s="1">
        <v>43049</v>
      </c>
      <c r="C700" s="1">
        <v>43054</v>
      </c>
      <c r="D700" t="s">
        <v>20</v>
      </c>
      <c r="E700" t="s">
        <v>2372</v>
      </c>
      <c r="F700" t="s">
        <v>2373</v>
      </c>
      <c r="G700" t="s">
        <v>84</v>
      </c>
      <c r="H700" t="s">
        <v>24</v>
      </c>
      <c r="I700" t="s">
        <v>922</v>
      </c>
      <c r="J700" t="s">
        <v>86</v>
      </c>
      <c r="K700" t="s">
        <v>87</v>
      </c>
      <c r="L700" t="s">
        <v>1822</v>
      </c>
      <c r="M700" t="s">
        <v>29</v>
      </c>
      <c r="N700" t="s">
        <v>53</v>
      </c>
      <c r="O700" t="s">
        <v>1823</v>
      </c>
      <c r="P700">
        <v>341.96</v>
      </c>
      <c r="Q700">
        <v>5</v>
      </c>
      <c r="R700">
        <v>-427.45</v>
      </c>
      <c r="S700" t="s">
        <v>32</v>
      </c>
    </row>
    <row r="701" spans="1:19" x14ac:dyDescent="0.35">
      <c r="A701" t="s">
        <v>2374</v>
      </c>
      <c r="B701" s="1">
        <v>41993</v>
      </c>
      <c r="C701" s="1">
        <v>41998</v>
      </c>
      <c r="D701" t="s">
        <v>37</v>
      </c>
      <c r="E701" t="s">
        <v>2375</v>
      </c>
      <c r="F701" t="s">
        <v>2376</v>
      </c>
      <c r="G701" t="s">
        <v>23</v>
      </c>
      <c r="H701" t="s">
        <v>24</v>
      </c>
      <c r="I701" t="s">
        <v>149</v>
      </c>
      <c r="J701" t="s">
        <v>133</v>
      </c>
      <c r="K701" t="s">
        <v>27</v>
      </c>
      <c r="L701" t="s">
        <v>238</v>
      </c>
      <c r="M701" t="s">
        <v>29</v>
      </c>
      <c r="N701" t="s">
        <v>34</v>
      </c>
      <c r="O701" t="s">
        <v>239</v>
      </c>
      <c r="P701">
        <v>662.88</v>
      </c>
      <c r="Q701">
        <v>3</v>
      </c>
      <c r="R701">
        <v>74.573999999999998</v>
      </c>
      <c r="S701" t="s">
        <v>90</v>
      </c>
    </row>
    <row r="702" spans="1:19" x14ac:dyDescent="0.35">
      <c r="A702" t="s">
        <v>2377</v>
      </c>
      <c r="B702" s="1">
        <v>42208</v>
      </c>
      <c r="C702" s="1">
        <v>42212</v>
      </c>
      <c r="D702" t="s">
        <v>37</v>
      </c>
      <c r="E702" t="s">
        <v>2378</v>
      </c>
      <c r="F702" t="s">
        <v>2379</v>
      </c>
      <c r="G702" t="s">
        <v>94</v>
      </c>
      <c r="H702" t="s">
        <v>24</v>
      </c>
      <c r="I702" t="s">
        <v>165</v>
      </c>
      <c r="J702" t="s">
        <v>114</v>
      </c>
      <c r="K702" t="s">
        <v>63</v>
      </c>
      <c r="L702" t="s">
        <v>736</v>
      </c>
      <c r="M702" t="s">
        <v>29</v>
      </c>
      <c r="N702" t="s">
        <v>53</v>
      </c>
      <c r="O702" t="s">
        <v>737</v>
      </c>
      <c r="P702">
        <v>128.82</v>
      </c>
      <c r="Q702">
        <v>3</v>
      </c>
      <c r="R702">
        <v>50.239800000000002</v>
      </c>
      <c r="S702" t="s">
        <v>66</v>
      </c>
    </row>
    <row r="703" spans="1:19" x14ac:dyDescent="0.35">
      <c r="A703" t="s">
        <v>2380</v>
      </c>
      <c r="B703" s="1">
        <v>43083</v>
      </c>
      <c r="C703" s="1">
        <v>43089</v>
      </c>
      <c r="D703" t="s">
        <v>37</v>
      </c>
      <c r="E703" t="s">
        <v>1243</v>
      </c>
      <c r="F703" t="s">
        <v>1244</v>
      </c>
      <c r="G703" t="s">
        <v>94</v>
      </c>
      <c r="H703" t="s">
        <v>24</v>
      </c>
      <c r="I703" t="s">
        <v>125</v>
      </c>
      <c r="J703" t="s">
        <v>126</v>
      </c>
      <c r="K703" t="s">
        <v>87</v>
      </c>
      <c r="L703" t="s">
        <v>2381</v>
      </c>
      <c r="M703" t="s">
        <v>29</v>
      </c>
      <c r="N703" t="s">
        <v>53</v>
      </c>
      <c r="O703" t="s">
        <v>2382</v>
      </c>
      <c r="P703">
        <v>2.032</v>
      </c>
      <c r="Q703">
        <v>1</v>
      </c>
      <c r="R703">
        <v>-1.3208</v>
      </c>
      <c r="S703" t="s">
        <v>90</v>
      </c>
    </row>
    <row r="704" spans="1:19" x14ac:dyDescent="0.35">
      <c r="A704" t="s">
        <v>2383</v>
      </c>
      <c r="B704" s="1">
        <v>42968</v>
      </c>
      <c r="C704" s="1">
        <v>42969</v>
      </c>
      <c r="D704" t="s">
        <v>81</v>
      </c>
      <c r="E704" t="s">
        <v>2384</v>
      </c>
      <c r="F704" t="s">
        <v>2385</v>
      </c>
      <c r="G704" t="s">
        <v>23</v>
      </c>
      <c r="H704" t="s">
        <v>24</v>
      </c>
      <c r="I704" t="s">
        <v>1461</v>
      </c>
      <c r="J704" t="s">
        <v>50</v>
      </c>
      <c r="K704" t="s">
        <v>51</v>
      </c>
      <c r="L704" t="s">
        <v>2386</v>
      </c>
      <c r="M704" t="s">
        <v>29</v>
      </c>
      <c r="N704" t="s">
        <v>53</v>
      </c>
      <c r="O704" t="s">
        <v>2387</v>
      </c>
      <c r="P704">
        <v>129.91999999999999</v>
      </c>
      <c r="Q704">
        <v>4</v>
      </c>
      <c r="R704">
        <v>10.393599999999999</v>
      </c>
      <c r="S704" t="s">
        <v>245</v>
      </c>
    </row>
    <row r="705" spans="1:19" x14ac:dyDescent="0.35">
      <c r="A705" t="s">
        <v>2383</v>
      </c>
      <c r="B705" s="1">
        <v>42968</v>
      </c>
      <c r="C705" s="1">
        <v>42969</v>
      </c>
      <c r="D705" t="s">
        <v>81</v>
      </c>
      <c r="E705" t="s">
        <v>2384</v>
      </c>
      <c r="F705" t="s">
        <v>2385</v>
      </c>
      <c r="G705" t="s">
        <v>23</v>
      </c>
      <c r="H705" t="s">
        <v>24</v>
      </c>
      <c r="I705" t="s">
        <v>1461</v>
      </c>
      <c r="J705" t="s">
        <v>50</v>
      </c>
      <c r="K705" t="s">
        <v>51</v>
      </c>
      <c r="L705" t="s">
        <v>56</v>
      </c>
      <c r="M705" t="s">
        <v>29</v>
      </c>
      <c r="N705" t="s">
        <v>43</v>
      </c>
      <c r="O705" t="s">
        <v>57</v>
      </c>
      <c r="P705">
        <v>568.72799999999995</v>
      </c>
      <c r="Q705">
        <v>3</v>
      </c>
      <c r="R705">
        <v>28.436399999999999</v>
      </c>
      <c r="S705" t="s">
        <v>245</v>
      </c>
    </row>
    <row r="706" spans="1:19" x14ac:dyDescent="0.35">
      <c r="A706" t="s">
        <v>2388</v>
      </c>
      <c r="B706" s="1">
        <v>42609</v>
      </c>
      <c r="C706" s="1">
        <v>42614</v>
      </c>
      <c r="D706" t="s">
        <v>20</v>
      </c>
      <c r="E706" t="s">
        <v>111</v>
      </c>
      <c r="F706" t="s">
        <v>112</v>
      </c>
      <c r="G706" t="s">
        <v>23</v>
      </c>
      <c r="H706" t="s">
        <v>24</v>
      </c>
      <c r="I706" t="s">
        <v>2389</v>
      </c>
      <c r="J706" t="s">
        <v>425</v>
      </c>
      <c r="K706" t="s">
        <v>63</v>
      </c>
      <c r="L706" t="s">
        <v>1452</v>
      </c>
      <c r="M706" t="s">
        <v>29</v>
      </c>
      <c r="N706" t="s">
        <v>43</v>
      </c>
      <c r="O706" t="s">
        <v>1453</v>
      </c>
      <c r="P706">
        <v>244.61500000000001</v>
      </c>
      <c r="Q706">
        <v>1</v>
      </c>
      <c r="R706">
        <v>20.966999999999999</v>
      </c>
      <c r="S706" t="s">
        <v>245</v>
      </c>
    </row>
    <row r="707" spans="1:19" x14ac:dyDescent="0.35">
      <c r="A707" t="s">
        <v>2390</v>
      </c>
      <c r="B707" s="1">
        <v>41905</v>
      </c>
      <c r="C707" s="1">
        <v>41910</v>
      </c>
      <c r="D707" t="s">
        <v>37</v>
      </c>
      <c r="E707" t="s">
        <v>849</v>
      </c>
      <c r="F707" t="s">
        <v>850</v>
      </c>
      <c r="G707" t="s">
        <v>84</v>
      </c>
      <c r="H707" t="s">
        <v>24</v>
      </c>
      <c r="I707" t="s">
        <v>630</v>
      </c>
      <c r="J707" t="s">
        <v>50</v>
      </c>
      <c r="K707" t="s">
        <v>51</v>
      </c>
      <c r="L707" t="s">
        <v>2391</v>
      </c>
      <c r="M707" t="s">
        <v>29</v>
      </c>
      <c r="N707" t="s">
        <v>30</v>
      </c>
      <c r="O707" t="s">
        <v>2392</v>
      </c>
      <c r="P707">
        <v>435.99900000000002</v>
      </c>
      <c r="Q707">
        <v>3</v>
      </c>
      <c r="R707">
        <v>20.517600000000002</v>
      </c>
      <c r="S707" t="s">
        <v>72</v>
      </c>
    </row>
    <row r="708" spans="1:19" x14ac:dyDescent="0.35">
      <c r="A708" t="s">
        <v>2393</v>
      </c>
      <c r="B708" s="1">
        <v>41839</v>
      </c>
      <c r="C708" s="1">
        <v>41844</v>
      </c>
      <c r="D708" t="s">
        <v>37</v>
      </c>
      <c r="E708" t="s">
        <v>2394</v>
      </c>
      <c r="F708" t="s">
        <v>2395</v>
      </c>
      <c r="G708" t="s">
        <v>84</v>
      </c>
      <c r="H708" t="s">
        <v>24</v>
      </c>
      <c r="I708" t="s">
        <v>2396</v>
      </c>
      <c r="J708" t="s">
        <v>421</v>
      </c>
      <c r="K708" t="s">
        <v>63</v>
      </c>
      <c r="L708" t="s">
        <v>2397</v>
      </c>
      <c r="M708" t="s">
        <v>29</v>
      </c>
      <c r="N708" t="s">
        <v>43</v>
      </c>
      <c r="O708" t="s">
        <v>2398</v>
      </c>
      <c r="P708">
        <v>70.56</v>
      </c>
      <c r="Q708">
        <v>1</v>
      </c>
      <c r="R708">
        <v>-4.032</v>
      </c>
      <c r="S708" t="s">
        <v>66</v>
      </c>
    </row>
    <row r="709" spans="1:19" x14ac:dyDescent="0.35">
      <c r="A709" t="s">
        <v>2399</v>
      </c>
      <c r="B709" s="1">
        <v>42159</v>
      </c>
      <c r="C709" s="1">
        <v>42163</v>
      </c>
      <c r="D709" t="s">
        <v>20</v>
      </c>
      <c r="E709" t="s">
        <v>1164</v>
      </c>
      <c r="F709" t="s">
        <v>1165</v>
      </c>
      <c r="G709" t="s">
        <v>94</v>
      </c>
      <c r="H709" t="s">
        <v>24</v>
      </c>
      <c r="I709" t="s">
        <v>165</v>
      </c>
      <c r="J709" t="s">
        <v>114</v>
      </c>
      <c r="K709" t="s">
        <v>63</v>
      </c>
      <c r="L709" t="s">
        <v>2400</v>
      </c>
      <c r="M709" t="s">
        <v>29</v>
      </c>
      <c r="N709" t="s">
        <v>53</v>
      </c>
      <c r="O709" t="s">
        <v>2401</v>
      </c>
      <c r="P709">
        <v>35.28</v>
      </c>
      <c r="Q709">
        <v>3</v>
      </c>
      <c r="R709">
        <v>11.995200000000001</v>
      </c>
      <c r="S709" t="s">
        <v>55</v>
      </c>
    </row>
    <row r="710" spans="1:19" x14ac:dyDescent="0.35">
      <c r="A710" t="s">
        <v>2402</v>
      </c>
      <c r="B710" s="1">
        <v>42567</v>
      </c>
      <c r="C710" s="1">
        <v>42569</v>
      </c>
      <c r="D710" t="s">
        <v>20</v>
      </c>
      <c r="E710" t="s">
        <v>2403</v>
      </c>
      <c r="F710" t="s">
        <v>2404</v>
      </c>
      <c r="G710" t="s">
        <v>84</v>
      </c>
      <c r="H710" t="s">
        <v>24</v>
      </c>
      <c r="I710" t="s">
        <v>95</v>
      </c>
      <c r="J710" t="s">
        <v>86</v>
      </c>
      <c r="K710" t="s">
        <v>87</v>
      </c>
      <c r="L710" t="s">
        <v>918</v>
      </c>
      <c r="M710" t="s">
        <v>29</v>
      </c>
      <c r="N710" t="s">
        <v>53</v>
      </c>
      <c r="O710" t="s">
        <v>308</v>
      </c>
      <c r="P710">
        <v>9.5519999999999996</v>
      </c>
      <c r="Q710">
        <v>3</v>
      </c>
      <c r="R710">
        <v>-3.8208000000000002</v>
      </c>
      <c r="S710" t="s">
        <v>66</v>
      </c>
    </row>
    <row r="711" spans="1:19" x14ac:dyDescent="0.35">
      <c r="A711" t="s">
        <v>2405</v>
      </c>
      <c r="B711" s="1">
        <v>41670</v>
      </c>
      <c r="C711" s="1">
        <v>41672</v>
      </c>
      <c r="D711" t="s">
        <v>81</v>
      </c>
      <c r="E711" t="s">
        <v>2406</v>
      </c>
      <c r="F711" t="s">
        <v>2407</v>
      </c>
      <c r="G711" t="s">
        <v>23</v>
      </c>
      <c r="H711" t="s">
        <v>24</v>
      </c>
      <c r="I711" t="s">
        <v>2408</v>
      </c>
      <c r="J711" t="s">
        <v>50</v>
      </c>
      <c r="K711" t="s">
        <v>51</v>
      </c>
      <c r="L711" t="s">
        <v>1447</v>
      </c>
      <c r="M711" t="s">
        <v>29</v>
      </c>
      <c r="N711" t="s">
        <v>30</v>
      </c>
      <c r="O711" t="s">
        <v>1448</v>
      </c>
      <c r="P711">
        <v>290.666</v>
      </c>
      <c r="Q711">
        <v>2</v>
      </c>
      <c r="R711">
        <v>3.4196</v>
      </c>
      <c r="S711" t="s">
        <v>161</v>
      </c>
    </row>
    <row r="712" spans="1:19" x14ac:dyDescent="0.35">
      <c r="A712" t="s">
        <v>2409</v>
      </c>
      <c r="B712" s="1">
        <v>42329</v>
      </c>
      <c r="C712" s="1">
        <v>42333</v>
      </c>
      <c r="D712" t="s">
        <v>37</v>
      </c>
      <c r="E712" t="s">
        <v>2226</v>
      </c>
      <c r="F712" t="s">
        <v>2227</v>
      </c>
      <c r="G712" t="s">
        <v>23</v>
      </c>
      <c r="H712" t="s">
        <v>24</v>
      </c>
      <c r="I712" t="s">
        <v>2410</v>
      </c>
      <c r="J712" t="s">
        <v>1331</v>
      </c>
      <c r="K712" t="s">
        <v>51</v>
      </c>
      <c r="L712" t="s">
        <v>2411</v>
      </c>
      <c r="M712" t="s">
        <v>29</v>
      </c>
      <c r="N712" t="s">
        <v>30</v>
      </c>
      <c r="O712" t="s">
        <v>2412</v>
      </c>
      <c r="P712">
        <v>141.96</v>
      </c>
      <c r="Q712">
        <v>2</v>
      </c>
      <c r="R712">
        <v>41.168399999999998</v>
      </c>
      <c r="S712" t="s">
        <v>32</v>
      </c>
    </row>
    <row r="713" spans="1:19" x14ac:dyDescent="0.35">
      <c r="A713" t="s">
        <v>2413</v>
      </c>
      <c r="B713" s="1">
        <v>42342</v>
      </c>
      <c r="C713" s="1">
        <v>42348</v>
      </c>
      <c r="D713" t="s">
        <v>37</v>
      </c>
      <c r="E713" t="s">
        <v>38</v>
      </c>
      <c r="F713" t="s">
        <v>39</v>
      </c>
      <c r="G713" t="s">
        <v>23</v>
      </c>
      <c r="H713" t="s">
        <v>24</v>
      </c>
      <c r="I713" t="s">
        <v>2414</v>
      </c>
      <c r="J713" t="s">
        <v>114</v>
      </c>
      <c r="K713" t="s">
        <v>63</v>
      </c>
      <c r="L713" t="s">
        <v>2195</v>
      </c>
      <c r="M713" t="s">
        <v>29</v>
      </c>
      <c r="N713" t="s">
        <v>53</v>
      </c>
      <c r="O713" t="s">
        <v>2196</v>
      </c>
      <c r="P713">
        <v>28.44</v>
      </c>
      <c r="Q713">
        <v>3</v>
      </c>
      <c r="R713">
        <v>11.375999999999999</v>
      </c>
      <c r="S713" t="s">
        <v>90</v>
      </c>
    </row>
    <row r="714" spans="1:19" x14ac:dyDescent="0.35">
      <c r="A714" t="s">
        <v>2413</v>
      </c>
      <c r="B714" s="1">
        <v>42342</v>
      </c>
      <c r="C714" s="1">
        <v>42348</v>
      </c>
      <c r="D714" t="s">
        <v>37</v>
      </c>
      <c r="E714" t="s">
        <v>38</v>
      </c>
      <c r="F714" t="s">
        <v>39</v>
      </c>
      <c r="G714" t="s">
        <v>23</v>
      </c>
      <c r="H714" t="s">
        <v>24</v>
      </c>
      <c r="I714" t="s">
        <v>2414</v>
      </c>
      <c r="J714" t="s">
        <v>114</v>
      </c>
      <c r="K714" t="s">
        <v>63</v>
      </c>
      <c r="L714" t="s">
        <v>486</v>
      </c>
      <c r="M714" t="s">
        <v>29</v>
      </c>
      <c r="N714" t="s">
        <v>34</v>
      </c>
      <c r="O714" t="s">
        <v>487</v>
      </c>
      <c r="P714">
        <v>364.41</v>
      </c>
      <c r="Q714">
        <v>5</v>
      </c>
      <c r="R714">
        <v>8.0980000000000008</v>
      </c>
      <c r="S714" t="s">
        <v>90</v>
      </c>
    </row>
    <row r="715" spans="1:19" x14ac:dyDescent="0.35">
      <c r="A715" t="s">
        <v>2413</v>
      </c>
      <c r="B715" s="1">
        <v>42342</v>
      </c>
      <c r="C715" s="1">
        <v>42348</v>
      </c>
      <c r="D715" t="s">
        <v>37</v>
      </c>
      <c r="E715" t="s">
        <v>38</v>
      </c>
      <c r="F715" t="s">
        <v>39</v>
      </c>
      <c r="G715" t="s">
        <v>23</v>
      </c>
      <c r="H715" t="s">
        <v>24</v>
      </c>
      <c r="I715" t="s">
        <v>2414</v>
      </c>
      <c r="J715" t="s">
        <v>114</v>
      </c>
      <c r="K715" t="s">
        <v>63</v>
      </c>
      <c r="L715" t="s">
        <v>321</v>
      </c>
      <c r="M715" t="s">
        <v>29</v>
      </c>
      <c r="N715" t="s">
        <v>34</v>
      </c>
      <c r="O715" t="s">
        <v>322</v>
      </c>
      <c r="P715">
        <v>361.76400000000001</v>
      </c>
      <c r="Q715">
        <v>2</v>
      </c>
      <c r="R715">
        <v>68.333200000000005</v>
      </c>
      <c r="S715" t="s">
        <v>90</v>
      </c>
    </row>
    <row r="716" spans="1:19" x14ac:dyDescent="0.35">
      <c r="A716" t="s">
        <v>2415</v>
      </c>
      <c r="B716" s="1">
        <v>43062</v>
      </c>
      <c r="C716" s="1">
        <v>43063</v>
      </c>
      <c r="D716" t="s">
        <v>81</v>
      </c>
      <c r="E716" t="s">
        <v>2137</v>
      </c>
      <c r="F716" t="s">
        <v>2138</v>
      </c>
      <c r="G716" t="s">
        <v>23</v>
      </c>
      <c r="H716" t="s">
        <v>24</v>
      </c>
      <c r="I716" t="s">
        <v>61</v>
      </c>
      <c r="J716" t="s">
        <v>62</v>
      </c>
      <c r="K716" t="s">
        <v>63</v>
      </c>
      <c r="L716" t="s">
        <v>2416</v>
      </c>
      <c r="M716" t="s">
        <v>29</v>
      </c>
      <c r="N716" t="s">
        <v>53</v>
      </c>
      <c r="O716" t="s">
        <v>2417</v>
      </c>
      <c r="P716">
        <v>24.047999999999998</v>
      </c>
      <c r="Q716">
        <v>9</v>
      </c>
      <c r="R716">
        <v>7.2144000000000004</v>
      </c>
      <c r="S716" t="s">
        <v>32</v>
      </c>
    </row>
    <row r="717" spans="1:19" x14ac:dyDescent="0.35">
      <c r="A717" t="s">
        <v>2418</v>
      </c>
      <c r="B717" s="1">
        <v>42342</v>
      </c>
      <c r="C717" s="1">
        <v>42347</v>
      </c>
      <c r="D717" t="s">
        <v>20</v>
      </c>
      <c r="E717" t="s">
        <v>1672</v>
      </c>
      <c r="F717" t="s">
        <v>1673</v>
      </c>
      <c r="G717" t="s">
        <v>23</v>
      </c>
      <c r="H717" t="s">
        <v>24</v>
      </c>
      <c r="I717" t="s">
        <v>165</v>
      </c>
      <c r="J717" t="s">
        <v>114</v>
      </c>
      <c r="K717" t="s">
        <v>63</v>
      </c>
      <c r="L717" t="s">
        <v>2419</v>
      </c>
      <c r="M717" t="s">
        <v>29</v>
      </c>
      <c r="N717" t="s">
        <v>34</v>
      </c>
      <c r="O717" t="s">
        <v>2420</v>
      </c>
      <c r="P717">
        <v>384.17399999999998</v>
      </c>
      <c r="Q717">
        <v>7</v>
      </c>
      <c r="R717">
        <v>29.880199999999999</v>
      </c>
      <c r="S717" t="s">
        <v>90</v>
      </c>
    </row>
    <row r="718" spans="1:19" x14ac:dyDescent="0.35">
      <c r="A718" t="s">
        <v>2421</v>
      </c>
      <c r="B718" s="1">
        <v>43015</v>
      </c>
      <c r="C718" s="1">
        <v>43019</v>
      </c>
      <c r="D718" t="s">
        <v>37</v>
      </c>
      <c r="E718" t="s">
        <v>2422</v>
      </c>
      <c r="F718" t="s">
        <v>2423</v>
      </c>
      <c r="G718" t="s">
        <v>94</v>
      </c>
      <c r="H718" t="s">
        <v>24</v>
      </c>
      <c r="I718" t="s">
        <v>1518</v>
      </c>
      <c r="J718" t="s">
        <v>1027</v>
      </c>
      <c r="K718" t="s">
        <v>27</v>
      </c>
      <c r="L718" t="s">
        <v>1250</v>
      </c>
      <c r="M718" t="s">
        <v>29</v>
      </c>
      <c r="N718" t="s">
        <v>43</v>
      </c>
      <c r="O718" t="s">
        <v>1054</v>
      </c>
      <c r="P718">
        <v>154.76400000000001</v>
      </c>
      <c r="Q718">
        <v>3</v>
      </c>
      <c r="R718">
        <v>-36.111600000000003</v>
      </c>
      <c r="S718" t="s">
        <v>45</v>
      </c>
    </row>
    <row r="719" spans="1:19" x14ac:dyDescent="0.35">
      <c r="A719" t="s">
        <v>2424</v>
      </c>
      <c r="B719" s="1">
        <v>42128</v>
      </c>
      <c r="C719" s="1">
        <v>42129</v>
      </c>
      <c r="D719" t="s">
        <v>81</v>
      </c>
      <c r="E719" t="s">
        <v>975</v>
      </c>
      <c r="F719" t="s">
        <v>976</v>
      </c>
      <c r="G719" t="s">
        <v>84</v>
      </c>
      <c r="H719" t="s">
        <v>24</v>
      </c>
      <c r="I719" t="s">
        <v>2425</v>
      </c>
      <c r="J719" t="s">
        <v>126</v>
      </c>
      <c r="K719" t="s">
        <v>87</v>
      </c>
      <c r="L719" t="s">
        <v>918</v>
      </c>
      <c r="M719" t="s">
        <v>29</v>
      </c>
      <c r="N719" t="s">
        <v>53</v>
      </c>
      <c r="O719" t="s">
        <v>308</v>
      </c>
      <c r="P719">
        <v>22.288</v>
      </c>
      <c r="Q719">
        <v>7</v>
      </c>
      <c r="R719">
        <v>-8.9152000000000005</v>
      </c>
      <c r="S719" t="s">
        <v>153</v>
      </c>
    </row>
    <row r="720" spans="1:19" x14ac:dyDescent="0.35">
      <c r="A720" t="s">
        <v>2426</v>
      </c>
      <c r="B720" s="1">
        <v>42884</v>
      </c>
      <c r="C720" s="1">
        <v>42891</v>
      </c>
      <c r="D720" t="s">
        <v>37</v>
      </c>
      <c r="E720" t="s">
        <v>1422</v>
      </c>
      <c r="F720" t="s">
        <v>1423</v>
      </c>
      <c r="G720" t="s">
        <v>23</v>
      </c>
      <c r="H720" t="s">
        <v>24</v>
      </c>
      <c r="I720" t="s">
        <v>95</v>
      </c>
      <c r="J720" t="s">
        <v>86</v>
      </c>
      <c r="K720" t="s">
        <v>87</v>
      </c>
      <c r="L720" t="s">
        <v>2427</v>
      </c>
      <c r="M720" t="s">
        <v>29</v>
      </c>
      <c r="N720" t="s">
        <v>53</v>
      </c>
      <c r="O720" t="s">
        <v>2428</v>
      </c>
      <c r="P720">
        <v>65.424000000000007</v>
      </c>
      <c r="Q720">
        <v>4</v>
      </c>
      <c r="R720">
        <v>-52.339199999999998</v>
      </c>
      <c r="S720" t="s">
        <v>153</v>
      </c>
    </row>
    <row r="721" spans="1:19" x14ac:dyDescent="0.35">
      <c r="A721" t="s">
        <v>2429</v>
      </c>
      <c r="B721" s="1">
        <v>41752</v>
      </c>
      <c r="C721" s="1">
        <v>41756</v>
      </c>
      <c r="D721" t="s">
        <v>37</v>
      </c>
      <c r="E721" t="s">
        <v>2430</v>
      </c>
      <c r="F721" t="s">
        <v>2431</v>
      </c>
      <c r="G721" t="s">
        <v>94</v>
      </c>
      <c r="H721" t="s">
        <v>24</v>
      </c>
      <c r="I721" t="s">
        <v>339</v>
      </c>
      <c r="J721" t="s">
        <v>223</v>
      </c>
      <c r="K721" t="s">
        <v>63</v>
      </c>
      <c r="L721" t="s">
        <v>321</v>
      </c>
      <c r="M721" t="s">
        <v>29</v>
      </c>
      <c r="N721" t="s">
        <v>34</v>
      </c>
      <c r="O721" t="s">
        <v>322</v>
      </c>
      <c r="P721">
        <v>281.37200000000001</v>
      </c>
      <c r="Q721">
        <v>2</v>
      </c>
      <c r="R721">
        <v>-12.0588</v>
      </c>
      <c r="S721" t="s">
        <v>107</v>
      </c>
    </row>
    <row r="722" spans="1:19" x14ac:dyDescent="0.35">
      <c r="A722" t="s">
        <v>2429</v>
      </c>
      <c r="B722" s="1">
        <v>41752</v>
      </c>
      <c r="C722" s="1">
        <v>41756</v>
      </c>
      <c r="D722" t="s">
        <v>37</v>
      </c>
      <c r="E722" t="s">
        <v>2430</v>
      </c>
      <c r="F722" t="s">
        <v>2431</v>
      </c>
      <c r="G722" t="s">
        <v>94</v>
      </c>
      <c r="H722" t="s">
        <v>24</v>
      </c>
      <c r="I722" t="s">
        <v>339</v>
      </c>
      <c r="J722" t="s">
        <v>223</v>
      </c>
      <c r="K722" t="s">
        <v>63</v>
      </c>
      <c r="L722" t="s">
        <v>321</v>
      </c>
      <c r="M722" t="s">
        <v>29</v>
      </c>
      <c r="N722" t="s">
        <v>34</v>
      </c>
      <c r="O722" t="s">
        <v>322</v>
      </c>
      <c r="P722">
        <v>281.37200000000001</v>
      </c>
      <c r="Q722">
        <v>2</v>
      </c>
      <c r="R722">
        <v>-12.0588</v>
      </c>
      <c r="S722" t="s">
        <v>107</v>
      </c>
    </row>
    <row r="723" spans="1:19" x14ac:dyDescent="0.35">
      <c r="A723" t="s">
        <v>2429</v>
      </c>
      <c r="B723" s="1">
        <v>41752</v>
      </c>
      <c r="C723" s="1">
        <v>41756</v>
      </c>
      <c r="D723" t="s">
        <v>37</v>
      </c>
      <c r="E723" t="s">
        <v>2430</v>
      </c>
      <c r="F723" t="s">
        <v>2431</v>
      </c>
      <c r="G723" t="s">
        <v>94</v>
      </c>
      <c r="H723" t="s">
        <v>24</v>
      </c>
      <c r="I723" t="s">
        <v>339</v>
      </c>
      <c r="J723" t="s">
        <v>223</v>
      </c>
      <c r="K723" t="s">
        <v>63</v>
      </c>
      <c r="L723" t="s">
        <v>968</v>
      </c>
      <c r="M723" t="s">
        <v>29</v>
      </c>
      <c r="N723" t="s">
        <v>53</v>
      </c>
      <c r="O723" t="s">
        <v>969</v>
      </c>
      <c r="P723">
        <v>22.335999999999999</v>
      </c>
      <c r="Q723">
        <v>4</v>
      </c>
      <c r="R723">
        <v>7.8175999999999997</v>
      </c>
      <c r="S723" t="s">
        <v>107</v>
      </c>
    </row>
    <row r="724" spans="1:19" x14ac:dyDescent="0.35">
      <c r="A724" t="s">
        <v>2432</v>
      </c>
      <c r="B724" s="1">
        <v>42253</v>
      </c>
      <c r="C724" s="1">
        <v>42260</v>
      </c>
      <c r="D724" t="s">
        <v>37</v>
      </c>
      <c r="E724" t="s">
        <v>873</v>
      </c>
      <c r="F724" t="s">
        <v>874</v>
      </c>
      <c r="G724" t="s">
        <v>94</v>
      </c>
      <c r="H724" t="s">
        <v>24</v>
      </c>
      <c r="I724" t="s">
        <v>165</v>
      </c>
      <c r="J724" t="s">
        <v>114</v>
      </c>
      <c r="K724" t="s">
        <v>63</v>
      </c>
      <c r="L724" t="s">
        <v>846</v>
      </c>
      <c r="M724" t="s">
        <v>29</v>
      </c>
      <c r="N724" t="s">
        <v>34</v>
      </c>
      <c r="O724" t="s">
        <v>847</v>
      </c>
      <c r="P724">
        <v>271.76400000000001</v>
      </c>
      <c r="Q724">
        <v>2</v>
      </c>
      <c r="R724">
        <v>60.392000000000003</v>
      </c>
      <c r="S724" t="s">
        <v>72</v>
      </c>
    </row>
    <row r="725" spans="1:19" x14ac:dyDescent="0.35">
      <c r="A725" t="s">
        <v>2433</v>
      </c>
      <c r="B725" s="1">
        <v>42271</v>
      </c>
      <c r="C725" s="1">
        <v>42275</v>
      </c>
      <c r="D725" t="s">
        <v>37</v>
      </c>
      <c r="E725" t="s">
        <v>2434</v>
      </c>
      <c r="F725" t="s">
        <v>2435</v>
      </c>
      <c r="G725" t="s">
        <v>94</v>
      </c>
      <c r="H725" t="s">
        <v>24</v>
      </c>
      <c r="I725" t="s">
        <v>2436</v>
      </c>
      <c r="J725" t="s">
        <v>792</v>
      </c>
      <c r="K725" t="s">
        <v>87</v>
      </c>
      <c r="L725" t="s">
        <v>1523</v>
      </c>
      <c r="M725" t="s">
        <v>29</v>
      </c>
      <c r="N725" t="s">
        <v>34</v>
      </c>
      <c r="O725" t="s">
        <v>1524</v>
      </c>
      <c r="P725">
        <v>1408.1</v>
      </c>
      <c r="Q725">
        <v>10</v>
      </c>
      <c r="R725">
        <v>394.26799999999997</v>
      </c>
      <c r="S725" t="s">
        <v>72</v>
      </c>
    </row>
    <row r="726" spans="1:19" x14ac:dyDescent="0.35">
      <c r="A726" t="s">
        <v>2437</v>
      </c>
      <c r="B726" s="1">
        <v>42919</v>
      </c>
      <c r="C726" s="1">
        <v>42922</v>
      </c>
      <c r="D726" t="s">
        <v>20</v>
      </c>
      <c r="E726" t="s">
        <v>1215</v>
      </c>
      <c r="F726" t="s">
        <v>1216</v>
      </c>
      <c r="G726" t="s">
        <v>94</v>
      </c>
      <c r="H726" t="s">
        <v>24</v>
      </c>
      <c r="I726" t="s">
        <v>806</v>
      </c>
      <c r="J726" t="s">
        <v>223</v>
      </c>
      <c r="K726" t="s">
        <v>63</v>
      </c>
      <c r="L726" t="s">
        <v>445</v>
      </c>
      <c r="M726" t="s">
        <v>29</v>
      </c>
      <c r="N726" t="s">
        <v>43</v>
      </c>
      <c r="O726" t="s">
        <v>446</v>
      </c>
      <c r="P726">
        <v>215.148</v>
      </c>
      <c r="Q726">
        <v>2</v>
      </c>
      <c r="R726">
        <v>-103.98820000000001</v>
      </c>
      <c r="S726" t="s">
        <v>66</v>
      </c>
    </row>
    <row r="727" spans="1:19" x14ac:dyDescent="0.35">
      <c r="A727" t="s">
        <v>2438</v>
      </c>
      <c r="B727" s="1">
        <v>43077</v>
      </c>
      <c r="C727" s="1">
        <v>43078</v>
      </c>
      <c r="D727" t="s">
        <v>81</v>
      </c>
      <c r="E727" t="s">
        <v>1565</v>
      </c>
      <c r="F727" t="s">
        <v>1566</v>
      </c>
      <c r="G727" t="s">
        <v>23</v>
      </c>
      <c r="H727" t="s">
        <v>24</v>
      </c>
      <c r="I727" t="s">
        <v>2439</v>
      </c>
      <c r="J727" t="s">
        <v>50</v>
      </c>
      <c r="K727" t="s">
        <v>51</v>
      </c>
      <c r="L727" t="s">
        <v>2440</v>
      </c>
      <c r="M727" t="s">
        <v>29</v>
      </c>
      <c r="N727" t="s">
        <v>53</v>
      </c>
      <c r="O727" t="s">
        <v>2441</v>
      </c>
      <c r="P727">
        <v>128.9</v>
      </c>
      <c r="Q727">
        <v>2</v>
      </c>
      <c r="R727">
        <v>15.468</v>
      </c>
      <c r="S727" t="s">
        <v>90</v>
      </c>
    </row>
    <row r="728" spans="1:19" x14ac:dyDescent="0.35">
      <c r="A728" t="s">
        <v>2442</v>
      </c>
      <c r="B728" s="1">
        <v>42274</v>
      </c>
      <c r="C728" s="1">
        <v>42276</v>
      </c>
      <c r="D728" t="s">
        <v>81</v>
      </c>
      <c r="E728" t="s">
        <v>1300</v>
      </c>
      <c r="F728" t="s">
        <v>1301</v>
      </c>
      <c r="G728" t="s">
        <v>23</v>
      </c>
      <c r="H728" t="s">
        <v>24</v>
      </c>
      <c r="I728" t="s">
        <v>125</v>
      </c>
      <c r="J728" t="s">
        <v>126</v>
      </c>
      <c r="K728" t="s">
        <v>87</v>
      </c>
      <c r="L728" t="s">
        <v>639</v>
      </c>
      <c r="M728" t="s">
        <v>29</v>
      </c>
      <c r="N728" t="s">
        <v>53</v>
      </c>
      <c r="O728" t="s">
        <v>640</v>
      </c>
      <c r="P728">
        <v>24.288</v>
      </c>
      <c r="Q728">
        <v>3</v>
      </c>
      <c r="R728">
        <v>-12.751200000000001</v>
      </c>
      <c r="S728" t="s">
        <v>72</v>
      </c>
    </row>
    <row r="729" spans="1:19" x14ac:dyDescent="0.35">
      <c r="A729" t="s">
        <v>2443</v>
      </c>
      <c r="B729" s="1">
        <v>43038</v>
      </c>
      <c r="C729" s="1">
        <v>43038</v>
      </c>
      <c r="D729" t="s">
        <v>417</v>
      </c>
      <c r="E729" t="s">
        <v>1573</v>
      </c>
      <c r="F729" t="s">
        <v>1574</v>
      </c>
      <c r="G729" t="s">
        <v>23</v>
      </c>
      <c r="H729" t="s">
        <v>24</v>
      </c>
      <c r="I729" t="s">
        <v>1730</v>
      </c>
      <c r="J729" t="s">
        <v>86</v>
      </c>
      <c r="K729" t="s">
        <v>87</v>
      </c>
      <c r="L729" t="s">
        <v>639</v>
      </c>
      <c r="M729" t="s">
        <v>29</v>
      </c>
      <c r="N729" t="s">
        <v>53</v>
      </c>
      <c r="O729" t="s">
        <v>640</v>
      </c>
      <c r="P729">
        <v>16.192</v>
      </c>
      <c r="Q729">
        <v>2</v>
      </c>
      <c r="R729">
        <v>-8.5007999999999999</v>
      </c>
      <c r="S729" t="s">
        <v>45</v>
      </c>
    </row>
    <row r="730" spans="1:19" x14ac:dyDescent="0.35">
      <c r="A730" t="s">
        <v>2443</v>
      </c>
      <c r="B730" s="1">
        <v>43038</v>
      </c>
      <c r="C730" s="1">
        <v>43038</v>
      </c>
      <c r="D730" t="s">
        <v>417</v>
      </c>
      <c r="E730" t="s">
        <v>1573</v>
      </c>
      <c r="F730" t="s">
        <v>1574</v>
      </c>
      <c r="G730" t="s">
        <v>23</v>
      </c>
      <c r="H730" t="s">
        <v>24</v>
      </c>
      <c r="I730" t="s">
        <v>1730</v>
      </c>
      <c r="J730" t="s">
        <v>86</v>
      </c>
      <c r="K730" t="s">
        <v>87</v>
      </c>
      <c r="L730" t="s">
        <v>445</v>
      </c>
      <c r="M730" t="s">
        <v>29</v>
      </c>
      <c r="N730" t="s">
        <v>43</v>
      </c>
      <c r="O730" t="s">
        <v>446</v>
      </c>
      <c r="P730">
        <v>251.006</v>
      </c>
      <c r="Q730">
        <v>2</v>
      </c>
      <c r="R730">
        <v>-68.130200000000002</v>
      </c>
      <c r="S730" t="s">
        <v>45</v>
      </c>
    </row>
    <row r="731" spans="1:19" x14ac:dyDescent="0.35">
      <c r="A731" t="s">
        <v>2444</v>
      </c>
      <c r="B731" s="1">
        <v>42994</v>
      </c>
      <c r="C731" s="1">
        <v>42996</v>
      </c>
      <c r="D731" t="s">
        <v>81</v>
      </c>
      <c r="E731" t="s">
        <v>1616</v>
      </c>
      <c r="F731" t="s">
        <v>1617</v>
      </c>
      <c r="G731" t="s">
        <v>23</v>
      </c>
      <c r="H731" t="s">
        <v>24</v>
      </c>
      <c r="I731" t="s">
        <v>61</v>
      </c>
      <c r="J731" t="s">
        <v>62</v>
      </c>
      <c r="K731" t="s">
        <v>63</v>
      </c>
      <c r="L731" t="s">
        <v>2117</v>
      </c>
      <c r="M731" t="s">
        <v>29</v>
      </c>
      <c r="N731" t="s">
        <v>53</v>
      </c>
      <c r="O731" t="s">
        <v>2118</v>
      </c>
      <c r="P731">
        <v>22.512</v>
      </c>
      <c r="Q731">
        <v>3</v>
      </c>
      <c r="R731">
        <v>2.2511999999999999</v>
      </c>
      <c r="S731" t="s">
        <v>72</v>
      </c>
    </row>
    <row r="732" spans="1:19" x14ac:dyDescent="0.35">
      <c r="A732" t="s">
        <v>2445</v>
      </c>
      <c r="B732" s="1">
        <v>42257</v>
      </c>
      <c r="C732" s="1">
        <v>42261</v>
      </c>
      <c r="D732" t="s">
        <v>37</v>
      </c>
      <c r="E732" t="s">
        <v>1589</v>
      </c>
      <c r="F732" t="s">
        <v>1590</v>
      </c>
      <c r="G732" t="s">
        <v>84</v>
      </c>
      <c r="H732" t="s">
        <v>24</v>
      </c>
      <c r="I732" t="s">
        <v>2446</v>
      </c>
      <c r="J732" t="s">
        <v>425</v>
      </c>
      <c r="K732" t="s">
        <v>63</v>
      </c>
      <c r="L732" t="s">
        <v>269</v>
      </c>
      <c r="M732" t="s">
        <v>29</v>
      </c>
      <c r="N732" t="s">
        <v>30</v>
      </c>
      <c r="O732" t="s">
        <v>270</v>
      </c>
      <c r="P732">
        <v>361.96</v>
      </c>
      <c r="Q732">
        <v>2</v>
      </c>
      <c r="R732">
        <v>83.250799999999998</v>
      </c>
      <c r="S732" t="s">
        <v>72</v>
      </c>
    </row>
    <row r="733" spans="1:19" x14ac:dyDescent="0.35">
      <c r="A733" t="s">
        <v>2447</v>
      </c>
      <c r="B733" s="1">
        <v>42718</v>
      </c>
      <c r="C733" s="1">
        <v>42723</v>
      </c>
      <c r="D733" t="s">
        <v>37</v>
      </c>
      <c r="E733" t="s">
        <v>1328</v>
      </c>
      <c r="F733" t="s">
        <v>1329</v>
      </c>
      <c r="G733" t="s">
        <v>23</v>
      </c>
      <c r="H733" t="s">
        <v>24</v>
      </c>
      <c r="I733" t="s">
        <v>468</v>
      </c>
      <c r="J733" t="s">
        <v>469</v>
      </c>
      <c r="K733" t="s">
        <v>27</v>
      </c>
      <c r="L733" t="s">
        <v>1974</v>
      </c>
      <c r="M733" t="s">
        <v>29</v>
      </c>
      <c r="N733" t="s">
        <v>53</v>
      </c>
      <c r="O733" t="s">
        <v>1975</v>
      </c>
      <c r="P733">
        <v>133.38</v>
      </c>
      <c r="Q733">
        <v>6</v>
      </c>
      <c r="R733">
        <v>58.687199999999997</v>
      </c>
      <c r="S733" t="s">
        <v>90</v>
      </c>
    </row>
    <row r="734" spans="1:19" x14ac:dyDescent="0.35">
      <c r="A734" t="s">
        <v>2448</v>
      </c>
      <c r="B734" s="1">
        <v>42705</v>
      </c>
      <c r="C734" s="1">
        <v>42709</v>
      </c>
      <c r="D734" t="s">
        <v>37</v>
      </c>
      <c r="E734" t="s">
        <v>1346</v>
      </c>
      <c r="F734" t="s">
        <v>1347</v>
      </c>
      <c r="G734" t="s">
        <v>23</v>
      </c>
      <c r="H734" t="s">
        <v>24</v>
      </c>
      <c r="I734" t="s">
        <v>320</v>
      </c>
      <c r="J734" t="s">
        <v>50</v>
      </c>
      <c r="K734" t="s">
        <v>51</v>
      </c>
      <c r="L734" t="s">
        <v>1138</v>
      </c>
      <c r="M734" t="s">
        <v>29</v>
      </c>
      <c r="N734" t="s">
        <v>53</v>
      </c>
      <c r="O734" t="s">
        <v>1139</v>
      </c>
      <c r="P734">
        <v>16.739999999999998</v>
      </c>
      <c r="Q734">
        <v>2</v>
      </c>
      <c r="R734">
        <v>4.3524000000000003</v>
      </c>
      <c r="S734" t="s">
        <v>90</v>
      </c>
    </row>
    <row r="735" spans="1:19" x14ac:dyDescent="0.35">
      <c r="A735" t="s">
        <v>2449</v>
      </c>
      <c r="B735" s="1">
        <v>42797</v>
      </c>
      <c r="C735" s="1">
        <v>42804</v>
      </c>
      <c r="D735" t="s">
        <v>37</v>
      </c>
      <c r="E735" t="s">
        <v>2054</v>
      </c>
      <c r="F735" t="s">
        <v>2055</v>
      </c>
      <c r="G735" t="s">
        <v>23</v>
      </c>
      <c r="H735" t="s">
        <v>24</v>
      </c>
      <c r="I735" t="s">
        <v>2450</v>
      </c>
      <c r="J735" t="s">
        <v>281</v>
      </c>
      <c r="K735" t="s">
        <v>87</v>
      </c>
      <c r="L735" t="s">
        <v>412</v>
      </c>
      <c r="M735" t="s">
        <v>29</v>
      </c>
      <c r="N735" t="s">
        <v>34</v>
      </c>
      <c r="O735" t="s">
        <v>413</v>
      </c>
      <c r="P735">
        <v>180.98</v>
      </c>
      <c r="Q735">
        <v>1</v>
      </c>
      <c r="R735">
        <v>47.0548</v>
      </c>
      <c r="S735" t="s">
        <v>187</v>
      </c>
    </row>
    <row r="736" spans="1:19" x14ac:dyDescent="0.35">
      <c r="A736" t="s">
        <v>2451</v>
      </c>
      <c r="B736" s="1">
        <v>42712</v>
      </c>
      <c r="C736" s="1">
        <v>42718</v>
      </c>
      <c r="D736" t="s">
        <v>37</v>
      </c>
      <c r="E736" t="s">
        <v>1102</v>
      </c>
      <c r="F736" t="s">
        <v>1103</v>
      </c>
      <c r="G736" t="s">
        <v>84</v>
      </c>
      <c r="H736" t="s">
        <v>24</v>
      </c>
      <c r="I736" t="s">
        <v>320</v>
      </c>
      <c r="J736" t="s">
        <v>50</v>
      </c>
      <c r="K736" t="s">
        <v>51</v>
      </c>
      <c r="L736" t="s">
        <v>1662</v>
      </c>
      <c r="M736" t="s">
        <v>29</v>
      </c>
      <c r="N736" t="s">
        <v>43</v>
      </c>
      <c r="O736" t="s">
        <v>1663</v>
      </c>
      <c r="P736">
        <v>1421.664</v>
      </c>
      <c r="Q736">
        <v>6</v>
      </c>
      <c r="R736">
        <v>-195.47880000000001</v>
      </c>
      <c r="S736" t="s">
        <v>90</v>
      </c>
    </row>
    <row r="737" spans="1:19" x14ac:dyDescent="0.35">
      <c r="A737" t="s">
        <v>2452</v>
      </c>
      <c r="B737" s="1">
        <v>41736</v>
      </c>
      <c r="C737" s="1">
        <v>41739</v>
      </c>
      <c r="D737" t="s">
        <v>81</v>
      </c>
      <c r="E737" t="s">
        <v>838</v>
      </c>
      <c r="F737" t="s">
        <v>839</v>
      </c>
      <c r="G737" t="s">
        <v>23</v>
      </c>
      <c r="H737" t="s">
        <v>24</v>
      </c>
      <c r="I737" t="s">
        <v>2453</v>
      </c>
      <c r="J737" t="s">
        <v>1267</v>
      </c>
      <c r="K737" t="s">
        <v>27</v>
      </c>
      <c r="L737" t="s">
        <v>1399</v>
      </c>
      <c r="M737" t="s">
        <v>29</v>
      </c>
      <c r="N737" t="s">
        <v>53</v>
      </c>
      <c r="O737" t="s">
        <v>1400</v>
      </c>
      <c r="P737">
        <v>8.9600000000000009</v>
      </c>
      <c r="Q737">
        <v>2</v>
      </c>
      <c r="R737">
        <v>2.7776000000000001</v>
      </c>
      <c r="S737" t="s">
        <v>107</v>
      </c>
    </row>
    <row r="738" spans="1:19" x14ac:dyDescent="0.35">
      <c r="A738" t="s">
        <v>2454</v>
      </c>
      <c r="B738" s="1">
        <v>41878</v>
      </c>
      <c r="C738" s="1">
        <v>41880</v>
      </c>
      <c r="D738" t="s">
        <v>81</v>
      </c>
      <c r="E738" t="s">
        <v>2455</v>
      </c>
      <c r="F738" t="s">
        <v>2456</v>
      </c>
      <c r="G738" t="s">
        <v>84</v>
      </c>
      <c r="H738" t="s">
        <v>24</v>
      </c>
      <c r="I738" t="s">
        <v>869</v>
      </c>
      <c r="J738" t="s">
        <v>707</v>
      </c>
      <c r="K738" t="s">
        <v>27</v>
      </c>
      <c r="L738" t="s">
        <v>1339</v>
      </c>
      <c r="M738" t="s">
        <v>29</v>
      </c>
      <c r="N738" t="s">
        <v>53</v>
      </c>
      <c r="O738" t="s">
        <v>1340</v>
      </c>
      <c r="P738">
        <v>29.12</v>
      </c>
      <c r="Q738">
        <v>4</v>
      </c>
      <c r="R738">
        <v>12.521599999999999</v>
      </c>
      <c r="S738" t="s">
        <v>245</v>
      </c>
    </row>
    <row r="739" spans="1:19" x14ac:dyDescent="0.35">
      <c r="A739" t="s">
        <v>2454</v>
      </c>
      <c r="B739" s="1">
        <v>41878</v>
      </c>
      <c r="C739" s="1">
        <v>41880</v>
      </c>
      <c r="D739" t="s">
        <v>81</v>
      </c>
      <c r="E739" t="s">
        <v>2455</v>
      </c>
      <c r="F739" t="s">
        <v>2456</v>
      </c>
      <c r="G739" t="s">
        <v>84</v>
      </c>
      <c r="H739" t="s">
        <v>24</v>
      </c>
      <c r="I739" t="s">
        <v>869</v>
      </c>
      <c r="J739" t="s">
        <v>707</v>
      </c>
      <c r="K739" t="s">
        <v>27</v>
      </c>
      <c r="L739" t="s">
        <v>1982</v>
      </c>
      <c r="M739" t="s">
        <v>29</v>
      </c>
      <c r="N739" t="s">
        <v>43</v>
      </c>
      <c r="O739" t="s">
        <v>1983</v>
      </c>
      <c r="P739">
        <v>1202.94</v>
      </c>
      <c r="Q739">
        <v>3</v>
      </c>
      <c r="R739">
        <v>300.73500000000001</v>
      </c>
      <c r="S739" t="s">
        <v>245</v>
      </c>
    </row>
    <row r="740" spans="1:19" x14ac:dyDescent="0.35">
      <c r="A740" t="s">
        <v>2457</v>
      </c>
      <c r="B740" s="1">
        <v>42187</v>
      </c>
      <c r="C740" s="1">
        <v>42191</v>
      </c>
      <c r="D740" t="s">
        <v>37</v>
      </c>
      <c r="E740" t="s">
        <v>2458</v>
      </c>
      <c r="F740" t="s">
        <v>2459</v>
      </c>
      <c r="G740" t="s">
        <v>23</v>
      </c>
      <c r="H740" t="s">
        <v>24</v>
      </c>
      <c r="I740" t="s">
        <v>2460</v>
      </c>
      <c r="J740" t="s">
        <v>126</v>
      </c>
      <c r="K740" t="s">
        <v>87</v>
      </c>
      <c r="L740" t="s">
        <v>373</v>
      </c>
      <c r="M740" t="s">
        <v>29</v>
      </c>
      <c r="N740" t="s">
        <v>34</v>
      </c>
      <c r="O740" t="s">
        <v>374</v>
      </c>
      <c r="P740">
        <v>408.42200000000003</v>
      </c>
      <c r="Q740">
        <v>2</v>
      </c>
      <c r="R740">
        <v>-5.8346</v>
      </c>
      <c r="S740" t="s">
        <v>66</v>
      </c>
    </row>
    <row r="741" spans="1:19" x14ac:dyDescent="0.35">
      <c r="A741" t="s">
        <v>2457</v>
      </c>
      <c r="B741" s="1">
        <v>42187</v>
      </c>
      <c r="C741" s="1">
        <v>42191</v>
      </c>
      <c r="D741" t="s">
        <v>37</v>
      </c>
      <c r="E741" t="s">
        <v>2458</v>
      </c>
      <c r="F741" t="s">
        <v>2459</v>
      </c>
      <c r="G741" t="s">
        <v>23</v>
      </c>
      <c r="H741" t="s">
        <v>24</v>
      </c>
      <c r="I741" t="s">
        <v>2460</v>
      </c>
      <c r="J741" t="s">
        <v>126</v>
      </c>
      <c r="K741" t="s">
        <v>87</v>
      </c>
      <c r="L741" t="s">
        <v>1608</v>
      </c>
      <c r="M741" t="s">
        <v>29</v>
      </c>
      <c r="N741" t="s">
        <v>34</v>
      </c>
      <c r="O741" t="s">
        <v>1609</v>
      </c>
      <c r="P741">
        <v>382.11599999999999</v>
      </c>
      <c r="Q741">
        <v>6</v>
      </c>
      <c r="R741">
        <v>-92.799599999999998</v>
      </c>
      <c r="S741" t="s">
        <v>66</v>
      </c>
    </row>
    <row r="742" spans="1:19" x14ac:dyDescent="0.35">
      <c r="A742" t="s">
        <v>2461</v>
      </c>
      <c r="B742" s="1">
        <v>43002</v>
      </c>
      <c r="C742" s="1">
        <v>43006</v>
      </c>
      <c r="D742" t="s">
        <v>37</v>
      </c>
      <c r="E742" t="s">
        <v>569</v>
      </c>
      <c r="F742" t="s">
        <v>570</v>
      </c>
      <c r="G742" t="s">
        <v>84</v>
      </c>
      <c r="H742" t="s">
        <v>24</v>
      </c>
      <c r="I742" t="s">
        <v>2462</v>
      </c>
      <c r="J742" t="s">
        <v>158</v>
      </c>
      <c r="K742" t="s">
        <v>87</v>
      </c>
      <c r="L742" t="s">
        <v>846</v>
      </c>
      <c r="M742" t="s">
        <v>29</v>
      </c>
      <c r="N742" t="s">
        <v>34</v>
      </c>
      <c r="O742" t="s">
        <v>847</v>
      </c>
      <c r="P742">
        <v>603.91999999999996</v>
      </c>
      <c r="Q742">
        <v>4</v>
      </c>
      <c r="R742">
        <v>181.17599999999999</v>
      </c>
      <c r="S742" t="s">
        <v>72</v>
      </c>
    </row>
    <row r="743" spans="1:19" x14ac:dyDescent="0.35">
      <c r="A743" t="s">
        <v>2463</v>
      </c>
      <c r="B743" s="1">
        <v>42590</v>
      </c>
      <c r="C743" s="1">
        <v>42597</v>
      </c>
      <c r="D743" t="s">
        <v>37</v>
      </c>
      <c r="E743" t="s">
        <v>2464</v>
      </c>
      <c r="F743" t="s">
        <v>2465</v>
      </c>
      <c r="G743" t="s">
        <v>94</v>
      </c>
      <c r="H743" t="s">
        <v>24</v>
      </c>
      <c r="I743" t="s">
        <v>49</v>
      </c>
      <c r="J743" t="s">
        <v>50</v>
      </c>
      <c r="K743" t="s">
        <v>51</v>
      </c>
      <c r="L743" t="s">
        <v>1068</v>
      </c>
      <c r="M743" t="s">
        <v>29</v>
      </c>
      <c r="N743" t="s">
        <v>43</v>
      </c>
      <c r="O743" t="s">
        <v>1069</v>
      </c>
      <c r="P743">
        <v>513.024</v>
      </c>
      <c r="Q743">
        <v>2</v>
      </c>
      <c r="R743">
        <v>12.8256</v>
      </c>
      <c r="S743" t="s">
        <v>245</v>
      </c>
    </row>
    <row r="744" spans="1:19" x14ac:dyDescent="0.35">
      <c r="A744" t="s">
        <v>2466</v>
      </c>
      <c r="B744" s="1">
        <v>41810</v>
      </c>
      <c r="C744" s="1">
        <v>41814</v>
      </c>
      <c r="D744" t="s">
        <v>37</v>
      </c>
      <c r="E744" t="s">
        <v>2467</v>
      </c>
      <c r="F744" t="s">
        <v>2468</v>
      </c>
      <c r="G744" t="s">
        <v>23</v>
      </c>
      <c r="H744" t="s">
        <v>24</v>
      </c>
      <c r="I744" t="s">
        <v>2469</v>
      </c>
      <c r="J744" t="s">
        <v>86</v>
      </c>
      <c r="K744" t="s">
        <v>87</v>
      </c>
      <c r="L744" t="s">
        <v>2470</v>
      </c>
      <c r="M744" t="s">
        <v>29</v>
      </c>
      <c r="N744" t="s">
        <v>30</v>
      </c>
      <c r="O744" t="s">
        <v>2471</v>
      </c>
      <c r="P744">
        <v>193.06559999999999</v>
      </c>
      <c r="Q744">
        <v>4</v>
      </c>
      <c r="R744">
        <v>-19.874400000000001</v>
      </c>
      <c r="S744" t="s">
        <v>55</v>
      </c>
    </row>
    <row r="745" spans="1:19" x14ac:dyDescent="0.35">
      <c r="A745" t="s">
        <v>2472</v>
      </c>
      <c r="B745" s="1">
        <v>42982</v>
      </c>
      <c r="C745" s="1">
        <v>42984</v>
      </c>
      <c r="D745" t="s">
        <v>81</v>
      </c>
      <c r="E745" t="s">
        <v>819</v>
      </c>
      <c r="F745" t="s">
        <v>820</v>
      </c>
      <c r="G745" t="s">
        <v>84</v>
      </c>
      <c r="H745" t="s">
        <v>24</v>
      </c>
      <c r="I745" t="s">
        <v>125</v>
      </c>
      <c r="J745" t="s">
        <v>126</v>
      </c>
      <c r="K745" t="s">
        <v>87</v>
      </c>
      <c r="L745" t="s">
        <v>2473</v>
      </c>
      <c r="M745" t="s">
        <v>29</v>
      </c>
      <c r="N745" t="s">
        <v>30</v>
      </c>
      <c r="O745" t="s">
        <v>2474</v>
      </c>
      <c r="P745">
        <v>825.17399999999998</v>
      </c>
      <c r="Q745">
        <v>9</v>
      </c>
      <c r="R745">
        <v>-117.88200000000001</v>
      </c>
      <c r="S745" t="s">
        <v>72</v>
      </c>
    </row>
    <row r="746" spans="1:19" x14ac:dyDescent="0.35">
      <c r="A746" t="s">
        <v>2475</v>
      </c>
      <c r="B746" s="1">
        <v>42177</v>
      </c>
      <c r="C746" s="1">
        <v>42180</v>
      </c>
      <c r="D746" t="s">
        <v>81</v>
      </c>
      <c r="E746" t="s">
        <v>2476</v>
      </c>
      <c r="F746" t="s">
        <v>2477</v>
      </c>
      <c r="G746" t="s">
        <v>94</v>
      </c>
      <c r="H746" t="s">
        <v>24</v>
      </c>
      <c r="I746" t="s">
        <v>171</v>
      </c>
      <c r="J746" t="s">
        <v>126</v>
      </c>
      <c r="K746" t="s">
        <v>87</v>
      </c>
      <c r="L746" t="s">
        <v>1874</v>
      </c>
      <c r="M746" t="s">
        <v>29</v>
      </c>
      <c r="N746" t="s">
        <v>43</v>
      </c>
      <c r="O746" t="s">
        <v>1875</v>
      </c>
      <c r="P746">
        <v>796.42499999999995</v>
      </c>
      <c r="Q746">
        <v>7</v>
      </c>
      <c r="R746">
        <v>-525.64049999999997</v>
      </c>
      <c r="S746" t="s">
        <v>55</v>
      </c>
    </row>
    <row r="747" spans="1:19" x14ac:dyDescent="0.35">
      <c r="A747" t="s">
        <v>2478</v>
      </c>
      <c r="B747" s="1">
        <v>42631</v>
      </c>
      <c r="C747" s="1">
        <v>42633</v>
      </c>
      <c r="D747" t="s">
        <v>81</v>
      </c>
      <c r="E747" t="s">
        <v>730</v>
      </c>
      <c r="F747" t="s">
        <v>731</v>
      </c>
      <c r="G747" t="s">
        <v>23</v>
      </c>
      <c r="H747" t="s">
        <v>24</v>
      </c>
      <c r="I747" t="s">
        <v>339</v>
      </c>
      <c r="J747" t="s">
        <v>223</v>
      </c>
      <c r="K747" t="s">
        <v>63</v>
      </c>
      <c r="L747" t="s">
        <v>1903</v>
      </c>
      <c r="M747" t="s">
        <v>29</v>
      </c>
      <c r="N747" t="s">
        <v>53</v>
      </c>
      <c r="O747" t="s">
        <v>1904</v>
      </c>
      <c r="P747">
        <v>5.3520000000000003</v>
      </c>
      <c r="Q747">
        <v>3</v>
      </c>
      <c r="R747">
        <v>1.6055999999999999</v>
      </c>
      <c r="S747" t="s">
        <v>72</v>
      </c>
    </row>
    <row r="748" spans="1:19" x14ac:dyDescent="0.35">
      <c r="A748" t="s">
        <v>2478</v>
      </c>
      <c r="B748" s="1">
        <v>42631</v>
      </c>
      <c r="C748" s="1">
        <v>42633</v>
      </c>
      <c r="D748" t="s">
        <v>81</v>
      </c>
      <c r="E748" t="s">
        <v>730</v>
      </c>
      <c r="F748" t="s">
        <v>731</v>
      </c>
      <c r="G748" t="s">
        <v>23</v>
      </c>
      <c r="H748" t="s">
        <v>24</v>
      </c>
      <c r="I748" t="s">
        <v>339</v>
      </c>
      <c r="J748" t="s">
        <v>223</v>
      </c>
      <c r="K748" t="s">
        <v>63</v>
      </c>
      <c r="L748" t="s">
        <v>581</v>
      </c>
      <c r="M748" t="s">
        <v>29</v>
      </c>
      <c r="N748" t="s">
        <v>34</v>
      </c>
      <c r="O748" t="s">
        <v>582</v>
      </c>
      <c r="P748">
        <v>99.372</v>
      </c>
      <c r="Q748">
        <v>2</v>
      </c>
      <c r="R748">
        <v>-7.0979999999999999</v>
      </c>
      <c r="S748" t="s">
        <v>72</v>
      </c>
    </row>
    <row r="749" spans="1:19" x14ac:dyDescent="0.35">
      <c r="A749" t="s">
        <v>2479</v>
      </c>
      <c r="B749" s="1">
        <v>43038</v>
      </c>
      <c r="C749" s="1">
        <v>43040</v>
      </c>
      <c r="D749" t="s">
        <v>81</v>
      </c>
      <c r="E749" t="s">
        <v>2480</v>
      </c>
      <c r="F749" t="s">
        <v>2481</v>
      </c>
      <c r="G749" t="s">
        <v>94</v>
      </c>
      <c r="H749" t="s">
        <v>24</v>
      </c>
      <c r="I749" t="s">
        <v>626</v>
      </c>
      <c r="J749" t="s">
        <v>26</v>
      </c>
      <c r="K749" t="s">
        <v>27</v>
      </c>
      <c r="L749" t="s">
        <v>1756</v>
      </c>
      <c r="M749" t="s">
        <v>29</v>
      </c>
      <c r="N749" t="s">
        <v>34</v>
      </c>
      <c r="O749" t="s">
        <v>1757</v>
      </c>
      <c r="P749">
        <v>33.94</v>
      </c>
      <c r="Q749">
        <v>1</v>
      </c>
      <c r="R749">
        <v>9.1638000000000002</v>
      </c>
      <c r="S749" t="s">
        <v>45</v>
      </c>
    </row>
    <row r="750" spans="1:19" x14ac:dyDescent="0.35">
      <c r="A750" t="s">
        <v>2482</v>
      </c>
      <c r="B750" s="1">
        <v>42458</v>
      </c>
      <c r="C750" s="1">
        <v>42462</v>
      </c>
      <c r="D750" t="s">
        <v>20</v>
      </c>
      <c r="E750" t="s">
        <v>1273</v>
      </c>
      <c r="F750" t="s">
        <v>1274</v>
      </c>
      <c r="G750" t="s">
        <v>94</v>
      </c>
      <c r="H750" t="s">
        <v>24</v>
      </c>
      <c r="I750" t="s">
        <v>125</v>
      </c>
      <c r="J750" t="s">
        <v>126</v>
      </c>
      <c r="K750" t="s">
        <v>87</v>
      </c>
      <c r="L750" t="s">
        <v>321</v>
      </c>
      <c r="M750" t="s">
        <v>29</v>
      </c>
      <c r="N750" t="s">
        <v>34</v>
      </c>
      <c r="O750" t="s">
        <v>322</v>
      </c>
      <c r="P750">
        <v>844.11599999999999</v>
      </c>
      <c r="Q750">
        <v>6</v>
      </c>
      <c r="R750">
        <v>-36.176400000000001</v>
      </c>
      <c r="S750" t="s">
        <v>187</v>
      </c>
    </row>
    <row r="751" spans="1:19" x14ac:dyDescent="0.35">
      <c r="A751" t="s">
        <v>2483</v>
      </c>
      <c r="B751" s="1">
        <v>42622</v>
      </c>
      <c r="C751" s="1">
        <v>42627</v>
      </c>
      <c r="D751" t="s">
        <v>20</v>
      </c>
      <c r="E751" t="s">
        <v>2292</v>
      </c>
      <c r="F751" t="s">
        <v>2293</v>
      </c>
      <c r="G751" t="s">
        <v>94</v>
      </c>
      <c r="H751" t="s">
        <v>24</v>
      </c>
      <c r="I751" t="s">
        <v>1730</v>
      </c>
      <c r="J751" t="s">
        <v>86</v>
      </c>
      <c r="K751" t="s">
        <v>87</v>
      </c>
      <c r="L751" t="s">
        <v>2117</v>
      </c>
      <c r="M751" t="s">
        <v>29</v>
      </c>
      <c r="N751" t="s">
        <v>53</v>
      </c>
      <c r="O751" t="s">
        <v>2118</v>
      </c>
      <c r="P751">
        <v>15.007999999999999</v>
      </c>
      <c r="Q751">
        <v>4</v>
      </c>
      <c r="R751">
        <v>-12.006399999999999</v>
      </c>
      <c r="S751" t="s">
        <v>72</v>
      </c>
    </row>
    <row r="752" spans="1:19" x14ac:dyDescent="0.35">
      <c r="A752" t="s">
        <v>2484</v>
      </c>
      <c r="B752" s="1">
        <v>42576</v>
      </c>
      <c r="C752" s="1">
        <v>42580</v>
      </c>
      <c r="D752" t="s">
        <v>37</v>
      </c>
      <c r="E752" t="s">
        <v>2485</v>
      </c>
      <c r="F752" t="s">
        <v>2486</v>
      </c>
      <c r="G752" t="s">
        <v>23</v>
      </c>
      <c r="H752" t="s">
        <v>24</v>
      </c>
      <c r="I752" t="s">
        <v>468</v>
      </c>
      <c r="J752" t="s">
        <v>469</v>
      </c>
      <c r="K752" t="s">
        <v>27</v>
      </c>
      <c r="L752" t="s">
        <v>426</v>
      </c>
      <c r="M752" t="s">
        <v>29</v>
      </c>
      <c r="N752" t="s">
        <v>43</v>
      </c>
      <c r="O752" t="s">
        <v>427</v>
      </c>
      <c r="P752">
        <v>2430.08</v>
      </c>
      <c r="Q752">
        <v>8</v>
      </c>
      <c r="R752">
        <v>388.81279999999998</v>
      </c>
      <c r="S752" t="s">
        <v>66</v>
      </c>
    </row>
    <row r="753" spans="1:19" x14ac:dyDescent="0.35">
      <c r="A753" t="s">
        <v>2487</v>
      </c>
      <c r="B753" s="1">
        <v>42348</v>
      </c>
      <c r="C753" s="1">
        <v>42354</v>
      </c>
      <c r="D753" t="s">
        <v>37</v>
      </c>
      <c r="E753" t="s">
        <v>2488</v>
      </c>
      <c r="F753" t="s">
        <v>2489</v>
      </c>
      <c r="G753" t="s">
        <v>84</v>
      </c>
      <c r="H753" t="s">
        <v>24</v>
      </c>
      <c r="I753" t="s">
        <v>468</v>
      </c>
      <c r="J753" t="s">
        <v>281</v>
      </c>
      <c r="K753" t="s">
        <v>87</v>
      </c>
      <c r="L753" t="s">
        <v>1982</v>
      </c>
      <c r="M753" t="s">
        <v>29</v>
      </c>
      <c r="N753" t="s">
        <v>43</v>
      </c>
      <c r="O753" t="s">
        <v>1983</v>
      </c>
      <c r="P753">
        <v>801.96</v>
      </c>
      <c r="Q753">
        <v>2</v>
      </c>
      <c r="R753">
        <v>200.49</v>
      </c>
      <c r="S753" t="s">
        <v>90</v>
      </c>
    </row>
    <row r="754" spans="1:19" x14ac:dyDescent="0.35">
      <c r="A754" t="s">
        <v>2487</v>
      </c>
      <c r="B754" s="1">
        <v>42348</v>
      </c>
      <c r="C754" s="1">
        <v>42354</v>
      </c>
      <c r="D754" t="s">
        <v>37</v>
      </c>
      <c r="E754" t="s">
        <v>2488</v>
      </c>
      <c r="F754" t="s">
        <v>2489</v>
      </c>
      <c r="G754" t="s">
        <v>84</v>
      </c>
      <c r="H754" t="s">
        <v>24</v>
      </c>
      <c r="I754" t="s">
        <v>468</v>
      </c>
      <c r="J754" t="s">
        <v>281</v>
      </c>
      <c r="K754" t="s">
        <v>87</v>
      </c>
      <c r="L754" t="s">
        <v>1270</v>
      </c>
      <c r="M754" t="s">
        <v>29</v>
      </c>
      <c r="N754" t="s">
        <v>34</v>
      </c>
      <c r="O754" t="s">
        <v>1271</v>
      </c>
      <c r="P754">
        <v>191.96</v>
      </c>
      <c r="Q754">
        <v>2</v>
      </c>
      <c r="R754">
        <v>32.633200000000002</v>
      </c>
      <c r="S754" t="s">
        <v>90</v>
      </c>
    </row>
    <row r="755" spans="1:19" x14ac:dyDescent="0.35">
      <c r="A755" t="s">
        <v>2490</v>
      </c>
      <c r="B755" s="1">
        <v>41891</v>
      </c>
      <c r="C755" s="1">
        <v>41896</v>
      </c>
      <c r="D755" t="s">
        <v>20</v>
      </c>
      <c r="E755" t="s">
        <v>1161</v>
      </c>
      <c r="F755" t="s">
        <v>1162</v>
      </c>
      <c r="G755" t="s">
        <v>23</v>
      </c>
      <c r="H755" t="s">
        <v>24</v>
      </c>
      <c r="I755" t="s">
        <v>61</v>
      </c>
      <c r="J755" t="s">
        <v>62</v>
      </c>
      <c r="K755" t="s">
        <v>63</v>
      </c>
      <c r="L755" t="s">
        <v>1339</v>
      </c>
      <c r="M755" t="s">
        <v>29</v>
      </c>
      <c r="N755" t="s">
        <v>53</v>
      </c>
      <c r="O755" t="s">
        <v>1340</v>
      </c>
      <c r="P755">
        <v>17.472000000000001</v>
      </c>
      <c r="Q755">
        <v>3</v>
      </c>
      <c r="R755">
        <v>5.0232000000000001</v>
      </c>
      <c r="S755" t="s">
        <v>72</v>
      </c>
    </row>
    <row r="756" spans="1:19" x14ac:dyDescent="0.35">
      <c r="A756" t="s">
        <v>2491</v>
      </c>
      <c r="B756" s="1">
        <v>41960</v>
      </c>
      <c r="C756" s="1">
        <v>41967</v>
      </c>
      <c r="D756" t="s">
        <v>37</v>
      </c>
      <c r="E756" t="s">
        <v>2492</v>
      </c>
      <c r="F756" t="s">
        <v>2493</v>
      </c>
      <c r="G756" t="s">
        <v>23</v>
      </c>
      <c r="H756" t="s">
        <v>24</v>
      </c>
      <c r="I756" t="s">
        <v>61</v>
      </c>
      <c r="J756" t="s">
        <v>62</v>
      </c>
      <c r="K756" t="s">
        <v>63</v>
      </c>
      <c r="L756" t="s">
        <v>616</v>
      </c>
      <c r="M756" t="s">
        <v>29</v>
      </c>
      <c r="N756" t="s">
        <v>34</v>
      </c>
      <c r="O756" t="s">
        <v>617</v>
      </c>
      <c r="P756">
        <v>657.93</v>
      </c>
      <c r="Q756">
        <v>5</v>
      </c>
      <c r="R756">
        <v>-93.99</v>
      </c>
      <c r="S756" t="s">
        <v>32</v>
      </c>
    </row>
    <row r="757" spans="1:19" x14ac:dyDescent="0.35">
      <c r="A757" t="s">
        <v>2494</v>
      </c>
      <c r="B757" s="1">
        <v>42968</v>
      </c>
      <c r="C757" s="1">
        <v>42974</v>
      </c>
      <c r="D757" t="s">
        <v>37</v>
      </c>
      <c r="E757" t="s">
        <v>2378</v>
      </c>
      <c r="F757" t="s">
        <v>2379</v>
      </c>
      <c r="G757" t="s">
        <v>94</v>
      </c>
      <c r="H757" t="s">
        <v>24</v>
      </c>
      <c r="I757" t="s">
        <v>149</v>
      </c>
      <c r="J757" t="s">
        <v>1080</v>
      </c>
      <c r="K757" t="s">
        <v>63</v>
      </c>
      <c r="L757" t="s">
        <v>1259</v>
      </c>
      <c r="M757" t="s">
        <v>29</v>
      </c>
      <c r="N757" t="s">
        <v>53</v>
      </c>
      <c r="O757" t="s">
        <v>1260</v>
      </c>
      <c r="P757">
        <v>25.16</v>
      </c>
      <c r="Q757">
        <v>2</v>
      </c>
      <c r="R757">
        <v>8.5543999999999993</v>
      </c>
      <c r="S757" t="s">
        <v>245</v>
      </c>
    </row>
    <row r="758" spans="1:19" x14ac:dyDescent="0.35">
      <c r="A758" t="s">
        <v>2494</v>
      </c>
      <c r="B758" s="1">
        <v>42968</v>
      </c>
      <c r="C758" s="1">
        <v>42974</v>
      </c>
      <c r="D758" t="s">
        <v>37</v>
      </c>
      <c r="E758" t="s">
        <v>2378</v>
      </c>
      <c r="F758" t="s">
        <v>2379</v>
      </c>
      <c r="G758" t="s">
        <v>94</v>
      </c>
      <c r="H758" t="s">
        <v>24</v>
      </c>
      <c r="I758" t="s">
        <v>149</v>
      </c>
      <c r="J758" t="s">
        <v>1080</v>
      </c>
      <c r="K758" t="s">
        <v>63</v>
      </c>
      <c r="L758" t="s">
        <v>1183</v>
      </c>
      <c r="M758" t="s">
        <v>29</v>
      </c>
      <c r="N758" t="s">
        <v>53</v>
      </c>
      <c r="O758" t="s">
        <v>1184</v>
      </c>
      <c r="P758">
        <v>91.92</v>
      </c>
      <c r="Q758">
        <v>4</v>
      </c>
      <c r="R758">
        <v>31.252800000000001</v>
      </c>
      <c r="S758" t="s">
        <v>245</v>
      </c>
    </row>
    <row r="759" spans="1:19" x14ac:dyDescent="0.35">
      <c r="A759" t="s">
        <v>2495</v>
      </c>
      <c r="B759" s="1">
        <v>43058</v>
      </c>
      <c r="C759" s="1">
        <v>43060</v>
      </c>
      <c r="D759" t="s">
        <v>81</v>
      </c>
      <c r="E759" t="s">
        <v>2064</v>
      </c>
      <c r="F759" t="s">
        <v>2065</v>
      </c>
      <c r="G759" t="s">
        <v>84</v>
      </c>
      <c r="H759" t="s">
        <v>24</v>
      </c>
      <c r="I759" t="s">
        <v>237</v>
      </c>
      <c r="J759" t="s">
        <v>86</v>
      </c>
      <c r="K759" t="s">
        <v>87</v>
      </c>
      <c r="L759" t="s">
        <v>1245</v>
      </c>
      <c r="M759" t="s">
        <v>29</v>
      </c>
      <c r="N759" t="s">
        <v>43</v>
      </c>
      <c r="O759" t="s">
        <v>1246</v>
      </c>
      <c r="P759">
        <v>718.11599999999999</v>
      </c>
      <c r="Q759">
        <v>6</v>
      </c>
      <c r="R759">
        <v>-71.811599999999999</v>
      </c>
      <c r="S759" t="s">
        <v>32</v>
      </c>
    </row>
    <row r="760" spans="1:19" x14ac:dyDescent="0.35">
      <c r="A760" t="s">
        <v>2496</v>
      </c>
      <c r="B760" s="1">
        <v>41896</v>
      </c>
      <c r="C760" s="1">
        <v>41901</v>
      </c>
      <c r="D760" t="s">
        <v>37</v>
      </c>
      <c r="E760" t="s">
        <v>2497</v>
      </c>
      <c r="F760" t="s">
        <v>2498</v>
      </c>
      <c r="G760" t="s">
        <v>23</v>
      </c>
      <c r="H760" t="s">
        <v>24</v>
      </c>
      <c r="I760" t="s">
        <v>2499</v>
      </c>
      <c r="J760" t="s">
        <v>658</v>
      </c>
      <c r="K760" t="s">
        <v>27</v>
      </c>
      <c r="L760" t="s">
        <v>1509</v>
      </c>
      <c r="M760" t="s">
        <v>29</v>
      </c>
      <c r="N760" t="s">
        <v>53</v>
      </c>
      <c r="O760" t="s">
        <v>1510</v>
      </c>
      <c r="P760">
        <v>142.4</v>
      </c>
      <c r="Q760">
        <v>5</v>
      </c>
      <c r="R760">
        <v>52.688000000000002</v>
      </c>
      <c r="S760" t="s">
        <v>72</v>
      </c>
    </row>
    <row r="761" spans="1:19" x14ac:dyDescent="0.35">
      <c r="A761" t="s">
        <v>2500</v>
      </c>
      <c r="B761" s="1">
        <v>42874</v>
      </c>
      <c r="C761" s="1">
        <v>42876</v>
      </c>
      <c r="D761" t="s">
        <v>20</v>
      </c>
      <c r="E761" t="s">
        <v>1811</v>
      </c>
      <c r="F761" t="s">
        <v>1812</v>
      </c>
      <c r="G761" t="s">
        <v>94</v>
      </c>
      <c r="H761" t="s">
        <v>24</v>
      </c>
      <c r="I761" t="s">
        <v>320</v>
      </c>
      <c r="J761" t="s">
        <v>50</v>
      </c>
      <c r="K761" t="s">
        <v>51</v>
      </c>
      <c r="L761" t="s">
        <v>581</v>
      </c>
      <c r="M761" t="s">
        <v>29</v>
      </c>
      <c r="N761" t="s">
        <v>34</v>
      </c>
      <c r="O761" t="s">
        <v>582</v>
      </c>
      <c r="P761">
        <v>681.40800000000002</v>
      </c>
      <c r="Q761">
        <v>12</v>
      </c>
      <c r="R761">
        <v>42.588000000000001</v>
      </c>
      <c r="S761" t="s">
        <v>153</v>
      </c>
    </row>
    <row r="762" spans="1:19" x14ac:dyDescent="0.35">
      <c r="A762" t="s">
        <v>2501</v>
      </c>
      <c r="B762" s="1">
        <v>42684</v>
      </c>
      <c r="C762" s="1">
        <v>42688</v>
      </c>
      <c r="D762" t="s">
        <v>37</v>
      </c>
      <c r="E762" t="s">
        <v>1231</v>
      </c>
      <c r="F762" t="s">
        <v>1232</v>
      </c>
      <c r="G762" t="s">
        <v>94</v>
      </c>
      <c r="H762" t="s">
        <v>24</v>
      </c>
      <c r="I762" t="s">
        <v>869</v>
      </c>
      <c r="J762" t="s">
        <v>223</v>
      </c>
      <c r="K762" t="s">
        <v>63</v>
      </c>
      <c r="L762" t="s">
        <v>1412</v>
      </c>
      <c r="M762" t="s">
        <v>29</v>
      </c>
      <c r="N762" t="s">
        <v>53</v>
      </c>
      <c r="O762" t="s">
        <v>1413</v>
      </c>
      <c r="P762">
        <v>148.28800000000001</v>
      </c>
      <c r="Q762">
        <v>7</v>
      </c>
      <c r="R762">
        <v>29.657599999999999</v>
      </c>
      <c r="S762" t="s">
        <v>32</v>
      </c>
    </row>
    <row r="763" spans="1:19" x14ac:dyDescent="0.35">
      <c r="A763" t="s">
        <v>2502</v>
      </c>
      <c r="B763" s="1">
        <v>42075</v>
      </c>
      <c r="C763" s="1">
        <v>42080</v>
      </c>
      <c r="D763" t="s">
        <v>37</v>
      </c>
      <c r="E763" t="s">
        <v>2372</v>
      </c>
      <c r="F763" t="s">
        <v>2373</v>
      </c>
      <c r="G763" t="s">
        <v>84</v>
      </c>
      <c r="H763" t="s">
        <v>24</v>
      </c>
      <c r="I763" t="s">
        <v>2503</v>
      </c>
      <c r="J763" t="s">
        <v>41</v>
      </c>
      <c r="K763" t="s">
        <v>27</v>
      </c>
      <c r="L763" t="s">
        <v>144</v>
      </c>
      <c r="M763" t="s">
        <v>29</v>
      </c>
      <c r="N763" t="s">
        <v>53</v>
      </c>
      <c r="O763" t="s">
        <v>145</v>
      </c>
      <c r="P763">
        <v>30.88</v>
      </c>
      <c r="Q763">
        <v>4</v>
      </c>
      <c r="R763">
        <v>3.86</v>
      </c>
      <c r="S763" t="s">
        <v>187</v>
      </c>
    </row>
    <row r="764" spans="1:19" x14ac:dyDescent="0.35">
      <c r="A764" t="s">
        <v>2502</v>
      </c>
      <c r="B764" s="1">
        <v>42075</v>
      </c>
      <c r="C764" s="1">
        <v>42080</v>
      </c>
      <c r="D764" t="s">
        <v>37</v>
      </c>
      <c r="E764" t="s">
        <v>2372</v>
      </c>
      <c r="F764" t="s">
        <v>2373</v>
      </c>
      <c r="G764" t="s">
        <v>84</v>
      </c>
      <c r="H764" t="s">
        <v>24</v>
      </c>
      <c r="I764" t="s">
        <v>2503</v>
      </c>
      <c r="J764" t="s">
        <v>41</v>
      </c>
      <c r="K764" t="s">
        <v>27</v>
      </c>
      <c r="L764" t="s">
        <v>2504</v>
      </c>
      <c r="M764" t="s">
        <v>29</v>
      </c>
      <c r="N764" t="s">
        <v>53</v>
      </c>
      <c r="O764" t="s">
        <v>2505</v>
      </c>
      <c r="P764">
        <v>6.4080000000000004</v>
      </c>
      <c r="Q764">
        <v>3</v>
      </c>
      <c r="R764">
        <v>1.4418</v>
      </c>
      <c r="S764" t="s">
        <v>187</v>
      </c>
    </row>
    <row r="765" spans="1:19" x14ac:dyDescent="0.35">
      <c r="A765" t="s">
        <v>2506</v>
      </c>
      <c r="B765" s="1">
        <v>43045</v>
      </c>
      <c r="C765" s="1">
        <v>43050</v>
      </c>
      <c r="D765" t="s">
        <v>37</v>
      </c>
      <c r="E765" t="s">
        <v>2507</v>
      </c>
      <c r="F765" t="s">
        <v>2508</v>
      </c>
      <c r="G765" t="s">
        <v>23</v>
      </c>
      <c r="H765" t="s">
        <v>24</v>
      </c>
      <c r="I765" t="s">
        <v>61</v>
      </c>
      <c r="J765" t="s">
        <v>62</v>
      </c>
      <c r="K765" t="s">
        <v>63</v>
      </c>
      <c r="L765" t="s">
        <v>1608</v>
      </c>
      <c r="M765" t="s">
        <v>29</v>
      </c>
      <c r="N765" t="s">
        <v>34</v>
      </c>
      <c r="O765" t="s">
        <v>1609</v>
      </c>
      <c r="P765">
        <v>127.372</v>
      </c>
      <c r="Q765">
        <v>2</v>
      </c>
      <c r="R765">
        <v>-30.933199999999999</v>
      </c>
      <c r="S765" t="s">
        <v>32</v>
      </c>
    </row>
    <row r="766" spans="1:19" x14ac:dyDescent="0.35">
      <c r="A766" t="s">
        <v>2509</v>
      </c>
      <c r="B766" s="1">
        <v>42343</v>
      </c>
      <c r="C766" s="1">
        <v>42347</v>
      </c>
      <c r="D766" t="s">
        <v>37</v>
      </c>
      <c r="E766" t="s">
        <v>2510</v>
      </c>
      <c r="F766" t="s">
        <v>2511</v>
      </c>
      <c r="G766" t="s">
        <v>84</v>
      </c>
      <c r="H766" t="s">
        <v>24</v>
      </c>
      <c r="I766" t="s">
        <v>630</v>
      </c>
      <c r="J766" t="s">
        <v>50</v>
      </c>
      <c r="K766" t="s">
        <v>51</v>
      </c>
      <c r="L766" t="s">
        <v>821</v>
      </c>
      <c r="M766" t="s">
        <v>29</v>
      </c>
      <c r="N766" t="s">
        <v>53</v>
      </c>
      <c r="O766" t="s">
        <v>822</v>
      </c>
      <c r="P766">
        <v>44.46</v>
      </c>
      <c r="Q766">
        <v>2</v>
      </c>
      <c r="R766">
        <v>14.671799999999999</v>
      </c>
      <c r="S766" t="s">
        <v>90</v>
      </c>
    </row>
    <row r="767" spans="1:19" x14ac:dyDescent="0.35">
      <c r="A767" t="s">
        <v>2512</v>
      </c>
      <c r="B767" s="1">
        <v>42194</v>
      </c>
      <c r="C767" s="1">
        <v>42199</v>
      </c>
      <c r="D767" t="s">
        <v>37</v>
      </c>
      <c r="E767" t="s">
        <v>1493</v>
      </c>
      <c r="F767" t="s">
        <v>1494</v>
      </c>
      <c r="G767" t="s">
        <v>23</v>
      </c>
      <c r="H767" t="s">
        <v>24</v>
      </c>
      <c r="I767" t="s">
        <v>2513</v>
      </c>
      <c r="J767" t="s">
        <v>1080</v>
      </c>
      <c r="K767" t="s">
        <v>63</v>
      </c>
      <c r="L767" t="s">
        <v>350</v>
      </c>
      <c r="M767" t="s">
        <v>29</v>
      </c>
      <c r="N767" t="s">
        <v>53</v>
      </c>
      <c r="O767" t="s">
        <v>351</v>
      </c>
      <c r="P767">
        <v>181.96</v>
      </c>
      <c r="Q767">
        <v>2</v>
      </c>
      <c r="R767">
        <v>20.015599999999999</v>
      </c>
      <c r="S767" t="s">
        <v>66</v>
      </c>
    </row>
    <row r="768" spans="1:19" x14ac:dyDescent="0.35">
      <c r="A768" t="s">
        <v>2514</v>
      </c>
      <c r="B768" s="1">
        <v>42307</v>
      </c>
      <c r="C768" s="1">
        <v>42310</v>
      </c>
      <c r="D768" t="s">
        <v>20</v>
      </c>
      <c r="E768" t="s">
        <v>1526</v>
      </c>
      <c r="F768" t="s">
        <v>1527</v>
      </c>
      <c r="G768" t="s">
        <v>84</v>
      </c>
      <c r="H768" t="s">
        <v>24</v>
      </c>
      <c r="I768" t="s">
        <v>257</v>
      </c>
      <c r="J768" t="s">
        <v>172</v>
      </c>
      <c r="K768" t="s">
        <v>51</v>
      </c>
      <c r="L768" t="s">
        <v>2515</v>
      </c>
      <c r="M768" t="s">
        <v>29</v>
      </c>
      <c r="N768" t="s">
        <v>53</v>
      </c>
      <c r="O768" t="s">
        <v>2516</v>
      </c>
      <c r="P768">
        <v>15.488</v>
      </c>
      <c r="Q768">
        <v>4</v>
      </c>
      <c r="R768">
        <v>3.6783999999999999</v>
      </c>
      <c r="S768" t="s">
        <v>45</v>
      </c>
    </row>
    <row r="769" spans="1:19" x14ac:dyDescent="0.35">
      <c r="A769" t="s">
        <v>2517</v>
      </c>
      <c r="B769" s="1">
        <v>42327</v>
      </c>
      <c r="C769" s="1">
        <v>42329</v>
      </c>
      <c r="D769" t="s">
        <v>20</v>
      </c>
      <c r="E769" t="s">
        <v>2267</v>
      </c>
      <c r="F769" t="s">
        <v>2268</v>
      </c>
      <c r="G769" t="s">
        <v>94</v>
      </c>
      <c r="H769" t="s">
        <v>24</v>
      </c>
      <c r="I769" t="s">
        <v>183</v>
      </c>
      <c r="J769" t="s">
        <v>184</v>
      </c>
      <c r="K769" t="s">
        <v>51</v>
      </c>
      <c r="L769" t="s">
        <v>2187</v>
      </c>
      <c r="M769" t="s">
        <v>29</v>
      </c>
      <c r="N769" t="s">
        <v>53</v>
      </c>
      <c r="O769" t="s">
        <v>2188</v>
      </c>
      <c r="P769">
        <v>141.96</v>
      </c>
      <c r="Q769">
        <v>2</v>
      </c>
      <c r="R769">
        <v>22.7136</v>
      </c>
      <c r="S769" t="s">
        <v>32</v>
      </c>
    </row>
    <row r="770" spans="1:19" x14ac:dyDescent="0.35">
      <c r="A770" t="s">
        <v>2518</v>
      </c>
      <c r="B770" s="1">
        <v>43093</v>
      </c>
      <c r="C770" s="1">
        <v>43098</v>
      </c>
      <c r="D770" t="s">
        <v>37</v>
      </c>
      <c r="E770" t="s">
        <v>1604</v>
      </c>
      <c r="F770" t="s">
        <v>1605</v>
      </c>
      <c r="G770" t="s">
        <v>84</v>
      </c>
      <c r="H770" t="s">
        <v>24</v>
      </c>
      <c r="I770" t="s">
        <v>885</v>
      </c>
      <c r="J770" t="s">
        <v>114</v>
      </c>
      <c r="K770" t="s">
        <v>63</v>
      </c>
      <c r="L770" t="s">
        <v>958</v>
      </c>
      <c r="M770" t="s">
        <v>29</v>
      </c>
      <c r="N770" t="s">
        <v>53</v>
      </c>
      <c r="O770" t="s">
        <v>959</v>
      </c>
      <c r="P770">
        <v>37.93</v>
      </c>
      <c r="Q770">
        <v>1</v>
      </c>
      <c r="R770">
        <v>6.8273999999999999</v>
      </c>
      <c r="S770" t="s">
        <v>90</v>
      </c>
    </row>
    <row r="771" spans="1:19" x14ac:dyDescent="0.35">
      <c r="A771" t="s">
        <v>2519</v>
      </c>
      <c r="B771" s="1">
        <v>42378</v>
      </c>
      <c r="C771" s="1">
        <v>42382</v>
      </c>
      <c r="D771" t="s">
        <v>20</v>
      </c>
      <c r="E771" t="s">
        <v>2520</v>
      </c>
      <c r="F771" t="s">
        <v>2521</v>
      </c>
      <c r="G771" t="s">
        <v>84</v>
      </c>
      <c r="H771" t="s">
        <v>24</v>
      </c>
      <c r="I771" t="s">
        <v>2522</v>
      </c>
      <c r="J771" t="s">
        <v>223</v>
      </c>
      <c r="K771" t="s">
        <v>63</v>
      </c>
      <c r="L771" t="s">
        <v>2195</v>
      </c>
      <c r="M771" t="s">
        <v>29</v>
      </c>
      <c r="N771" t="s">
        <v>53</v>
      </c>
      <c r="O771" t="s">
        <v>2196</v>
      </c>
      <c r="P771">
        <v>15.167999999999999</v>
      </c>
      <c r="Q771">
        <v>2</v>
      </c>
      <c r="R771">
        <v>3.7919999999999998</v>
      </c>
      <c r="S771" t="s">
        <v>161</v>
      </c>
    </row>
    <row r="772" spans="1:19" x14ac:dyDescent="0.35">
      <c r="A772" t="s">
        <v>2523</v>
      </c>
      <c r="B772" s="1">
        <v>41966</v>
      </c>
      <c r="C772" s="1">
        <v>41970</v>
      </c>
      <c r="D772" t="s">
        <v>37</v>
      </c>
      <c r="E772" t="s">
        <v>2078</v>
      </c>
      <c r="F772" t="s">
        <v>2079</v>
      </c>
      <c r="G772" t="s">
        <v>84</v>
      </c>
      <c r="H772" t="s">
        <v>24</v>
      </c>
      <c r="I772" t="s">
        <v>2524</v>
      </c>
      <c r="J772" t="s">
        <v>86</v>
      </c>
      <c r="K772" t="s">
        <v>87</v>
      </c>
      <c r="L772" t="s">
        <v>918</v>
      </c>
      <c r="M772" t="s">
        <v>29</v>
      </c>
      <c r="N772" t="s">
        <v>53</v>
      </c>
      <c r="O772" t="s">
        <v>308</v>
      </c>
      <c r="P772">
        <v>6.3680000000000003</v>
      </c>
      <c r="Q772">
        <v>2</v>
      </c>
      <c r="R772">
        <v>-2.5472000000000001</v>
      </c>
      <c r="S772" t="s">
        <v>32</v>
      </c>
    </row>
    <row r="773" spans="1:19" x14ac:dyDescent="0.35">
      <c r="A773" t="s">
        <v>2525</v>
      </c>
      <c r="B773" s="1">
        <v>43023</v>
      </c>
      <c r="C773" s="1">
        <v>43025</v>
      </c>
      <c r="D773" t="s">
        <v>81</v>
      </c>
      <c r="E773" t="s">
        <v>2526</v>
      </c>
      <c r="F773" t="s">
        <v>2527</v>
      </c>
      <c r="G773" t="s">
        <v>84</v>
      </c>
      <c r="H773" t="s">
        <v>24</v>
      </c>
      <c r="I773" t="s">
        <v>49</v>
      </c>
      <c r="J773" t="s">
        <v>50</v>
      </c>
      <c r="K773" t="s">
        <v>51</v>
      </c>
      <c r="L773" t="s">
        <v>296</v>
      </c>
      <c r="M773" t="s">
        <v>29</v>
      </c>
      <c r="N773" t="s">
        <v>43</v>
      </c>
      <c r="O773" t="s">
        <v>297</v>
      </c>
      <c r="P773">
        <v>510.24</v>
      </c>
      <c r="Q773">
        <v>3</v>
      </c>
      <c r="R773">
        <v>6.3780000000000001</v>
      </c>
      <c r="S773" t="s">
        <v>45</v>
      </c>
    </row>
    <row r="774" spans="1:19" x14ac:dyDescent="0.35">
      <c r="A774" t="s">
        <v>2528</v>
      </c>
      <c r="B774" s="1">
        <v>42846</v>
      </c>
      <c r="C774" s="1">
        <v>42849</v>
      </c>
      <c r="D774" t="s">
        <v>81</v>
      </c>
      <c r="E774" t="s">
        <v>1459</v>
      </c>
      <c r="F774" t="s">
        <v>1460</v>
      </c>
      <c r="G774" t="s">
        <v>23</v>
      </c>
      <c r="H774" t="s">
        <v>24</v>
      </c>
      <c r="I774" t="s">
        <v>183</v>
      </c>
      <c r="J774" t="s">
        <v>184</v>
      </c>
      <c r="K774" t="s">
        <v>51</v>
      </c>
      <c r="L774" t="s">
        <v>1008</v>
      </c>
      <c r="M774" t="s">
        <v>29</v>
      </c>
      <c r="N774" t="s">
        <v>53</v>
      </c>
      <c r="O774" t="s">
        <v>1009</v>
      </c>
      <c r="P774">
        <v>162.6</v>
      </c>
      <c r="Q774">
        <v>3</v>
      </c>
      <c r="R774">
        <v>34.146000000000001</v>
      </c>
      <c r="S774" t="s">
        <v>107</v>
      </c>
    </row>
    <row r="775" spans="1:19" x14ac:dyDescent="0.35">
      <c r="A775" t="s">
        <v>2529</v>
      </c>
      <c r="B775" s="1">
        <v>41981</v>
      </c>
      <c r="C775" s="1">
        <v>41983</v>
      </c>
      <c r="D775" t="s">
        <v>20</v>
      </c>
      <c r="E775" t="s">
        <v>1797</v>
      </c>
      <c r="F775" t="s">
        <v>1798</v>
      </c>
      <c r="G775" t="s">
        <v>23</v>
      </c>
      <c r="H775" t="s">
        <v>24</v>
      </c>
      <c r="I775" t="s">
        <v>961</v>
      </c>
      <c r="J775" t="s">
        <v>184</v>
      </c>
      <c r="K775" t="s">
        <v>51</v>
      </c>
      <c r="L775" t="s">
        <v>386</v>
      </c>
      <c r="M775" t="s">
        <v>29</v>
      </c>
      <c r="N775" t="s">
        <v>34</v>
      </c>
      <c r="O775" t="s">
        <v>387</v>
      </c>
      <c r="P775">
        <v>603.91999999999996</v>
      </c>
      <c r="Q775">
        <v>5</v>
      </c>
      <c r="R775">
        <v>45.293999999999997</v>
      </c>
      <c r="S775" t="s">
        <v>90</v>
      </c>
    </row>
    <row r="776" spans="1:19" x14ac:dyDescent="0.35">
      <c r="A776" t="s">
        <v>2530</v>
      </c>
      <c r="B776" s="1">
        <v>42724</v>
      </c>
      <c r="C776" s="1">
        <v>42728</v>
      </c>
      <c r="D776" t="s">
        <v>37</v>
      </c>
      <c r="E776" t="s">
        <v>2531</v>
      </c>
      <c r="F776" t="s">
        <v>2532</v>
      </c>
      <c r="G776" t="s">
        <v>94</v>
      </c>
      <c r="H776" t="s">
        <v>24</v>
      </c>
      <c r="I776" t="s">
        <v>468</v>
      </c>
      <c r="J776" t="s">
        <v>469</v>
      </c>
      <c r="K776" t="s">
        <v>27</v>
      </c>
      <c r="L776" t="s">
        <v>371</v>
      </c>
      <c r="M776" t="s">
        <v>29</v>
      </c>
      <c r="N776" t="s">
        <v>53</v>
      </c>
      <c r="O776" t="s">
        <v>372</v>
      </c>
      <c r="P776">
        <v>18.920000000000002</v>
      </c>
      <c r="Q776">
        <v>4</v>
      </c>
      <c r="R776">
        <v>7.3788</v>
      </c>
      <c r="S776" t="s">
        <v>90</v>
      </c>
    </row>
    <row r="777" spans="1:19" x14ac:dyDescent="0.35">
      <c r="A777" t="s">
        <v>2533</v>
      </c>
      <c r="B777" s="1">
        <v>42800</v>
      </c>
      <c r="C777" s="1">
        <v>42805</v>
      </c>
      <c r="D777" t="s">
        <v>20</v>
      </c>
      <c r="E777" t="s">
        <v>2534</v>
      </c>
      <c r="F777" t="s">
        <v>2535</v>
      </c>
      <c r="G777" t="s">
        <v>23</v>
      </c>
      <c r="H777" t="s">
        <v>24</v>
      </c>
      <c r="I777" t="s">
        <v>165</v>
      </c>
      <c r="J777" t="s">
        <v>114</v>
      </c>
      <c r="K777" t="s">
        <v>63</v>
      </c>
      <c r="L777" t="s">
        <v>1171</v>
      </c>
      <c r="M777" t="s">
        <v>29</v>
      </c>
      <c r="N777" t="s">
        <v>53</v>
      </c>
      <c r="O777" t="s">
        <v>1172</v>
      </c>
      <c r="P777">
        <v>71.97</v>
      </c>
      <c r="Q777">
        <v>3</v>
      </c>
      <c r="R777">
        <v>16.553100000000001</v>
      </c>
      <c r="S777" t="s">
        <v>187</v>
      </c>
    </row>
    <row r="778" spans="1:19" x14ac:dyDescent="0.35">
      <c r="A778" t="s">
        <v>2536</v>
      </c>
      <c r="B778" s="1">
        <v>42636</v>
      </c>
      <c r="C778" s="1">
        <v>42641</v>
      </c>
      <c r="D778" t="s">
        <v>20</v>
      </c>
      <c r="E778" t="s">
        <v>1040</v>
      </c>
      <c r="F778" t="s">
        <v>1041</v>
      </c>
      <c r="G778" t="s">
        <v>23</v>
      </c>
      <c r="H778" t="s">
        <v>24</v>
      </c>
      <c r="I778" t="s">
        <v>339</v>
      </c>
      <c r="J778" t="s">
        <v>658</v>
      </c>
      <c r="K778" t="s">
        <v>27</v>
      </c>
      <c r="L778" t="s">
        <v>1738</v>
      </c>
      <c r="M778" t="s">
        <v>29</v>
      </c>
      <c r="N778" t="s">
        <v>34</v>
      </c>
      <c r="O778" t="s">
        <v>1739</v>
      </c>
      <c r="P778">
        <v>368.97</v>
      </c>
      <c r="Q778">
        <v>3</v>
      </c>
      <c r="R778">
        <v>81.173400000000001</v>
      </c>
      <c r="S778" t="s">
        <v>72</v>
      </c>
    </row>
    <row r="779" spans="1:19" x14ac:dyDescent="0.35">
      <c r="A779" t="s">
        <v>2537</v>
      </c>
      <c r="B779" s="1">
        <v>42974</v>
      </c>
      <c r="C779" s="1">
        <v>42976</v>
      </c>
      <c r="D779" t="s">
        <v>20</v>
      </c>
      <c r="E779" t="s">
        <v>324</v>
      </c>
      <c r="F779" t="s">
        <v>325</v>
      </c>
      <c r="G779" t="s">
        <v>84</v>
      </c>
      <c r="H779" t="s">
        <v>24</v>
      </c>
      <c r="I779" t="s">
        <v>2439</v>
      </c>
      <c r="J779" t="s">
        <v>50</v>
      </c>
      <c r="K779" t="s">
        <v>51</v>
      </c>
      <c r="L779" t="s">
        <v>1391</v>
      </c>
      <c r="M779" t="s">
        <v>29</v>
      </c>
      <c r="N779" t="s">
        <v>53</v>
      </c>
      <c r="O779" t="s">
        <v>1392</v>
      </c>
      <c r="P779">
        <v>198.46</v>
      </c>
      <c r="Q779">
        <v>2</v>
      </c>
      <c r="R779">
        <v>99.23</v>
      </c>
      <c r="S779" t="s">
        <v>245</v>
      </c>
    </row>
    <row r="780" spans="1:19" x14ac:dyDescent="0.35">
      <c r="A780" t="s">
        <v>2537</v>
      </c>
      <c r="B780" s="1">
        <v>42974</v>
      </c>
      <c r="C780" s="1">
        <v>42976</v>
      </c>
      <c r="D780" t="s">
        <v>20</v>
      </c>
      <c r="E780" t="s">
        <v>324</v>
      </c>
      <c r="F780" t="s">
        <v>325</v>
      </c>
      <c r="G780" t="s">
        <v>84</v>
      </c>
      <c r="H780" t="s">
        <v>24</v>
      </c>
      <c r="I780" t="s">
        <v>2439</v>
      </c>
      <c r="J780" t="s">
        <v>50</v>
      </c>
      <c r="K780" t="s">
        <v>51</v>
      </c>
      <c r="L780" t="s">
        <v>457</v>
      </c>
      <c r="M780" t="s">
        <v>29</v>
      </c>
      <c r="N780" t="s">
        <v>34</v>
      </c>
      <c r="O780" t="s">
        <v>458</v>
      </c>
      <c r="P780">
        <v>230.28</v>
      </c>
      <c r="Q780">
        <v>3</v>
      </c>
      <c r="R780">
        <v>23.027999999999999</v>
      </c>
      <c r="S780" t="s">
        <v>245</v>
      </c>
    </row>
    <row r="781" spans="1:19" x14ac:dyDescent="0.35">
      <c r="A781" t="s">
        <v>2538</v>
      </c>
      <c r="B781" s="1">
        <v>42432</v>
      </c>
      <c r="C781" s="1">
        <v>42435</v>
      </c>
      <c r="D781" t="s">
        <v>81</v>
      </c>
      <c r="E781" t="s">
        <v>2299</v>
      </c>
      <c r="F781" t="s">
        <v>2300</v>
      </c>
      <c r="G781" t="s">
        <v>84</v>
      </c>
      <c r="H781" t="s">
        <v>24</v>
      </c>
      <c r="I781" t="s">
        <v>2539</v>
      </c>
      <c r="J781" t="s">
        <v>86</v>
      </c>
      <c r="K781" t="s">
        <v>87</v>
      </c>
      <c r="L781" t="s">
        <v>2540</v>
      </c>
      <c r="M781" t="s">
        <v>29</v>
      </c>
      <c r="N781" t="s">
        <v>34</v>
      </c>
      <c r="O781" t="s">
        <v>2541</v>
      </c>
      <c r="P781">
        <v>563.42999999999995</v>
      </c>
      <c r="Q781">
        <v>5</v>
      </c>
      <c r="R781">
        <v>-56.343000000000004</v>
      </c>
      <c r="S781" t="s">
        <v>187</v>
      </c>
    </row>
    <row r="782" spans="1:19" x14ac:dyDescent="0.35">
      <c r="A782" t="s">
        <v>2542</v>
      </c>
      <c r="B782" s="1">
        <v>42265</v>
      </c>
      <c r="C782" s="1">
        <v>42270</v>
      </c>
      <c r="D782" t="s">
        <v>37</v>
      </c>
      <c r="E782" t="s">
        <v>1071</v>
      </c>
      <c r="F782" t="s">
        <v>1072</v>
      </c>
      <c r="G782" t="s">
        <v>84</v>
      </c>
      <c r="H782" t="s">
        <v>24</v>
      </c>
      <c r="I782" t="s">
        <v>49</v>
      </c>
      <c r="J782" t="s">
        <v>50</v>
      </c>
      <c r="K782" t="s">
        <v>51</v>
      </c>
      <c r="L782" t="s">
        <v>1473</v>
      </c>
      <c r="M782" t="s">
        <v>29</v>
      </c>
      <c r="N782" t="s">
        <v>53</v>
      </c>
      <c r="O782" t="s">
        <v>1474</v>
      </c>
      <c r="P782">
        <v>24.4</v>
      </c>
      <c r="Q782">
        <v>2</v>
      </c>
      <c r="R782">
        <v>10.247999999999999</v>
      </c>
      <c r="S782" t="s">
        <v>72</v>
      </c>
    </row>
    <row r="783" spans="1:19" x14ac:dyDescent="0.35">
      <c r="A783" t="s">
        <v>2543</v>
      </c>
      <c r="B783" s="1">
        <v>42595</v>
      </c>
      <c r="C783" s="1">
        <v>42600</v>
      </c>
      <c r="D783" t="s">
        <v>20</v>
      </c>
      <c r="E783" t="s">
        <v>1717</v>
      </c>
      <c r="F783" t="s">
        <v>1718</v>
      </c>
      <c r="G783" t="s">
        <v>84</v>
      </c>
      <c r="H783" t="s">
        <v>24</v>
      </c>
      <c r="I783" t="s">
        <v>2544</v>
      </c>
      <c r="J783" t="s">
        <v>230</v>
      </c>
      <c r="K783" t="s">
        <v>87</v>
      </c>
      <c r="L783" t="s">
        <v>533</v>
      </c>
      <c r="M783" t="s">
        <v>29</v>
      </c>
      <c r="N783" t="s">
        <v>30</v>
      </c>
      <c r="O783" t="s">
        <v>534</v>
      </c>
      <c r="P783">
        <v>241.96</v>
      </c>
      <c r="Q783">
        <v>2</v>
      </c>
      <c r="R783">
        <v>24.196000000000002</v>
      </c>
      <c r="S783" t="s">
        <v>245</v>
      </c>
    </row>
    <row r="784" spans="1:19" x14ac:dyDescent="0.35">
      <c r="A784" t="s">
        <v>2545</v>
      </c>
      <c r="B784" s="1">
        <v>42450</v>
      </c>
      <c r="C784" s="1">
        <v>42454</v>
      </c>
      <c r="D784" t="s">
        <v>37</v>
      </c>
      <c r="E784" t="s">
        <v>2244</v>
      </c>
      <c r="F784" t="s">
        <v>2245</v>
      </c>
      <c r="G784" t="s">
        <v>84</v>
      </c>
      <c r="H784" t="s">
        <v>24</v>
      </c>
      <c r="I784" t="s">
        <v>95</v>
      </c>
      <c r="J784" t="s">
        <v>86</v>
      </c>
      <c r="K784" t="s">
        <v>87</v>
      </c>
      <c r="L784" t="s">
        <v>1558</v>
      </c>
      <c r="M784" t="s">
        <v>29</v>
      </c>
      <c r="N784" t="s">
        <v>43</v>
      </c>
      <c r="O784" t="s">
        <v>1559</v>
      </c>
      <c r="P784">
        <v>99.372</v>
      </c>
      <c r="Q784">
        <v>2</v>
      </c>
      <c r="R784">
        <v>-1.4196</v>
      </c>
      <c r="S784" t="s">
        <v>187</v>
      </c>
    </row>
    <row r="785" spans="1:19" x14ac:dyDescent="0.35">
      <c r="A785" t="s">
        <v>2546</v>
      </c>
      <c r="B785" s="1">
        <v>41989</v>
      </c>
      <c r="C785" s="1">
        <v>41993</v>
      </c>
      <c r="D785" t="s">
        <v>20</v>
      </c>
      <c r="E785" t="s">
        <v>2547</v>
      </c>
      <c r="F785" t="s">
        <v>2548</v>
      </c>
      <c r="G785" t="s">
        <v>84</v>
      </c>
      <c r="H785" t="s">
        <v>24</v>
      </c>
      <c r="I785" t="s">
        <v>2041</v>
      </c>
      <c r="J785" t="s">
        <v>41</v>
      </c>
      <c r="K785" t="s">
        <v>27</v>
      </c>
      <c r="L785" t="s">
        <v>1523</v>
      </c>
      <c r="M785" t="s">
        <v>29</v>
      </c>
      <c r="N785" t="s">
        <v>34</v>
      </c>
      <c r="O785" t="s">
        <v>1524</v>
      </c>
      <c r="P785">
        <v>1013.832</v>
      </c>
      <c r="Q785">
        <v>9</v>
      </c>
      <c r="R785">
        <v>101.3832</v>
      </c>
      <c r="S785" t="s">
        <v>90</v>
      </c>
    </row>
    <row r="786" spans="1:19" x14ac:dyDescent="0.35">
      <c r="A786" t="s">
        <v>2549</v>
      </c>
      <c r="B786" s="1">
        <v>42721</v>
      </c>
      <c r="C786" s="1">
        <v>42725</v>
      </c>
      <c r="D786" t="s">
        <v>37</v>
      </c>
      <c r="E786" t="s">
        <v>2550</v>
      </c>
      <c r="F786" t="s">
        <v>2551</v>
      </c>
      <c r="G786" t="s">
        <v>23</v>
      </c>
      <c r="H786" t="s">
        <v>24</v>
      </c>
      <c r="I786" t="s">
        <v>320</v>
      </c>
      <c r="J786" t="s">
        <v>50</v>
      </c>
      <c r="K786" t="s">
        <v>51</v>
      </c>
      <c r="L786" t="s">
        <v>603</v>
      </c>
      <c r="M786" t="s">
        <v>29</v>
      </c>
      <c r="N786" t="s">
        <v>43</v>
      </c>
      <c r="O786" t="s">
        <v>604</v>
      </c>
      <c r="P786">
        <v>2003.52</v>
      </c>
      <c r="Q786">
        <v>6</v>
      </c>
      <c r="R786">
        <v>-325.572</v>
      </c>
      <c r="S786" t="s">
        <v>90</v>
      </c>
    </row>
    <row r="787" spans="1:19" x14ac:dyDescent="0.35">
      <c r="A787" t="s">
        <v>2552</v>
      </c>
      <c r="B787" s="1">
        <v>42127</v>
      </c>
      <c r="C787" s="1">
        <v>42132</v>
      </c>
      <c r="D787" t="s">
        <v>37</v>
      </c>
      <c r="E787" t="s">
        <v>2221</v>
      </c>
      <c r="F787" t="s">
        <v>2222</v>
      </c>
      <c r="G787" t="s">
        <v>94</v>
      </c>
      <c r="H787" t="s">
        <v>24</v>
      </c>
      <c r="I787" t="s">
        <v>2553</v>
      </c>
      <c r="J787" t="s">
        <v>50</v>
      </c>
      <c r="K787" t="s">
        <v>51</v>
      </c>
      <c r="L787" t="s">
        <v>1844</v>
      </c>
      <c r="M787" t="s">
        <v>29</v>
      </c>
      <c r="N787" t="s">
        <v>53</v>
      </c>
      <c r="O787" t="s">
        <v>1845</v>
      </c>
      <c r="P787">
        <v>665.88</v>
      </c>
      <c r="Q787">
        <v>6</v>
      </c>
      <c r="R787">
        <v>106.5408</v>
      </c>
      <c r="S787" t="s">
        <v>153</v>
      </c>
    </row>
    <row r="788" spans="1:19" x14ac:dyDescent="0.35">
      <c r="A788" t="s">
        <v>2554</v>
      </c>
      <c r="B788" s="1">
        <v>41666</v>
      </c>
      <c r="C788" s="1">
        <v>41672</v>
      </c>
      <c r="D788" t="s">
        <v>37</v>
      </c>
      <c r="E788" t="s">
        <v>2555</v>
      </c>
      <c r="F788" t="s">
        <v>2556</v>
      </c>
      <c r="G788" t="s">
        <v>23</v>
      </c>
      <c r="H788" t="s">
        <v>24</v>
      </c>
      <c r="I788" t="s">
        <v>630</v>
      </c>
      <c r="J788" t="s">
        <v>50</v>
      </c>
      <c r="K788" t="s">
        <v>51</v>
      </c>
      <c r="L788" t="s">
        <v>2557</v>
      </c>
      <c r="M788" t="s">
        <v>29</v>
      </c>
      <c r="N788" t="s">
        <v>43</v>
      </c>
      <c r="O788" t="s">
        <v>2558</v>
      </c>
      <c r="P788">
        <v>333</v>
      </c>
      <c r="Q788">
        <v>3</v>
      </c>
      <c r="R788">
        <v>-16.649999999999999</v>
      </c>
      <c r="S788" t="s">
        <v>161</v>
      </c>
    </row>
    <row r="789" spans="1:19" x14ac:dyDescent="0.35">
      <c r="A789" t="s">
        <v>2559</v>
      </c>
      <c r="B789" s="1">
        <v>43043</v>
      </c>
      <c r="C789" s="1">
        <v>43044</v>
      </c>
      <c r="D789" t="s">
        <v>81</v>
      </c>
      <c r="E789" t="s">
        <v>343</v>
      </c>
      <c r="F789" t="s">
        <v>344</v>
      </c>
      <c r="G789" t="s">
        <v>84</v>
      </c>
      <c r="H789" t="s">
        <v>24</v>
      </c>
      <c r="I789" t="s">
        <v>2560</v>
      </c>
      <c r="J789" t="s">
        <v>1027</v>
      </c>
      <c r="K789" t="s">
        <v>27</v>
      </c>
      <c r="L789" t="s">
        <v>402</v>
      </c>
      <c r="M789" t="s">
        <v>29</v>
      </c>
      <c r="N789" t="s">
        <v>43</v>
      </c>
      <c r="O789" t="s">
        <v>403</v>
      </c>
      <c r="P789">
        <v>523.76400000000001</v>
      </c>
      <c r="Q789">
        <v>3</v>
      </c>
      <c r="R789">
        <v>-192.04679999999999</v>
      </c>
      <c r="S789" t="s">
        <v>32</v>
      </c>
    </row>
    <row r="790" spans="1:19" x14ac:dyDescent="0.35">
      <c r="A790" t="s">
        <v>2561</v>
      </c>
      <c r="B790" s="1">
        <v>42657</v>
      </c>
      <c r="C790" s="1">
        <v>42663</v>
      </c>
      <c r="D790" t="s">
        <v>37</v>
      </c>
      <c r="E790" t="s">
        <v>2562</v>
      </c>
      <c r="F790" t="s">
        <v>2563</v>
      </c>
      <c r="G790" t="s">
        <v>23</v>
      </c>
      <c r="H790" t="s">
        <v>24</v>
      </c>
      <c r="I790" t="s">
        <v>597</v>
      </c>
      <c r="J790" t="s">
        <v>1027</v>
      </c>
      <c r="K790" t="s">
        <v>27</v>
      </c>
      <c r="L790" t="s">
        <v>2564</v>
      </c>
      <c r="M790" t="s">
        <v>29</v>
      </c>
      <c r="N790" t="s">
        <v>34</v>
      </c>
      <c r="O790" t="s">
        <v>2565</v>
      </c>
      <c r="P790">
        <v>102.592</v>
      </c>
      <c r="Q790">
        <v>1</v>
      </c>
      <c r="R790">
        <v>10.2592</v>
      </c>
      <c r="S790" t="s">
        <v>45</v>
      </c>
    </row>
    <row r="791" spans="1:19" x14ac:dyDescent="0.35">
      <c r="A791" t="s">
        <v>2566</v>
      </c>
      <c r="B791" s="1">
        <v>42320</v>
      </c>
      <c r="C791" s="1">
        <v>42327</v>
      </c>
      <c r="D791" t="s">
        <v>37</v>
      </c>
      <c r="E791" t="s">
        <v>2567</v>
      </c>
      <c r="F791" t="s">
        <v>2568</v>
      </c>
      <c r="G791" t="s">
        <v>84</v>
      </c>
      <c r="H791" t="s">
        <v>24</v>
      </c>
      <c r="I791" t="s">
        <v>2503</v>
      </c>
      <c r="J791" t="s">
        <v>41</v>
      </c>
      <c r="K791" t="s">
        <v>27</v>
      </c>
      <c r="L791" t="s">
        <v>2569</v>
      </c>
      <c r="M791" t="s">
        <v>29</v>
      </c>
      <c r="N791" t="s">
        <v>34</v>
      </c>
      <c r="O791" t="s">
        <v>2570</v>
      </c>
      <c r="P791">
        <v>523.91999999999996</v>
      </c>
      <c r="Q791">
        <v>5</v>
      </c>
      <c r="R791">
        <v>-72.039000000000001</v>
      </c>
      <c r="S791" t="s">
        <v>32</v>
      </c>
    </row>
    <row r="792" spans="1:19" x14ac:dyDescent="0.35">
      <c r="A792" t="s">
        <v>2566</v>
      </c>
      <c r="B792" s="1">
        <v>42320</v>
      </c>
      <c r="C792" s="1">
        <v>42327</v>
      </c>
      <c r="D792" t="s">
        <v>37</v>
      </c>
      <c r="E792" t="s">
        <v>2567</v>
      </c>
      <c r="F792" t="s">
        <v>2568</v>
      </c>
      <c r="G792" t="s">
        <v>84</v>
      </c>
      <c r="H792" t="s">
        <v>24</v>
      </c>
      <c r="I792" t="s">
        <v>2503</v>
      </c>
      <c r="J792" t="s">
        <v>41</v>
      </c>
      <c r="K792" t="s">
        <v>27</v>
      </c>
      <c r="L792" t="s">
        <v>290</v>
      </c>
      <c r="M792" t="s">
        <v>29</v>
      </c>
      <c r="N792" t="s">
        <v>34</v>
      </c>
      <c r="O792" t="s">
        <v>291</v>
      </c>
      <c r="P792">
        <v>146.136</v>
      </c>
      <c r="Q792">
        <v>3</v>
      </c>
      <c r="R792">
        <v>16.440300000000001</v>
      </c>
      <c r="S792" t="s">
        <v>32</v>
      </c>
    </row>
    <row r="793" spans="1:19" x14ac:dyDescent="0.35">
      <c r="A793" t="s">
        <v>2571</v>
      </c>
      <c r="B793" s="1">
        <v>42262</v>
      </c>
      <c r="C793" s="1">
        <v>42266</v>
      </c>
      <c r="D793" t="s">
        <v>37</v>
      </c>
      <c r="E793" t="s">
        <v>2226</v>
      </c>
      <c r="F793" t="s">
        <v>2227</v>
      </c>
      <c r="G793" t="s">
        <v>23</v>
      </c>
      <c r="H793" t="s">
        <v>24</v>
      </c>
      <c r="I793" t="s">
        <v>2453</v>
      </c>
      <c r="J793" t="s">
        <v>1267</v>
      </c>
      <c r="K793" t="s">
        <v>27</v>
      </c>
      <c r="L793" t="s">
        <v>1982</v>
      </c>
      <c r="M793" t="s">
        <v>29</v>
      </c>
      <c r="N793" t="s">
        <v>43</v>
      </c>
      <c r="O793" t="s">
        <v>1983</v>
      </c>
      <c r="P793">
        <v>801.96</v>
      </c>
      <c r="Q793">
        <v>2</v>
      </c>
      <c r="R793">
        <v>200.49</v>
      </c>
      <c r="S793" t="s">
        <v>72</v>
      </c>
    </row>
    <row r="794" spans="1:19" x14ac:dyDescent="0.35">
      <c r="A794" t="s">
        <v>2571</v>
      </c>
      <c r="B794" s="1">
        <v>42262</v>
      </c>
      <c r="C794" s="1">
        <v>42266</v>
      </c>
      <c r="D794" t="s">
        <v>37</v>
      </c>
      <c r="E794" t="s">
        <v>2226</v>
      </c>
      <c r="F794" t="s">
        <v>2227</v>
      </c>
      <c r="G794" t="s">
        <v>23</v>
      </c>
      <c r="H794" t="s">
        <v>24</v>
      </c>
      <c r="I794" t="s">
        <v>2453</v>
      </c>
      <c r="J794" t="s">
        <v>1267</v>
      </c>
      <c r="K794" t="s">
        <v>27</v>
      </c>
      <c r="L794" t="s">
        <v>647</v>
      </c>
      <c r="M794" t="s">
        <v>29</v>
      </c>
      <c r="N794" t="s">
        <v>34</v>
      </c>
      <c r="O794" t="s">
        <v>648</v>
      </c>
      <c r="P794">
        <v>1056.8599999999999</v>
      </c>
      <c r="Q794">
        <v>7</v>
      </c>
      <c r="R794">
        <v>306.48939999999999</v>
      </c>
      <c r="S794" t="s">
        <v>72</v>
      </c>
    </row>
    <row r="795" spans="1:19" x14ac:dyDescent="0.35">
      <c r="A795" t="s">
        <v>2572</v>
      </c>
      <c r="B795" s="1">
        <v>43017</v>
      </c>
      <c r="C795" s="1">
        <v>43022</v>
      </c>
      <c r="D795" t="s">
        <v>37</v>
      </c>
      <c r="E795" t="s">
        <v>2145</v>
      </c>
      <c r="F795" t="s">
        <v>2146</v>
      </c>
      <c r="G795" t="s">
        <v>23</v>
      </c>
      <c r="H795" t="s">
        <v>24</v>
      </c>
      <c r="I795" t="s">
        <v>165</v>
      </c>
      <c r="J795" t="s">
        <v>114</v>
      </c>
      <c r="K795" t="s">
        <v>63</v>
      </c>
      <c r="L795" t="s">
        <v>1627</v>
      </c>
      <c r="M795" t="s">
        <v>29</v>
      </c>
      <c r="N795" t="s">
        <v>30</v>
      </c>
      <c r="O795" t="s">
        <v>1628</v>
      </c>
      <c r="P795">
        <v>314.35199999999998</v>
      </c>
      <c r="Q795">
        <v>3</v>
      </c>
      <c r="R795">
        <v>-15.717599999999999</v>
      </c>
      <c r="S795" t="s">
        <v>45</v>
      </c>
    </row>
    <row r="796" spans="1:19" x14ac:dyDescent="0.35">
      <c r="A796" t="s">
        <v>2573</v>
      </c>
      <c r="B796" s="1">
        <v>42862</v>
      </c>
      <c r="C796" s="1">
        <v>42866</v>
      </c>
      <c r="D796" t="s">
        <v>37</v>
      </c>
      <c r="E796" t="s">
        <v>1579</v>
      </c>
      <c r="F796" t="s">
        <v>1580</v>
      </c>
      <c r="G796" t="s">
        <v>84</v>
      </c>
      <c r="H796" t="s">
        <v>24</v>
      </c>
      <c r="I796" t="s">
        <v>280</v>
      </c>
      <c r="J796" t="s">
        <v>281</v>
      </c>
      <c r="K796" t="s">
        <v>87</v>
      </c>
      <c r="L796" t="s">
        <v>373</v>
      </c>
      <c r="M796" t="s">
        <v>29</v>
      </c>
      <c r="N796" t="s">
        <v>34</v>
      </c>
      <c r="O796" t="s">
        <v>374</v>
      </c>
      <c r="P796">
        <v>1458.65</v>
      </c>
      <c r="Q796">
        <v>5</v>
      </c>
      <c r="R796">
        <v>423.00850000000003</v>
      </c>
      <c r="S796" t="s">
        <v>153</v>
      </c>
    </row>
    <row r="797" spans="1:19" x14ac:dyDescent="0.35">
      <c r="A797" t="s">
        <v>2573</v>
      </c>
      <c r="B797" s="1">
        <v>42862</v>
      </c>
      <c r="C797" s="1">
        <v>42866</v>
      </c>
      <c r="D797" t="s">
        <v>37</v>
      </c>
      <c r="E797" t="s">
        <v>1579</v>
      </c>
      <c r="F797" t="s">
        <v>1580</v>
      </c>
      <c r="G797" t="s">
        <v>84</v>
      </c>
      <c r="H797" t="s">
        <v>24</v>
      </c>
      <c r="I797" t="s">
        <v>280</v>
      </c>
      <c r="J797" t="s">
        <v>281</v>
      </c>
      <c r="K797" t="s">
        <v>87</v>
      </c>
      <c r="L797" t="s">
        <v>1999</v>
      </c>
      <c r="M797" t="s">
        <v>29</v>
      </c>
      <c r="N797" t="s">
        <v>34</v>
      </c>
      <c r="O797" t="s">
        <v>2000</v>
      </c>
      <c r="P797">
        <v>26.64</v>
      </c>
      <c r="Q797">
        <v>1</v>
      </c>
      <c r="R797">
        <v>7.4592000000000001</v>
      </c>
      <c r="S797" t="s">
        <v>153</v>
      </c>
    </row>
    <row r="798" spans="1:19" x14ac:dyDescent="0.35">
      <c r="A798" t="s">
        <v>2573</v>
      </c>
      <c r="B798" s="1">
        <v>42862</v>
      </c>
      <c r="C798" s="1">
        <v>42866</v>
      </c>
      <c r="D798" t="s">
        <v>37</v>
      </c>
      <c r="E798" t="s">
        <v>1579</v>
      </c>
      <c r="F798" t="s">
        <v>1580</v>
      </c>
      <c r="G798" t="s">
        <v>84</v>
      </c>
      <c r="H798" t="s">
        <v>24</v>
      </c>
      <c r="I798" t="s">
        <v>280</v>
      </c>
      <c r="J798" t="s">
        <v>281</v>
      </c>
      <c r="K798" t="s">
        <v>87</v>
      </c>
      <c r="L798" t="s">
        <v>571</v>
      </c>
      <c r="M798" t="s">
        <v>29</v>
      </c>
      <c r="N798" t="s">
        <v>34</v>
      </c>
      <c r="O798" t="s">
        <v>572</v>
      </c>
      <c r="P798">
        <v>476.8</v>
      </c>
      <c r="Q798">
        <v>2</v>
      </c>
      <c r="R798">
        <v>119.2</v>
      </c>
      <c r="S798" t="s">
        <v>153</v>
      </c>
    </row>
    <row r="799" spans="1:19" x14ac:dyDescent="0.35">
      <c r="A799" t="s">
        <v>2574</v>
      </c>
      <c r="B799" s="1">
        <v>42322</v>
      </c>
      <c r="C799" s="1">
        <v>42327</v>
      </c>
      <c r="D799" t="s">
        <v>37</v>
      </c>
      <c r="E799" t="s">
        <v>2575</v>
      </c>
      <c r="F799" t="s">
        <v>2576</v>
      </c>
      <c r="G799" t="s">
        <v>23</v>
      </c>
      <c r="H799" t="s">
        <v>24</v>
      </c>
      <c r="I799" t="s">
        <v>732</v>
      </c>
      <c r="J799" t="s">
        <v>192</v>
      </c>
      <c r="K799" t="s">
        <v>63</v>
      </c>
      <c r="L799" t="s">
        <v>300</v>
      </c>
      <c r="M799" t="s">
        <v>29</v>
      </c>
      <c r="N799" t="s">
        <v>53</v>
      </c>
      <c r="O799" t="s">
        <v>2577</v>
      </c>
      <c r="P799">
        <v>76.14</v>
      </c>
      <c r="Q799">
        <v>3</v>
      </c>
      <c r="R799">
        <v>26.649000000000001</v>
      </c>
      <c r="S799" t="s">
        <v>32</v>
      </c>
    </row>
    <row r="800" spans="1:19" x14ac:dyDescent="0.35">
      <c r="A800" t="s">
        <v>2578</v>
      </c>
      <c r="B800" s="1">
        <v>41967</v>
      </c>
      <c r="C800" s="1">
        <v>41967</v>
      </c>
      <c r="D800" t="s">
        <v>417</v>
      </c>
      <c r="E800" t="s">
        <v>2579</v>
      </c>
      <c r="F800" t="s">
        <v>2580</v>
      </c>
      <c r="G800" t="s">
        <v>84</v>
      </c>
      <c r="H800" t="s">
        <v>24</v>
      </c>
      <c r="I800" t="s">
        <v>339</v>
      </c>
      <c r="J800" t="s">
        <v>223</v>
      </c>
      <c r="K800" t="s">
        <v>63</v>
      </c>
      <c r="L800" t="s">
        <v>1297</v>
      </c>
      <c r="M800" t="s">
        <v>29</v>
      </c>
      <c r="N800" t="s">
        <v>34</v>
      </c>
      <c r="O800" t="s">
        <v>1298</v>
      </c>
      <c r="P800">
        <v>611.05799999999999</v>
      </c>
      <c r="Q800">
        <v>3</v>
      </c>
      <c r="R800">
        <v>-34.9176</v>
      </c>
      <c r="S800" t="s">
        <v>32</v>
      </c>
    </row>
    <row r="801" spans="1:19" x14ac:dyDescent="0.35">
      <c r="A801" t="s">
        <v>2581</v>
      </c>
      <c r="B801" s="1">
        <v>41846</v>
      </c>
      <c r="C801" s="1">
        <v>41853</v>
      </c>
      <c r="D801" t="s">
        <v>37</v>
      </c>
      <c r="E801" t="s">
        <v>118</v>
      </c>
      <c r="F801" t="s">
        <v>119</v>
      </c>
      <c r="G801" t="s">
        <v>23</v>
      </c>
      <c r="H801" t="s">
        <v>24</v>
      </c>
      <c r="I801" t="s">
        <v>1330</v>
      </c>
      <c r="J801" t="s">
        <v>1331</v>
      </c>
      <c r="K801" t="s">
        <v>51</v>
      </c>
      <c r="L801" t="s">
        <v>397</v>
      </c>
      <c r="M801" t="s">
        <v>29</v>
      </c>
      <c r="N801" t="s">
        <v>34</v>
      </c>
      <c r="O801" t="s">
        <v>398</v>
      </c>
      <c r="P801">
        <v>674.35199999999998</v>
      </c>
      <c r="Q801">
        <v>3</v>
      </c>
      <c r="R801">
        <v>-109.5822</v>
      </c>
      <c r="S801" t="s">
        <v>66</v>
      </c>
    </row>
    <row r="802" spans="1:19" x14ac:dyDescent="0.35">
      <c r="A802" t="s">
        <v>2581</v>
      </c>
      <c r="B802" s="1">
        <v>41846</v>
      </c>
      <c r="C802" s="1">
        <v>41853</v>
      </c>
      <c r="D802" t="s">
        <v>37</v>
      </c>
      <c r="E802" t="s">
        <v>118</v>
      </c>
      <c r="F802" t="s">
        <v>119</v>
      </c>
      <c r="G802" t="s">
        <v>23</v>
      </c>
      <c r="H802" t="s">
        <v>24</v>
      </c>
      <c r="I802" t="s">
        <v>1330</v>
      </c>
      <c r="J802" t="s">
        <v>1331</v>
      </c>
      <c r="K802" t="s">
        <v>51</v>
      </c>
      <c r="L802" t="s">
        <v>1195</v>
      </c>
      <c r="M802" t="s">
        <v>29</v>
      </c>
      <c r="N802" t="s">
        <v>53</v>
      </c>
      <c r="O802" t="s">
        <v>1196</v>
      </c>
      <c r="P802">
        <v>134.01</v>
      </c>
      <c r="Q802">
        <v>9</v>
      </c>
      <c r="R802">
        <v>36.182699999999997</v>
      </c>
      <c r="S802" t="s">
        <v>66</v>
      </c>
    </row>
    <row r="803" spans="1:19" x14ac:dyDescent="0.35">
      <c r="A803" t="s">
        <v>2582</v>
      </c>
      <c r="B803" s="1">
        <v>41798</v>
      </c>
      <c r="C803" s="1">
        <v>41802</v>
      </c>
      <c r="D803" t="s">
        <v>37</v>
      </c>
      <c r="E803" t="s">
        <v>2583</v>
      </c>
      <c r="F803" t="s">
        <v>2584</v>
      </c>
      <c r="G803" t="s">
        <v>84</v>
      </c>
      <c r="H803" t="s">
        <v>24</v>
      </c>
      <c r="I803" t="s">
        <v>2396</v>
      </c>
      <c r="J803" t="s">
        <v>133</v>
      </c>
      <c r="K803" t="s">
        <v>27</v>
      </c>
      <c r="L803" t="s">
        <v>581</v>
      </c>
      <c r="M803" t="s">
        <v>29</v>
      </c>
      <c r="N803" t="s">
        <v>34</v>
      </c>
      <c r="O803" t="s">
        <v>582</v>
      </c>
      <c r="P803">
        <v>170.352</v>
      </c>
      <c r="Q803">
        <v>3</v>
      </c>
      <c r="R803">
        <v>10.647</v>
      </c>
      <c r="S803" t="s">
        <v>55</v>
      </c>
    </row>
    <row r="804" spans="1:19" x14ac:dyDescent="0.35">
      <c r="A804" t="s">
        <v>2585</v>
      </c>
      <c r="B804" s="1">
        <v>41940</v>
      </c>
      <c r="C804" s="1">
        <v>41943</v>
      </c>
      <c r="D804" t="s">
        <v>81</v>
      </c>
      <c r="E804" t="s">
        <v>1308</v>
      </c>
      <c r="F804" t="s">
        <v>1309</v>
      </c>
      <c r="G804" t="s">
        <v>84</v>
      </c>
      <c r="H804" t="s">
        <v>24</v>
      </c>
      <c r="I804" t="s">
        <v>49</v>
      </c>
      <c r="J804" t="s">
        <v>50</v>
      </c>
      <c r="K804" t="s">
        <v>51</v>
      </c>
      <c r="L804" t="s">
        <v>533</v>
      </c>
      <c r="M804" t="s">
        <v>29</v>
      </c>
      <c r="N804" t="s">
        <v>30</v>
      </c>
      <c r="O804" t="s">
        <v>534</v>
      </c>
      <c r="P804">
        <v>616.99800000000005</v>
      </c>
      <c r="Q804">
        <v>6</v>
      </c>
      <c r="R804">
        <v>-36.293999999999997</v>
      </c>
      <c r="S804" t="s">
        <v>45</v>
      </c>
    </row>
    <row r="805" spans="1:19" x14ac:dyDescent="0.35">
      <c r="A805" t="s">
        <v>2586</v>
      </c>
      <c r="B805" s="1">
        <v>42268</v>
      </c>
      <c r="C805" s="1">
        <v>42268</v>
      </c>
      <c r="D805" t="s">
        <v>417</v>
      </c>
      <c r="E805" t="s">
        <v>2587</v>
      </c>
      <c r="F805" t="s">
        <v>2588</v>
      </c>
      <c r="G805" t="s">
        <v>94</v>
      </c>
      <c r="H805" t="s">
        <v>24</v>
      </c>
      <c r="I805" t="s">
        <v>2389</v>
      </c>
      <c r="J805" t="s">
        <v>425</v>
      </c>
      <c r="K805" t="s">
        <v>63</v>
      </c>
      <c r="L805" t="s">
        <v>173</v>
      </c>
      <c r="M805" t="s">
        <v>29</v>
      </c>
      <c r="N805" t="s">
        <v>53</v>
      </c>
      <c r="O805" t="s">
        <v>174</v>
      </c>
      <c r="P805">
        <v>85.3</v>
      </c>
      <c r="Q805">
        <v>2</v>
      </c>
      <c r="R805">
        <v>14.500999999999999</v>
      </c>
      <c r="S805" t="s">
        <v>72</v>
      </c>
    </row>
    <row r="806" spans="1:19" x14ac:dyDescent="0.35">
      <c r="A806" t="s">
        <v>2589</v>
      </c>
      <c r="B806" s="1">
        <v>42892</v>
      </c>
      <c r="C806" s="1">
        <v>42896</v>
      </c>
      <c r="D806" t="s">
        <v>37</v>
      </c>
      <c r="E806" t="s">
        <v>2590</v>
      </c>
      <c r="F806" t="s">
        <v>2591</v>
      </c>
      <c r="G806" t="s">
        <v>94</v>
      </c>
      <c r="H806" t="s">
        <v>24</v>
      </c>
      <c r="I806" t="s">
        <v>320</v>
      </c>
      <c r="J806" t="s">
        <v>50</v>
      </c>
      <c r="K806" t="s">
        <v>51</v>
      </c>
      <c r="L806" t="s">
        <v>2592</v>
      </c>
      <c r="M806" t="s">
        <v>29</v>
      </c>
      <c r="N806" t="s">
        <v>53</v>
      </c>
      <c r="O806" t="s">
        <v>2593</v>
      </c>
      <c r="P806">
        <v>4.95</v>
      </c>
      <c r="Q806">
        <v>1</v>
      </c>
      <c r="R806">
        <v>2.1779999999999999</v>
      </c>
      <c r="S806" t="s">
        <v>55</v>
      </c>
    </row>
    <row r="807" spans="1:19" x14ac:dyDescent="0.35">
      <c r="A807" t="s">
        <v>2594</v>
      </c>
      <c r="B807" s="1">
        <v>42783</v>
      </c>
      <c r="C807" s="1">
        <v>42788</v>
      </c>
      <c r="D807" t="s">
        <v>37</v>
      </c>
      <c r="E807" t="s">
        <v>1228</v>
      </c>
      <c r="F807" t="s">
        <v>1229</v>
      </c>
      <c r="G807" t="s">
        <v>94</v>
      </c>
      <c r="H807" t="s">
        <v>24</v>
      </c>
      <c r="I807" t="s">
        <v>125</v>
      </c>
      <c r="J807" t="s">
        <v>126</v>
      </c>
      <c r="K807" t="s">
        <v>87</v>
      </c>
      <c r="L807" t="s">
        <v>1068</v>
      </c>
      <c r="M807" t="s">
        <v>29</v>
      </c>
      <c r="N807" t="s">
        <v>43</v>
      </c>
      <c r="O807" t="s">
        <v>1069</v>
      </c>
      <c r="P807">
        <v>480.96</v>
      </c>
      <c r="Q807">
        <v>3</v>
      </c>
      <c r="R807">
        <v>-269.33760000000001</v>
      </c>
      <c r="S807" t="s">
        <v>289</v>
      </c>
    </row>
    <row r="808" spans="1:19" x14ac:dyDescent="0.35">
      <c r="A808" t="s">
        <v>2595</v>
      </c>
      <c r="B808" s="1">
        <v>42336</v>
      </c>
      <c r="C808" s="1">
        <v>42341</v>
      </c>
      <c r="D808" t="s">
        <v>37</v>
      </c>
      <c r="E808" t="s">
        <v>213</v>
      </c>
      <c r="F808" t="s">
        <v>214</v>
      </c>
      <c r="G808" t="s">
        <v>23</v>
      </c>
      <c r="H808" t="s">
        <v>24</v>
      </c>
      <c r="I808" t="s">
        <v>2596</v>
      </c>
      <c r="J808" t="s">
        <v>126</v>
      </c>
      <c r="K808" t="s">
        <v>87</v>
      </c>
      <c r="L808" t="s">
        <v>2597</v>
      </c>
      <c r="M808" t="s">
        <v>29</v>
      </c>
      <c r="N808" t="s">
        <v>53</v>
      </c>
      <c r="O808" t="s">
        <v>2598</v>
      </c>
      <c r="P808">
        <v>151.96</v>
      </c>
      <c r="Q808">
        <v>5</v>
      </c>
      <c r="R808">
        <v>-182.352</v>
      </c>
      <c r="S808" t="s">
        <v>32</v>
      </c>
    </row>
    <row r="809" spans="1:19" x14ac:dyDescent="0.35">
      <c r="A809" t="s">
        <v>2599</v>
      </c>
      <c r="B809" s="1">
        <v>42300</v>
      </c>
      <c r="C809" s="1">
        <v>42304</v>
      </c>
      <c r="D809" t="s">
        <v>20</v>
      </c>
      <c r="E809" t="s">
        <v>2600</v>
      </c>
      <c r="F809" t="s">
        <v>2601</v>
      </c>
      <c r="G809" t="s">
        <v>23</v>
      </c>
      <c r="H809" t="s">
        <v>24</v>
      </c>
      <c r="I809" t="s">
        <v>630</v>
      </c>
      <c r="J809" t="s">
        <v>50</v>
      </c>
      <c r="K809" t="s">
        <v>51</v>
      </c>
      <c r="L809" t="s">
        <v>2325</v>
      </c>
      <c r="M809" t="s">
        <v>29</v>
      </c>
      <c r="N809" t="s">
        <v>34</v>
      </c>
      <c r="O809" t="s">
        <v>2326</v>
      </c>
      <c r="P809">
        <v>240.78399999999999</v>
      </c>
      <c r="Q809">
        <v>1</v>
      </c>
      <c r="R809">
        <v>27.088200000000001</v>
      </c>
      <c r="S809" t="s">
        <v>45</v>
      </c>
    </row>
    <row r="810" spans="1:19" x14ac:dyDescent="0.35">
      <c r="A810" t="s">
        <v>2599</v>
      </c>
      <c r="B810" s="1">
        <v>42300</v>
      </c>
      <c r="C810" s="1">
        <v>42304</v>
      </c>
      <c r="D810" t="s">
        <v>20</v>
      </c>
      <c r="E810" t="s">
        <v>2600</v>
      </c>
      <c r="F810" t="s">
        <v>2601</v>
      </c>
      <c r="G810" t="s">
        <v>23</v>
      </c>
      <c r="H810" t="s">
        <v>24</v>
      </c>
      <c r="I810" t="s">
        <v>630</v>
      </c>
      <c r="J810" t="s">
        <v>50</v>
      </c>
      <c r="K810" t="s">
        <v>51</v>
      </c>
      <c r="L810" t="s">
        <v>1093</v>
      </c>
      <c r="M810" t="s">
        <v>29</v>
      </c>
      <c r="N810" t="s">
        <v>34</v>
      </c>
      <c r="O810" t="s">
        <v>1094</v>
      </c>
      <c r="P810">
        <v>191.96799999999999</v>
      </c>
      <c r="Q810">
        <v>7</v>
      </c>
      <c r="R810">
        <v>16.7972</v>
      </c>
      <c r="S810" t="s">
        <v>45</v>
      </c>
    </row>
    <row r="811" spans="1:19" x14ac:dyDescent="0.35">
      <c r="A811" t="s">
        <v>2599</v>
      </c>
      <c r="B811" s="1">
        <v>42300</v>
      </c>
      <c r="C811" s="1">
        <v>42304</v>
      </c>
      <c r="D811" t="s">
        <v>20</v>
      </c>
      <c r="E811" t="s">
        <v>2600</v>
      </c>
      <c r="F811" t="s">
        <v>2601</v>
      </c>
      <c r="G811" t="s">
        <v>23</v>
      </c>
      <c r="H811" t="s">
        <v>24</v>
      </c>
      <c r="I811" t="s">
        <v>630</v>
      </c>
      <c r="J811" t="s">
        <v>50</v>
      </c>
      <c r="K811" t="s">
        <v>51</v>
      </c>
      <c r="L811" t="s">
        <v>1477</v>
      </c>
      <c r="M811" t="s">
        <v>29</v>
      </c>
      <c r="N811" t="s">
        <v>34</v>
      </c>
      <c r="O811" t="s">
        <v>1478</v>
      </c>
      <c r="P811">
        <v>842.35199999999998</v>
      </c>
      <c r="Q811">
        <v>3</v>
      </c>
      <c r="R811">
        <v>42.117600000000003</v>
      </c>
      <c r="S811" t="s">
        <v>45</v>
      </c>
    </row>
    <row r="812" spans="1:19" x14ac:dyDescent="0.35">
      <c r="A812" t="s">
        <v>2602</v>
      </c>
      <c r="B812" s="1">
        <v>42170</v>
      </c>
      <c r="C812" s="1">
        <v>42175</v>
      </c>
      <c r="D812" t="s">
        <v>37</v>
      </c>
      <c r="E812" t="s">
        <v>2603</v>
      </c>
      <c r="F812" t="s">
        <v>2604</v>
      </c>
      <c r="G812" t="s">
        <v>23</v>
      </c>
      <c r="H812" t="s">
        <v>24</v>
      </c>
      <c r="I812" t="s">
        <v>2024</v>
      </c>
      <c r="J812" t="s">
        <v>511</v>
      </c>
      <c r="K812" t="s">
        <v>51</v>
      </c>
      <c r="L812" t="s">
        <v>2597</v>
      </c>
      <c r="M812" t="s">
        <v>29</v>
      </c>
      <c r="N812" t="s">
        <v>53</v>
      </c>
      <c r="O812" t="s">
        <v>2598</v>
      </c>
      <c r="P812">
        <v>364.70400000000001</v>
      </c>
      <c r="Q812">
        <v>6</v>
      </c>
      <c r="R812">
        <v>-36.470399999999998</v>
      </c>
      <c r="S812" t="s">
        <v>55</v>
      </c>
    </row>
    <row r="813" spans="1:19" x14ac:dyDescent="0.35">
      <c r="A813" t="s">
        <v>2602</v>
      </c>
      <c r="B813" s="1">
        <v>42170</v>
      </c>
      <c r="C813" s="1">
        <v>42175</v>
      </c>
      <c r="D813" t="s">
        <v>37</v>
      </c>
      <c r="E813" t="s">
        <v>2603</v>
      </c>
      <c r="F813" t="s">
        <v>2604</v>
      </c>
      <c r="G813" t="s">
        <v>23</v>
      </c>
      <c r="H813" t="s">
        <v>24</v>
      </c>
      <c r="I813" t="s">
        <v>2024</v>
      </c>
      <c r="J813" t="s">
        <v>511</v>
      </c>
      <c r="K813" t="s">
        <v>51</v>
      </c>
      <c r="L813" t="s">
        <v>2605</v>
      </c>
      <c r="M813" t="s">
        <v>29</v>
      </c>
      <c r="N813" t="s">
        <v>53</v>
      </c>
      <c r="O813" t="s">
        <v>2606</v>
      </c>
      <c r="P813">
        <v>40.256</v>
      </c>
      <c r="Q813">
        <v>4</v>
      </c>
      <c r="R813">
        <v>11.070399999999999</v>
      </c>
      <c r="S813" t="s">
        <v>55</v>
      </c>
    </row>
    <row r="814" spans="1:19" x14ac:dyDescent="0.35">
      <c r="A814" t="s">
        <v>2607</v>
      </c>
      <c r="B814" s="1">
        <v>42698</v>
      </c>
      <c r="C814" s="1">
        <v>42704</v>
      </c>
      <c r="D814" t="s">
        <v>37</v>
      </c>
      <c r="E814" t="s">
        <v>2608</v>
      </c>
      <c r="F814" t="s">
        <v>2609</v>
      </c>
      <c r="G814" t="s">
        <v>84</v>
      </c>
      <c r="H814" t="s">
        <v>24</v>
      </c>
      <c r="I814" t="s">
        <v>49</v>
      </c>
      <c r="J814" t="s">
        <v>50</v>
      </c>
      <c r="K814" t="s">
        <v>51</v>
      </c>
      <c r="L814" t="s">
        <v>842</v>
      </c>
      <c r="M814" t="s">
        <v>29</v>
      </c>
      <c r="N814" t="s">
        <v>34</v>
      </c>
      <c r="O814" t="s">
        <v>843</v>
      </c>
      <c r="P814">
        <v>1684.752</v>
      </c>
      <c r="Q814">
        <v>6</v>
      </c>
      <c r="R814">
        <v>210.59399999999999</v>
      </c>
      <c r="S814" t="s">
        <v>32</v>
      </c>
    </row>
    <row r="815" spans="1:19" x14ac:dyDescent="0.35">
      <c r="A815" t="s">
        <v>2610</v>
      </c>
      <c r="B815" s="1">
        <v>42099</v>
      </c>
      <c r="C815" s="1">
        <v>42104</v>
      </c>
      <c r="D815" t="s">
        <v>37</v>
      </c>
      <c r="E815" t="s">
        <v>2611</v>
      </c>
      <c r="F815" t="s">
        <v>2612</v>
      </c>
      <c r="G815" t="s">
        <v>94</v>
      </c>
      <c r="H815" t="s">
        <v>24</v>
      </c>
      <c r="I815" t="s">
        <v>61</v>
      </c>
      <c r="J815" t="s">
        <v>62</v>
      </c>
      <c r="K815" t="s">
        <v>63</v>
      </c>
      <c r="L815" t="s">
        <v>1822</v>
      </c>
      <c r="M815" t="s">
        <v>29</v>
      </c>
      <c r="N815" t="s">
        <v>53</v>
      </c>
      <c r="O815" t="s">
        <v>1823</v>
      </c>
      <c r="P815">
        <v>547.13599999999997</v>
      </c>
      <c r="Q815">
        <v>4</v>
      </c>
      <c r="R815">
        <v>-68.391999999999996</v>
      </c>
      <c r="S815" t="s">
        <v>107</v>
      </c>
    </row>
    <row r="816" spans="1:19" x14ac:dyDescent="0.35">
      <c r="A816" t="s">
        <v>2610</v>
      </c>
      <c r="B816" s="1">
        <v>42099</v>
      </c>
      <c r="C816" s="1">
        <v>42104</v>
      </c>
      <c r="D816" t="s">
        <v>37</v>
      </c>
      <c r="E816" t="s">
        <v>2611</v>
      </c>
      <c r="F816" t="s">
        <v>2612</v>
      </c>
      <c r="G816" t="s">
        <v>94</v>
      </c>
      <c r="H816" t="s">
        <v>24</v>
      </c>
      <c r="I816" t="s">
        <v>61</v>
      </c>
      <c r="J816" t="s">
        <v>62</v>
      </c>
      <c r="K816" t="s">
        <v>63</v>
      </c>
      <c r="L816" t="s">
        <v>1586</v>
      </c>
      <c r="M816" t="s">
        <v>29</v>
      </c>
      <c r="N816" t="s">
        <v>53</v>
      </c>
      <c r="O816" t="s">
        <v>1587</v>
      </c>
      <c r="P816">
        <v>7.5839999999999996</v>
      </c>
      <c r="Q816">
        <v>1</v>
      </c>
      <c r="R816">
        <v>2.37</v>
      </c>
      <c r="S816" t="s">
        <v>107</v>
      </c>
    </row>
    <row r="817" spans="1:19" x14ac:dyDescent="0.35">
      <c r="A817" t="s">
        <v>2610</v>
      </c>
      <c r="B817" s="1">
        <v>42099</v>
      </c>
      <c r="C817" s="1">
        <v>42104</v>
      </c>
      <c r="D817" t="s">
        <v>37</v>
      </c>
      <c r="E817" t="s">
        <v>2611</v>
      </c>
      <c r="F817" t="s">
        <v>2612</v>
      </c>
      <c r="G817" t="s">
        <v>94</v>
      </c>
      <c r="H817" t="s">
        <v>24</v>
      </c>
      <c r="I817" t="s">
        <v>61</v>
      </c>
      <c r="J817" t="s">
        <v>62</v>
      </c>
      <c r="K817" t="s">
        <v>63</v>
      </c>
      <c r="L817" t="s">
        <v>2613</v>
      </c>
      <c r="M817" t="s">
        <v>29</v>
      </c>
      <c r="N817" t="s">
        <v>30</v>
      </c>
      <c r="O817" t="s">
        <v>2614</v>
      </c>
      <c r="P817">
        <v>352.45</v>
      </c>
      <c r="Q817">
        <v>5</v>
      </c>
      <c r="R817">
        <v>-211.47</v>
      </c>
      <c r="S817" t="s">
        <v>107</v>
      </c>
    </row>
    <row r="818" spans="1:19" x14ac:dyDescent="0.35">
      <c r="A818" t="s">
        <v>2615</v>
      </c>
      <c r="B818" s="1">
        <v>42996</v>
      </c>
      <c r="C818" s="1">
        <v>43003</v>
      </c>
      <c r="D818" t="s">
        <v>37</v>
      </c>
      <c r="E818" t="s">
        <v>2616</v>
      </c>
      <c r="F818" t="s">
        <v>2617</v>
      </c>
      <c r="G818" t="s">
        <v>84</v>
      </c>
      <c r="H818" t="s">
        <v>24</v>
      </c>
      <c r="I818" t="s">
        <v>165</v>
      </c>
      <c r="J818" t="s">
        <v>114</v>
      </c>
      <c r="K818" t="s">
        <v>63</v>
      </c>
      <c r="L818" t="s">
        <v>1090</v>
      </c>
      <c r="M818" t="s">
        <v>29</v>
      </c>
      <c r="N818" t="s">
        <v>53</v>
      </c>
      <c r="O818" t="s">
        <v>1091</v>
      </c>
      <c r="P818">
        <v>9.82</v>
      </c>
      <c r="Q818">
        <v>2</v>
      </c>
      <c r="R818">
        <v>3.2406000000000001</v>
      </c>
      <c r="S818" t="s">
        <v>72</v>
      </c>
    </row>
    <row r="819" spans="1:19" x14ac:dyDescent="0.35">
      <c r="A819" t="s">
        <v>2618</v>
      </c>
      <c r="B819" s="1">
        <v>42934</v>
      </c>
      <c r="C819" s="1">
        <v>42939</v>
      </c>
      <c r="D819" t="s">
        <v>37</v>
      </c>
      <c r="E819" t="s">
        <v>2507</v>
      </c>
      <c r="F819" t="s">
        <v>2508</v>
      </c>
      <c r="G819" t="s">
        <v>23</v>
      </c>
      <c r="H819" t="s">
        <v>24</v>
      </c>
      <c r="I819" t="s">
        <v>510</v>
      </c>
      <c r="J819" t="s">
        <v>511</v>
      </c>
      <c r="K819" t="s">
        <v>51</v>
      </c>
      <c r="L819" t="s">
        <v>1068</v>
      </c>
      <c r="M819" t="s">
        <v>29</v>
      </c>
      <c r="N819" t="s">
        <v>43</v>
      </c>
      <c r="O819" t="s">
        <v>1069</v>
      </c>
      <c r="P819">
        <v>801.6</v>
      </c>
      <c r="Q819">
        <v>5</v>
      </c>
      <c r="R819">
        <v>-448.89600000000002</v>
      </c>
      <c r="S819" t="s">
        <v>66</v>
      </c>
    </row>
    <row r="820" spans="1:19" x14ac:dyDescent="0.35">
      <c r="A820" t="s">
        <v>2618</v>
      </c>
      <c r="B820" s="1">
        <v>42934</v>
      </c>
      <c r="C820" s="1">
        <v>42939</v>
      </c>
      <c r="D820" t="s">
        <v>37</v>
      </c>
      <c r="E820" t="s">
        <v>2507</v>
      </c>
      <c r="F820" t="s">
        <v>2508</v>
      </c>
      <c r="G820" t="s">
        <v>23</v>
      </c>
      <c r="H820" t="s">
        <v>24</v>
      </c>
      <c r="I820" t="s">
        <v>510</v>
      </c>
      <c r="J820" t="s">
        <v>511</v>
      </c>
      <c r="K820" t="s">
        <v>51</v>
      </c>
      <c r="L820" t="s">
        <v>98</v>
      </c>
      <c r="M820" t="s">
        <v>29</v>
      </c>
      <c r="N820" t="s">
        <v>34</v>
      </c>
      <c r="O820" t="s">
        <v>99</v>
      </c>
      <c r="P820">
        <v>161.56800000000001</v>
      </c>
      <c r="Q820">
        <v>2</v>
      </c>
      <c r="R820">
        <v>10.098000000000001</v>
      </c>
      <c r="S820" t="s">
        <v>66</v>
      </c>
    </row>
    <row r="821" spans="1:19" x14ac:dyDescent="0.35">
      <c r="A821" t="s">
        <v>2618</v>
      </c>
      <c r="B821" s="1">
        <v>42934</v>
      </c>
      <c r="C821" s="1">
        <v>42939</v>
      </c>
      <c r="D821" t="s">
        <v>37</v>
      </c>
      <c r="E821" t="s">
        <v>2507</v>
      </c>
      <c r="F821" t="s">
        <v>2508</v>
      </c>
      <c r="G821" t="s">
        <v>23</v>
      </c>
      <c r="H821" t="s">
        <v>24</v>
      </c>
      <c r="I821" t="s">
        <v>510</v>
      </c>
      <c r="J821" t="s">
        <v>511</v>
      </c>
      <c r="K821" t="s">
        <v>51</v>
      </c>
      <c r="L821" t="s">
        <v>134</v>
      </c>
      <c r="M821" t="s">
        <v>29</v>
      </c>
      <c r="N821" t="s">
        <v>34</v>
      </c>
      <c r="O821" t="s">
        <v>135</v>
      </c>
      <c r="P821">
        <v>311.976</v>
      </c>
      <c r="Q821">
        <v>3</v>
      </c>
      <c r="R821">
        <v>-42.896700000000003</v>
      </c>
      <c r="S821" t="s">
        <v>66</v>
      </c>
    </row>
    <row r="822" spans="1:19" x14ac:dyDescent="0.35">
      <c r="A822" t="s">
        <v>2619</v>
      </c>
      <c r="B822" s="1">
        <v>41899</v>
      </c>
      <c r="C822" s="1">
        <v>41903</v>
      </c>
      <c r="D822" t="s">
        <v>37</v>
      </c>
      <c r="E822" t="s">
        <v>1440</v>
      </c>
      <c r="F822" t="s">
        <v>1441</v>
      </c>
      <c r="G822" t="s">
        <v>23</v>
      </c>
      <c r="H822" t="s">
        <v>24</v>
      </c>
      <c r="I822" t="s">
        <v>183</v>
      </c>
      <c r="J822" t="s">
        <v>184</v>
      </c>
      <c r="K822" t="s">
        <v>51</v>
      </c>
      <c r="L822" t="s">
        <v>1980</v>
      </c>
      <c r="M822" t="s">
        <v>29</v>
      </c>
      <c r="N822" t="s">
        <v>53</v>
      </c>
      <c r="O822" t="s">
        <v>1981</v>
      </c>
      <c r="P822">
        <v>35.340000000000003</v>
      </c>
      <c r="Q822">
        <v>2</v>
      </c>
      <c r="R822">
        <v>13.4292</v>
      </c>
      <c r="S822" t="s">
        <v>72</v>
      </c>
    </row>
    <row r="823" spans="1:19" x14ac:dyDescent="0.35">
      <c r="A823" t="s">
        <v>2620</v>
      </c>
      <c r="B823" s="1">
        <v>42443</v>
      </c>
      <c r="C823" s="1">
        <v>42446</v>
      </c>
      <c r="D823" t="s">
        <v>81</v>
      </c>
      <c r="E823" t="s">
        <v>963</v>
      </c>
      <c r="F823" t="s">
        <v>964</v>
      </c>
      <c r="G823" t="s">
        <v>23</v>
      </c>
      <c r="H823" t="s">
        <v>24</v>
      </c>
      <c r="I823" t="s">
        <v>2621</v>
      </c>
      <c r="J823" t="s">
        <v>86</v>
      </c>
      <c r="K823" t="s">
        <v>87</v>
      </c>
      <c r="L823" t="s">
        <v>801</v>
      </c>
      <c r="M823" t="s">
        <v>29</v>
      </c>
      <c r="N823" t="s">
        <v>30</v>
      </c>
      <c r="O823" t="s">
        <v>802</v>
      </c>
      <c r="P823">
        <v>241.33199999999999</v>
      </c>
      <c r="Q823">
        <v>5</v>
      </c>
      <c r="R823">
        <v>-14.196</v>
      </c>
      <c r="S823" t="s">
        <v>187</v>
      </c>
    </row>
    <row r="824" spans="1:19" x14ac:dyDescent="0.35">
      <c r="A824" t="s">
        <v>2622</v>
      </c>
      <c r="B824" s="1">
        <v>42171</v>
      </c>
      <c r="C824" s="1">
        <v>42175</v>
      </c>
      <c r="D824" t="s">
        <v>37</v>
      </c>
      <c r="E824" t="s">
        <v>2575</v>
      </c>
      <c r="F824" t="s">
        <v>2576</v>
      </c>
      <c r="G824" t="s">
        <v>23</v>
      </c>
      <c r="H824" t="s">
        <v>24</v>
      </c>
      <c r="I824" t="s">
        <v>1708</v>
      </c>
      <c r="J824" t="s">
        <v>86</v>
      </c>
      <c r="K824" t="s">
        <v>87</v>
      </c>
      <c r="L824" t="s">
        <v>1132</v>
      </c>
      <c r="M824" t="s">
        <v>29</v>
      </c>
      <c r="N824" t="s">
        <v>34</v>
      </c>
      <c r="O824" t="s">
        <v>1133</v>
      </c>
      <c r="P824">
        <v>197.37200000000001</v>
      </c>
      <c r="Q824">
        <v>2</v>
      </c>
      <c r="R824">
        <v>-25.3764</v>
      </c>
      <c r="S824" t="s">
        <v>55</v>
      </c>
    </row>
    <row r="825" spans="1:19" x14ac:dyDescent="0.35">
      <c r="A825" t="s">
        <v>2623</v>
      </c>
      <c r="B825" s="1">
        <v>42714</v>
      </c>
      <c r="C825" s="1">
        <v>42714</v>
      </c>
      <c r="D825" t="s">
        <v>417</v>
      </c>
      <c r="E825" t="s">
        <v>2624</v>
      </c>
      <c r="F825" t="s">
        <v>2625</v>
      </c>
      <c r="G825" t="s">
        <v>23</v>
      </c>
      <c r="H825" t="s">
        <v>24</v>
      </c>
      <c r="I825" t="s">
        <v>2626</v>
      </c>
      <c r="J825" t="s">
        <v>104</v>
      </c>
      <c r="K825" t="s">
        <v>87</v>
      </c>
      <c r="L825" t="s">
        <v>566</v>
      </c>
      <c r="M825" t="s">
        <v>29</v>
      </c>
      <c r="N825" t="s">
        <v>34</v>
      </c>
      <c r="O825" t="s">
        <v>567</v>
      </c>
      <c r="P825">
        <v>1424.9</v>
      </c>
      <c r="Q825">
        <v>5</v>
      </c>
      <c r="R825">
        <v>356.22500000000002</v>
      </c>
      <c r="S825" t="s">
        <v>90</v>
      </c>
    </row>
    <row r="826" spans="1:19" x14ac:dyDescent="0.35">
      <c r="A826" t="s">
        <v>2627</v>
      </c>
      <c r="B826" s="1">
        <v>42873</v>
      </c>
      <c r="C826" s="1">
        <v>42878</v>
      </c>
      <c r="D826" t="s">
        <v>37</v>
      </c>
      <c r="E826" t="s">
        <v>2628</v>
      </c>
      <c r="F826" t="s">
        <v>2629</v>
      </c>
      <c r="G826" t="s">
        <v>23</v>
      </c>
      <c r="H826" t="s">
        <v>24</v>
      </c>
      <c r="I826" t="s">
        <v>165</v>
      </c>
      <c r="J826" t="s">
        <v>114</v>
      </c>
      <c r="K826" t="s">
        <v>63</v>
      </c>
      <c r="L826" t="s">
        <v>1339</v>
      </c>
      <c r="M826" t="s">
        <v>29</v>
      </c>
      <c r="N826" t="s">
        <v>53</v>
      </c>
      <c r="O826" t="s">
        <v>1340</v>
      </c>
      <c r="P826">
        <v>14.56</v>
      </c>
      <c r="Q826">
        <v>2</v>
      </c>
      <c r="R826">
        <v>6.2607999999999997</v>
      </c>
      <c r="S826" t="s">
        <v>153</v>
      </c>
    </row>
    <row r="827" spans="1:19" x14ac:dyDescent="0.35">
      <c r="A827" t="s">
        <v>2630</v>
      </c>
      <c r="B827" s="1">
        <v>42692</v>
      </c>
      <c r="C827" s="1">
        <v>42696</v>
      </c>
      <c r="D827" t="s">
        <v>37</v>
      </c>
      <c r="E827" t="s">
        <v>92</v>
      </c>
      <c r="F827" t="s">
        <v>93</v>
      </c>
      <c r="G827" t="s">
        <v>94</v>
      </c>
      <c r="H827" t="s">
        <v>24</v>
      </c>
      <c r="I827" t="s">
        <v>1176</v>
      </c>
      <c r="J827" t="s">
        <v>86</v>
      </c>
      <c r="K827" t="s">
        <v>87</v>
      </c>
      <c r="L827" t="s">
        <v>243</v>
      </c>
      <c r="M827" t="s">
        <v>29</v>
      </c>
      <c r="N827" t="s">
        <v>34</v>
      </c>
      <c r="O827" t="s">
        <v>244</v>
      </c>
      <c r="P827">
        <v>255.108</v>
      </c>
      <c r="Q827">
        <v>6</v>
      </c>
      <c r="R827">
        <v>-18.222000000000001</v>
      </c>
      <c r="S827" t="s">
        <v>32</v>
      </c>
    </row>
    <row r="828" spans="1:19" x14ac:dyDescent="0.35">
      <c r="A828" t="s">
        <v>2631</v>
      </c>
      <c r="B828" s="1">
        <v>41733</v>
      </c>
      <c r="C828" s="1">
        <v>41738</v>
      </c>
      <c r="D828" t="s">
        <v>37</v>
      </c>
      <c r="E828" t="s">
        <v>1153</v>
      </c>
      <c r="F828" t="s">
        <v>1154</v>
      </c>
      <c r="G828" t="s">
        <v>23</v>
      </c>
      <c r="H828" t="s">
        <v>24</v>
      </c>
      <c r="I828" t="s">
        <v>280</v>
      </c>
      <c r="J828" t="s">
        <v>281</v>
      </c>
      <c r="K828" t="s">
        <v>87</v>
      </c>
      <c r="L828" t="s">
        <v>611</v>
      </c>
      <c r="M828" t="s">
        <v>29</v>
      </c>
      <c r="N828" t="s">
        <v>53</v>
      </c>
      <c r="O828" t="s">
        <v>612</v>
      </c>
      <c r="P828">
        <v>5.47</v>
      </c>
      <c r="Q828">
        <v>1</v>
      </c>
      <c r="R828">
        <v>2.3521000000000001</v>
      </c>
      <c r="S828" t="s">
        <v>107</v>
      </c>
    </row>
    <row r="829" spans="1:19" x14ac:dyDescent="0.35">
      <c r="A829" t="s">
        <v>2632</v>
      </c>
      <c r="B829" s="1">
        <v>42547</v>
      </c>
      <c r="C829" s="1">
        <v>42554</v>
      </c>
      <c r="D829" t="s">
        <v>37</v>
      </c>
      <c r="E829" t="s">
        <v>2633</v>
      </c>
      <c r="F829" t="s">
        <v>2634</v>
      </c>
      <c r="G829" t="s">
        <v>23</v>
      </c>
      <c r="H829" t="s">
        <v>24</v>
      </c>
      <c r="I829" t="s">
        <v>320</v>
      </c>
      <c r="J829" t="s">
        <v>50</v>
      </c>
      <c r="K829" t="s">
        <v>51</v>
      </c>
      <c r="L829" t="s">
        <v>1709</v>
      </c>
      <c r="M829" t="s">
        <v>29</v>
      </c>
      <c r="N829" t="s">
        <v>53</v>
      </c>
      <c r="O829" t="s">
        <v>1710</v>
      </c>
      <c r="P829">
        <v>22.14</v>
      </c>
      <c r="Q829">
        <v>3</v>
      </c>
      <c r="R829">
        <v>6.4206000000000003</v>
      </c>
      <c r="S829" t="s">
        <v>55</v>
      </c>
    </row>
    <row r="830" spans="1:19" x14ac:dyDescent="0.35">
      <c r="A830" t="s">
        <v>2635</v>
      </c>
      <c r="B830" s="1">
        <v>42519</v>
      </c>
      <c r="C830" s="1">
        <v>42523</v>
      </c>
      <c r="D830" t="s">
        <v>37</v>
      </c>
      <c r="E830" t="s">
        <v>2636</v>
      </c>
      <c r="F830" t="s">
        <v>2637</v>
      </c>
      <c r="G830" t="s">
        <v>23</v>
      </c>
      <c r="H830" t="s">
        <v>24</v>
      </c>
      <c r="I830" t="s">
        <v>2638</v>
      </c>
      <c r="J830" t="s">
        <v>133</v>
      </c>
      <c r="K830" t="s">
        <v>27</v>
      </c>
      <c r="L830" t="s">
        <v>2639</v>
      </c>
      <c r="M830" t="s">
        <v>29</v>
      </c>
      <c r="N830" t="s">
        <v>53</v>
      </c>
      <c r="O830" t="s">
        <v>2640</v>
      </c>
      <c r="P830">
        <v>44.76</v>
      </c>
      <c r="Q830">
        <v>3</v>
      </c>
      <c r="R830">
        <v>14.547000000000001</v>
      </c>
      <c r="S830" t="s">
        <v>153</v>
      </c>
    </row>
    <row r="831" spans="1:19" x14ac:dyDescent="0.35">
      <c r="A831" t="s">
        <v>2641</v>
      </c>
      <c r="B831" s="1">
        <v>42785</v>
      </c>
      <c r="C831" s="1">
        <v>42786</v>
      </c>
      <c r="D831" t="s">
        <v>81</v>
      </c>
      <c r="E831" t="s">
        <v>2642</v>
      </c>
      <c r="F831" t="s">
        <v>2643</v>
      </c>
      <c r="G831" t="s">
        <v>94</v>
      </c>
      <c r="H831" t="s">
        <v>24</v>
      </c>
      <c r="I831" t="s">
        <v>49</v>
      </c>
      <c r="J831" t="s">
        <v>50</v>
      </c>
      <c r="K831" t="s">
        <v>51</v>
      </c>
      <c r="L831" t="s">
        <v>1195</v>
      </c>
      <c r="M831" t="s">
        <v>29</v>
      </c>
      <c r="N831" t="s">
        <v>53</v>
      </c>
      <c r="O831" t="s">
        <v>1196</v>
      </c>
      <c r="P831">
        <v>44.67</v>
      </c>
      <c r="Q831">
        <v>3</v>
      </c>
      <c r="R831">
        <v>12.0609</v>
      </c>
      <c r="S831" t="s">
        <v>289</v>
      </c>
    </row>
    <row r="832" spans="1:19" x14ac:dyDescent="0.35">
      <c r="A832" t="s">
        <v>2644</v>
      </c>
      <c r="B832" s="1">
        <v>42458</v>
      </c>
      <c r="C832" s="1">
        <v>42462</v>
      </c>
      <c r="D832" t="s">
        <v>37</v>
      </c>
      <c r="E832" t="s">
        <v>2645</v>
      </c>
      <c r="F832" t="s">
        <v>2646</v>
      </c>
      <c r="G832" t="s">
        <v>23</v>
      </c>
      <c r="H832" t="s">
        <v>24</v>
      </c>
      <c r="I832" t="s">
        <v>165</v>
      </c>
      <c r="J832" t="s">
        <v>114</v>
      </c>
      <c r="K832" t="s">
        <v>63</v>
      </c>
      <c r="L832" t="s">
        <v>78</v>
      </c>
      <c r="M832" t="s">
        <v>29</v>
      </c>
      <c r="N832" t="s">
        <v>53</v>
      </c>
      <c r="O832" t="s">
        <v>79</v>
      </c>
      <c r="P832">
        <v>414</v>
      </c>
      <c r="Q832">
        <v>8</v>
      </c>
      <c r="R832">
        <v>124.2</v>
      </c>
      <c r="S832" t="s">
        <v>187</v>
      </c>
    </row>
    <row r="833" spans="1:19" x14ac:dyDescent="0.35">
      <c r="A833" t="s">
        <v>2647</v>
      </c>
      <c r="B833" s="1">
        <v>42665</v>
      </c>
      <c r="C833" s="1">
        <v>42667</v>
      </c>
      <c r="D833" t="s">
        <v>81</v>
      </c>
      <c r="E833" t="s">
        <v>2648</v>
      </c>
      <c r="F833" t="s">
        <v>2649</v>
      </c>
      <c r="G833" t="s">
        <v>23</v>
      </c>
      <c r="H833" t="s">
        <v>24</v>
      </c>
      <c r="I833" t="s">
        <v>626</v>
      </c>
      <c r="J833" t="s">
        <v>707</v>
      </c>
      <c r="K833" t="s">
        <v>27</v>
      </c>
      <c r="L833" t="s">
        <v>2650</v>
      </c>
      <c r="M833" t="s">
        <v>29</v>
      </c>
      <c r="N833" t="s">
        <v>53</v>
      </c>
      <c r="O833" t="s">
        <v>2651</v>
      </c>
      <c r="P833">
        <v>39.92</v>
      </c>
      <c r="Q833">
        <v>4</v>
      </c>
      <c r="R833">
        <v>11.1776</v>
      </c>
      <c r="S833" t="s">
        <v>45</v>
      </c>
    </row>
    <row r="834" spans="1:19" x14ac:dyDescent="0.35">
      <c r="A834" t="s">
        <v>2652</v>
      </c>
      <c r="B834" s="1">
        <v>41996</v>
      </c>
      <c r="C834" s="1">
        <v>42000</v>
      </c>
      <c r="D834" t="s">
        <v>37</v>
      </c>
      <c r="E834" t="s">
        <v>2653</v>
      </c>
      <c r="F834" t="s">
        <v>2654</v>
      </c>
      <c r="G834" t="s">
        <v>84</v>
      </c>
      <c r="H834" t="s">
        <v>24</v>
      </c>
      <c r="I834" t="s">
        <v>165</v>
      </c>
      <c r="J834" t="s">
        <v>114</v>
      </c>
      <c r="K834" t="s">
        <v>63</v>
      </c>
      <c r="L834" t="s">
        <v>1240</v>
      </c>
      <c r="M834" t="s">
        <v>29</v>
      </c>
      <c r="N834" t="s">
        <v>43</v>
      </c>
      <c r="O834" t="s">
        <v>1241</v>
      </c>
      <c r="P834">
        <v>53.316000000000003</v>
      </c>
      <c r="Q834">
        <v>2</v>
      </c>
      <c r="R834">
        <v>-19.549199999999999</v>
      </c>
      <c r="S834" t="s">
        <v>90</v>
      </c>
    </row>
    <row r="835" spans="1:19" x14ac:dyDescent="0.35">
      <c r="A835" t="s">
        <v>2655</v>
      </c>
      <c r="B835" s="1">
        <v>43084</v>
      </c>
      <c r="C835" s="1">
        <v>43089</v>
      </c>
      <c r="D835" t="s">
        <v>37</v>
      </c>
      <c r="E835" t="s">
        <v>2656</v>
      </c>
      <c r="F835" t="s">
        <v>2657</v>
      </c>
      <c r="G835" t="s">
        <v>94</v>
      </c>
      <c r="H835" t="s">
        <v>24</v>
      </c>
      <c r="I835" t="s">
        <v>183</v>
      </c>
      <c r="J835" t="s">
        <v>184</v>
      </c>
      <c r="K835" t="s">
        <v>51</v>
      </c>
      <c r="L835" t="s">
        <v>685</v>
      </c>
      <c r="M835" t="s">
        <v>29</v>
      </c>
      <c r="N835" t="s">
        <v>53</v>
      </c>
      <c r="O835" t="s">
        <v>686</v>
      </c>
      <c r="P835">
        <v>22.77</v>
      </c>
      <c r="Q835">
        <v>3</v>
      </c>
      <c r="R835">
        <v>9.7911000000000001</v>
      </c>
      <c r="S835" t="s">
        <v>90</v>
      </c>
    </row>
    <row r="836" spans="1:19" x14ac:dyDescent="0.35">
      <c r="A836" t="s">
        <v>2658</v>
      </c>
      <c r="B836" s="1">
        <v>42558</v>
      </c>
      <c r="C836" s="1">
        <v>42560</v>
      </c>
      <c r="D836" t="s">
        <v>20</v>
      </c>
      <c r="E836" t="s">
        <v>2124</v>
      </c>
      <c r="F836" t="s">
        <v>2125</v>
      </c>
      <c r="G836" t="s">
        <v>23</v>
      </c>
      <c r="H836" t="s">
        <v>24</v>
      </c>
      <c r="I836" t="s">
        <v>49</v>
      </c>
      <c r="J836" t="s">
        <v>50</v>
      </c>
      <c r="K836" t="s">
        <v>51</v>
      </c>
      <c r="L836" t="s">
        <v>108</v>
      </c>
      <c r="M836" t="s">
        <v>29</v>
      </c>
      <c r="N836" t="s">
        <v>34</v>
      </c>
      <c r="O836" t="s">
        <v>109</v>
      </c>
      <c r="P836">
        <v>287.96800000000002</v>
      </c>
      <c r="Q836">
        <v>4</v>
      </c>
      <c r="R836">
        <v>-3.5996000000000001</v>
      </c>
      <c r="S836" t="s">
        <v>66</v>
      </c>
    </row>
    <row r="837" spans="1:19" x14ac:dyDescent="0.35">
      <c r="A837" t="s">
        <v>2659</v>
      </c>
      <c r="B837" s="1">
        <v>42477</v>
      </c>
      <c r="C837" s="1">
        <v>42481</v>
      </c>
      <c r="D837" t="s">
        <v>37</v>
      </c>
      <c r="E837" t="s">
        <v>1322</v>
      </c>
      <c r="F837" t="s">
        <v>1323</v>
      </c>
      <c r="G837" t="s">
        <v>23</v>
      </c>
      <c r="H837" t="s">
        <v>24</v>
      </c>
      <c r="I837" t="s">
        <v>2051</v>
      </c>
      <c r="J837" t="s">
        <v>50</v>
      </c>
      <c r="K837" t="s">
        <v>51</v>
      </c>
      <c r="L837" t="s">
        <v>889</v>
      </c>
      <c r="M837" t="s">
        <v>29</v>
      </c>
      <c r="N837" t="s">
        <v>30</v>
      </c>
      <c r="O837" t="s">
        <v>890</v>
      </c>
      <c r="P837">
        <v>257.49900000000002</v>
      </c>
      <c r="Q837">
        <v>3</v>
      </c>
      <c r="R837">
        <v>24.235199999999999</v>
      </c>
      <c r="S837" t="s">
        <v>107</v>
      </c>
    </row>
    <row r="838" spans="1:19" x14ac:dyDescent="0.35">
      <c r="A838" t="s">
        <v>2660</v>
      </c>
      <c r="B838" s="1">
        <v>42477</v>
      </c>
      <c r="C838" s="1">
        <v>42482</v>
      </c>
      <c r="D838" t="s">
        <v>37</v>
      </c>
      <c r="E838" t="s">
        <v>2661</v>
      </c>
      <c r="F838" t="s">
        <v>2662</v>
      </c>
      <c r="G838" t="s">
        <v>84</v>
      </c>
      <c r="H838" t="s">
        <v>24</v>
      </c>
      <c r="I838" t="s">
        <v>149</v>
      </c>
      <c r="J838" t="s">
        <v>133</v>
      </c>
      <c r="K838" t="s">
        <v>27</v>
      </c>
      <c r="L838" t="s">
        <v>2663</v>
      </c>
      <c r="M838" t="s">
        <v>29</v>
      </c>
      <c r="N838" t="s">
        <v>53</v>
      </c>
      <c r="O838" t="s">
        <v>2664</v>
      </c>
      <c r="P838">
        <v>79.12</v>
      </c>
      <c r="Q838">
        <v>5</v>
      </c>
      <c r="R838">
        <v>13.846</v>
      </c>
      <c r="S838" t="s">
        <v>107</v>
      </c>
    </row>
    <row r="839" spans="1:19" x14ac:dyDescent="0.35">
      <c r="A839" t="s">
        <v>2665</v>
      </c>
      <c r="B839" s="1">
        <v>41968</v>
      </c>
      <c r="C839" s="1">
        <v>41970</v>
      </c>
      <c r="D839" t="s">
        <v>20</v>
      </c>
      <c r="E839" t="s">
        <v>2666</v>
      </c>
      <c r="F839" t="s">
        <v>2667</v>
      </c>
      <c r="G839" t="s">
        <v>23</v>
      </c>
      <c r="H839" t="s">
        <v>24</v>
      </c>
      <c r="I839" t="s">
        <v>2668</v>
      </c>
      <c r="J839" t="s">
        <v>1636</v>
      </c>
      <c r="K839" t="s">
        <v>63</v>
      </c>
      <c r="L839" t="s">
        <v>934</v>
      </c>
      <c r="M839" t="s">
        <v>29</v>
      </c>
      <c r="N839" t="s">
        <v>53</v>
      </c>
      <c r="O839" t="s">
        <v>935</v>
      </c>
      <c r="P839">
        <v>52.96</v>
      </c>
      <c r="Q839">
        <v>2</v>
      </c>
      <c r="R839">
        <v>20.1248</v>
      </c>
      <c r="S839" t="s">
        <v>32</v>
      </c>
    </row>
    <row r="840" spans="1:19" x14ac:dyDescent="0.35">
      <c r="A840" t="s">
        <v>2669</v>
      </c>
      <c r="B840" s="1">
        <v>42125</v>
      </c>
      <c r="C840" s="1">
        <v>42129</v>
      </c>
      <c r="D840" t="s">
        <v>37</v>
      </c>
      <c r="E840" t="s">
        <v>2670</v>
      </c>
      <c r="F840" t="s">
        <v>2671</v>
      </c>
      <c r="G840" t="s">
        <v>84</v>
      </c>
      <c r="H840" t="s">
        <v>24</v>
      </c>
      <c r="I840" t="s">
        <v>295</v>
      </c>
      <c r="J840" t="s">
        <v>41</v>
      </c>
      <c r="K840" t="s">
        <v>27</v>
      </c>
      <c r="L840" t="s">
        <v>934</v>
      </c>
      <c r="M840" t="s">
        <v>29</v>
      </c>
      <c r="N840" t="s">
        <v>53</v>
      </c>
      <c r="O840" t="s">
        <v>935</v>
      </c>
      <c r="P840">
        <v>63.552</v>
      </c>
      <c r="Q840">
        <v>3</v>
      </c>
      <c r="R840">
        <v>14.299200000000001</v>
      </c>
      <c r="S840" t="s">
        <v>153</v>
      </c>
    </row>
    <row r="841" spans="1:19" x14ac:dyDescent="0.35">
      <c r="A841" t="s">
        <v>2672</v>
      </c>
      <c r="B841" s="1">
        <v>42071</v>
      </c>
      <c r="C841" s="1">
        <v>42075</v>
      </c>
      <c r="D841" t="s">
        <v>37</v>
      </c>
      <c r="E841" t="s">
        <v>2673</v>
      </c>
      <c r="F841" t="s">
        <v>2674</v>
      </c>
      <c r="G841" t="s">
        <v>23</v>
      </c>
      <c r="H841" t="s">
        <v>24</v>
      </c>
      <c r="I841" t="s">
        <v>2675</v>
      </c>
      <c r="J841" t="s">
        <v>230</v>
      </c>
      <c r="K841" t="s">
        <v>87</v>
      </c>
      <c r="L841" t="s">
        <v>2391</v>
      </c>
      <c r="M841" t="s">
        <v>29</v>
      </c>
      <c r="N841" t="s">
        <v>30</v>
      </c>
      <c r="O841" t="s">
        <v>2392</v>
      </c>
      <c r="P841">
        <v>512.94000000000005</v>
      </c>
      <c r="Q841">
        <v>3</v>
      </c>
      <c r="R841">
        <v>97.458600000000004</v>
      </c>
      <c r="S841" t="s">
        <v>187</v>
      </c>
    </row>
    <row r="842" spans="1:19" x14ac:dyDescent="0.35">
      <c r="A842" t="s">
        <v>2672</v>
      </c>
      <c r="B842" s="1">
        <v>42071</v>
      </c>
      <c r="C842" s="1">
        <v>42075</v>
      </c>
      <c r="D842" t="s">
        <v>37</v>
      </c>
      <c r="E842" t="s">
        <v>2673</v>
      </c>
      <c r="F842" t="s">
        <v>2674</v>
      </c>
      <c r="G842" t="s">
        <v>23</v>
      </c>
      <c r="H842" t="s">
        <v>24</v>
      </c>
      <c r="I842" t="s">
        <v>2675</v>
      </c>
      <c r="J842" t="s">
        <v>230</v>
      </c>
      <c r="K842" t="s">
        <v>87</v>
      </c>
      <c r="L842" t="s">
        <v>1738</v>
      </c>
      <c r="M842" t="s">
        <v>29</v>
      </c>
      <c r="N842" t="s">
        <v>34</v>
      </c>
      <c r="O842" t="s">
        <v>1739</v>
      </c>
      <c r="P842">
        <v>860.93</v>
      </c>
      <c r="Q842">
        <v>7</v>
      </c>
      <c r="R842">
        <v>189.40459999999999</v>
      </c>
      <c r="S842" t="s">
        <v>187</v>
      </c>
    </row>
    <row r="843" spans="1:19" x14ac:dyDescent="0.35">
      <c r="A843" t="s">
        <v>2672</v>
      </c>
      <c r="B843" s="1">
        <v>42071</v>
      </c>
      <c r="C843" s="1">
        <v>42075</v>
      </c>
      <c r="D843" t="s">
        <v>37</v>
      </c>
      <c r="E843" t="s">
        <v>2673</v>
      </c>
      <c r="F843" t="s">
        <v>2674</v>
      </c>
      <c r="G843" t="s">
        <v>23</v>
      </c>
      <c r="H843" t="s">
        <v>24</v>
      </c>
      <c r="I843" t="s">
        <v>2675</v>
      </c>
      <c r="J843" t="s">
        <v>230</v>
      </c>
      <c r="K843" t="s">
        <v>87</v>
      </c>
      <c r="L843" t="s">
        <v>1787</v>
      </c>
      <c r="M843" t="s">
        <v>29</v>
      </c>
      <c r="N843" t="s">
        <v>53</v>
      </c>
      <c r="O843" t="s">
        <v>1788</v>
      </c>
      <c r="P843">
        <v>373.08</v>
      </c>
      <c r="Q843">
        <v>6</v>
      </c>
      <c r="R843">
        <v>82.077600000000004</v>
      </c>
      <c r="S843" t="s">
        <v>187</v>
      </c>
    </row>
    <row r="844" spans="1:19" x14ac:dyDescent="0.35">
      <c r="A844" t="s">
        <v>2676</v>
      </c>
      <c r="B844" s="1">
        <v>42202</v>
      </c>
      <c r="C844" s="1">
        <v>42205</v>
      </c>
      <c r="D844" t="s">
        <v>20</v>
      </c>
      <c r="E844" t="s">
        <v>460</v>
      </c>
      <c r="F844" t="s">
        <v>461</v>
      </c>
      <c r="G844" t="s">
        <v>84</v>
      </c>
      <c r="H844" t="s">
        <v>24</v>
      </c>
      <c r="I844" t="s">
        <v>2677</v>
      </c>
      <c r="J844" t="s">
        <v>41</v>
      </c>
      <c r="K844" t="s">
        <v>27</v>
      </c>
      <c r="L844" t="s">
        <v>340</v>
      </c>
      <c r="M844" t="s">
        <v>29</v>
      </c>
      <c r="N844" t="s">
        <v>30</v>
      </c>
      <c r="O844" t="s">
        <v>341</v>
      </c>
      <c r="P844">
        <v>231.92</v>
      </c>
      <c r="Q844">
        <v>5</v>
      </c>
      <c r="R844">
        <v>5.798</v>
      </c>
      <c r="S844" t="s">
        <v>66</v>
      </c>
    </row>
    <row r="845" spans="1:19" x14ac:dyDescent="0.35">
      <c r="A845" t="s">
        <v>2678</v>
      </c>
      <c r="B845" s="1">
        <v>41923</v>
      </c>
      <c r="C845" s="1">
        <v>41928</v>
      </c>
      <c r="D845" t="s">
        <v>37</v>
      </c>
      <c r="E845" t="s">
        <v>2422</v>
      </c>
      <c r="F845" t="s">
        <v>2423</v>
      </c>
      <c r="G845" t="s">
        <v>94</v>
      </c>
      <c r="H845" t="s">
        <v>24</v>
      </c>
      <c r="I845" t="s">
        <v>183</v>
      </c>
      <c r="J845" t="s">
        <v>184</v>
      </c>
      <c r="K845" t="s">
        <v>51</v>
      </c>
      <c r="L845" t="s">
        <v>1487</v>
      </c>
      <c r="M845" t="s">
        <v>29</v>
      </c>
      <c r="N845" t="s">
        <v>53</v>
      </c>
      <c r="O845" t="s">
        <v>1488</v>
      </c>
      <c r="P845">
        <v>63.47</v>
      </c>
      <c r="Q845">
        <v>11</v>
      </c>
      <c r="R845">
        <v>19.041</v>
      </c>
      <c r="S845" t="s">
        <v>45</v>
      </c>
    </row>
    <row r="846" spans="1:19" x14ac:dyDescent="0.35">
      <c r="A846" t="s">
        <v>2679</v>
      </c>
      <c r="B846" s="1">
        <v>42432</v>
      </c>
      <c r="C846" s="1">
        <v>42437</v>
      </c>
      <c r="D846" t="s">
        <v>37</v>
      </c>
      <c r="E846" t="s">
        <v>1143</v>
      </c>
      <c r="F846" t="s">
        <v>1144</v>
      </c>
      <c r="G846" t="s">
        <v>23</v>
      </c>
      <c r="H846" t="s">
        <v>24</v>
      </c>
      <c r="I846" t="s">
        <v>237</v>
      </c>
      <c r="J846" t="s">
        <v>86</v>
      </c>
      <c r="K846" t="s">
        <v>87</v>
      </c>
      <c r="L846" t="s">
        <v>426</v>
      </c>
      <c r="M846" t="s">
        <v>29</v>
      </c>
      <c r="N846" t="s">
        <v>43</v>
      </c>
      <c r="O846" t="s">
        <v>427</v>
      </c>
      <c r="P846">
        <v>637.89599999999996</v>
      </c>
      <c r="Q846">
        <v>3</v>
      </c>
      <c r="R846">
        <v>-127.5792</v>
      </c>
      <c r="S846" t="s">
        <v>187</v>
      </c>
    </row>
    <row r="847" spans="1:19" x14ac:dyDescent="0.35">
      <c r="A847" t="s">
        <v>2680</v>
      </c>
      <c r="B847" s="1">
        <v>42736</v>
      </c>
      <c r="C847" s="1">
        <v>42740</v>
      </c>
      <c r="D847" t="s">
        <v>37</v>
      </c>
      <c r="E847" t="s">
        <v>189</v>
      </c>
      <c r="F847" t="s">
        <v>190</v>
      </c>
      <c r="G847" t="s">
        <v>23</v>
      </c>
      <c r="H847" t="s">
        <v>24</v>
      </c>
      <c r="I847" t="s">
        <v>49</v>
      </c>
      <c r="J847" t="s">
        <v>50</v>
      </c>
      <c r="K847" t="s">
        <v>51</v>
      </c>
      <c r="L847" t="s">
        <v>2681</v>
      </c>
      <c r="M847" t="s">
        <v>29</v>
      </c>
      <c r="N847" t="s">
        <v>53</v>
      </c>
      <c r="O847" t="s">
        <v>2682</v>
      </c>
      <c r="P847">
        <v>474.43</v>
      </c>
      <c r="Q847">
        <v>11</v>
      </c>
      <c r="R847">
        <v>199.26060000000001</v>
      </c>
      <c r="S847" t="s">
        <v>161</v>
      </c>
    </row>
    <row r="848" spans="1:19" x14ac:dyDescent="0.35">
      <c r="A848" t="s">
        <v>2683</v>
      </c>
      <c r="B848" s="1">
        <v>41812</v>
      </c>
      <c r="C848" s="1">
        <v>41817</v>
      </c>
      <c r="D848" t="s">
        <v>37</v>
      </c>
      <c r="E848" t="s">
        <v>2684</v>
      </c>
      <c r="F848" t="s">
        <v>2685</v>
      </c>
      <c r="G848" t="s">
        <v>23</v>
      </c>
      <c r="H848" t="s">
        <v>24</v>
      </c>
      <c r="I848" t="s">
        <v>1137</v>
      </c>
      <c r="J848" t="s">
        <v>62</v>
      </c>
      <c r="K848" t="s">
        <v>63</v>
      </c>
      <c r="L848" t="s">
        <v>247</v>
      </c>
      <c r="M848" t="s">
        <v>29</v>
      </c>
      <c r="N848" t="s">
        <v>34</v>
      </c>
      <c r="O848" t="s">
        <v>248</v>
      </c>
      <c r="P848">
        <v>170.05799999999999</v>
      </c>
      <c r="Q848">
        <v>3</v>
      </c>
      <c r="R848">
        <v>-4.8587999999999996</v>
      </c>
      <c r="S848" t="s">
        <v>55</v>
      </c>
    </row>
    <row r="849" spans="1:19" x14ac:dyDescent="0.35">
      <c r="A849" t="s">
        <v>2683</v>
      </c>
      <c r="B849" s="1">
        <v>41812</v>
      </c>
      <c r="C849" s="1">
        <v>41817</v>
      </c>
      <c r="D849" t="s">
        <v>37</v>
      </c>
      <c r="E849" t="s">
        <v>2684</v>
      </c>
      <c r="F849" t="s">
        <v>2685</v>
      </c>
      <c r="G849" t="s">
        <v>23</v>
      </c>
      <c r="H849" t="s">
        <v>24</v>
      </c>
      <c r="I849" t="s">
        <v>1137</v>
      </c>
      <c r="J849" t="s">
        <v>62</v>
      </c>
      <c r="K849" t="s">
        <v>63</v>
      </c>
      <c r="L849" t="s">
        <v>33</v>
      </c>
      <c r="M849" t="s">
        <v>29</v>
      </c>
      <c r="N849" t="s">
        <v>34</v>
      </c>
      <c r="O849" t="s">
        <v>35</v>
      </c>
      <c r="P849">
        <v>853.93</v>
      </c>
      <c r="Q849">
        <v>5</v>
      </c>
      <c r="R849">
        <v>0</v>
      </c>
      <c r="S849" t="s">
        <v>55</v>
      </c>
    </row>
    <row r="850" spans="1:19" x14ac:dyDescent="0.35">
      <c r="A850" t="s">
        <v>2686</v>
      </c>
      <c r="B850" s="1">
        <v>43035</v>
      </c>
      <c r="C850" s="1">
        <v>43036</v>
      </c>
      <c r="D850" t="s">
        <v>81</v>
      </c>
      <c r="E850" t="s">
        <v>2687</v>
      </c>
      <c r="F850" t="s">
        <v>2688</v>
      </c>
      <c r="G850" t="s">
        <v>84</v>
      </c>
      <c r="H850" t="s">
        <v>24</v>
      </c>
      <c r="I850" t="s">
        <v>320</v>
      </c>
      <c r="J850" t="s">
        <v>50</v>
      </c>
      <c r="K850" t="s">
        <v>51</v>
      </c>
      <c r="L850" t="s">
        <v>1627</v>
      </c>
      <c r="M850" t="s">
        <v>29</v>
      </c>
      <c r="N850" t="s">
        <v>30</v>
      </c>
      <c r="O850" t="s">
        <v>1628</v>
      </c>
      <c r="P850">
        <v>556.66499999999996</v>
      </c>
      <c r="Q850">
        <v>5</v>
      </c>
      <c r="R850">
        <v>6.5490000000000004</v>
      </c>
      <c r="S850" t="s">
        <v>45</v>
      </c>
    </row>
    <row r="851" spans="1:19" x14ac:dyDescent="0.35">
      <c r="A851" t="s">
        <v>2689</v>
      </c>
      <c r="B851" s="1">
        <v>43093</v>
      </c>
      <c r="C851" s="1">
        <v>43097</v>
      </c>
      <c r="D851" t="s">
        <v>37</v>
      </c>
      <c r="E851" t="s">
        <v>2296</v>
      </c>
      <c r="F851" t="s">
        <v>2297</v>
      </c>
      <c r="G851" t="s">
        <v>23</v>
      </c>
      <c r="H851" t="s">
        <v>24</v>
      </c>
      <c r="I851" t="s">
        <v>1396</v>
      </c>
      <c r="J851" t="s">
        <v>1397</v>
      </c>
      <c r="K851" t="s">
        <v>27</v>
      </c>
      <c r="L851" t="s">
        <v>1883</v>
      </c>
      <c r="M851" t="s">
        <v>29</v>
      </c>
      <c r="N851" t="s">
        <v>34</v>
      </c>
      <c r="O851" t="s">
        <v>1884</v>
      </c>
      <c r="P851">
        <v>232.88</v>
      </c>
      <c r="Q851">
        <v>4</v>
      </c>
      <c r="R851">
        <v>60.5488</v>
      </c>
      <c r="S851" t="s">
        <v>90</v>
      </c>
    </row>
    <row r="852" spans="1:19" x14ac:dyDescent="0.35">
      <c r="A852" t="s">
        <v>2690</v>
      </c>
      <c r="B852" s="1">
        <v>42002</v>
      </c>
      <c r="C852" s="1">
        <v>42006</v>
      </c>
      <c r="D852" t="s">
        <v>37</v>
      </c>
      <c r="E852" t="s">
        <v>778</v>
      </c>
      <c r="F852" t="s">
        <v>779</v>
      </c>
      <c r="G852" t="s">
        <v>84</v>
      </c>
      <c r="H852" t="s">
        <v>24</v>
      </c>
      <c r="I852" t="s">
        <v>320</v>
      </c>
      <c r="J852" t="s">
        <v>50</v>
      </c>
      <c r="K852" t="s">
        <v>51</v>
      </c>
      <c r="L852" t="s">
        <v>2228</v>
      </c>
      <c r="M852" t="s">
        <v>29</v>
      </c>
      <c r="N852" t="s">
        <v>53</v>
      </c>
      <c r="O852" t="s">
        <v>2229</v>
      </c>
      <c r="P852">
        <v>24.9</v>
      </c>
      <c r="Q852">
        <v>5</v>
      </c>
      <c r="R852">
        <v>8.2170000000000005</v>
      </c>
      <c r="S852" t="s">
        <v>90</v>
      </c>
    </row>
    <row r="853" spans="1:19" x14ac:dyDescent="0.35">
      <c r="A853" t="s">
        <v>2690</v>
      </c>
      <c r="B853" s="1">
        <v>42002</v>
      </c>
      <c r="C853" s="1">
        <v>42006</v>
      </c>
      <c r="D853" t="s">
        <v>37</v>
      </c>
      <c r="E853" t="s">
        <v>778</v>
      </c>
      <c r="F853" t="s">
        <v>779</v>
      </c>
      <c r="G853" t="s">
        <v>84</v>
      </c>
      <c r="H853" t="s">
        <v>24</v>
      </c>
      <c r="I853" t="s">
        <v>320</v>
      </c>
      <c r="J853" t="s">
        <v>50</v>
      </c>
      <c r="K853" t="s">
        <v>51</v>
      </c>
      <c r="L853" t="s">
        <v>2400</v>
      </c>
      <c r="M853" t="s">
        <v>29</v>
      </c>
      <c r="N853" t="s">
        <v>53</v>
      </c>
      <c r="O853" t="s">
        <v>2401</v>
      </c>
      <c r="P853">
        <v>70.56</v>
      </c>
      <c r="Q853">
        <v>6</v>
      </c>
      <c r="R853">
        <v>23.990400000000001</v>
      </c>
      <c r="S853" t="s">
        <v>90</v>
      </c>
    </row>
    <row r="854" spans="1:19" x14ac:dyDescent="0.35">
      <c r="A854" t="s">
        <v>2691</v>
      </c>
      <c r="B854" s="1">
        <v>42180</v>
      </c>
      <c r="C854" s="1">
        <v>42185</v>
      </c>
      <c r="D854" t="s">
        <v>37</v>
      </c>
      <c r="E854" t="s">
        <v>2202</v>
      </c>
      <c r="F854" t="s">
        <v>2203</v>
      </c>
      <c r="G854" t="s">
        <v>23</v>
      </c>
      <c r="H854" t="s">
        <v>24</v>
      </c>
      <c r="I854" t="s">
        <v>320</v>
      </c>
      <c r="J854" t="s">
        <v>50</v>
      </c>
      <c r="K854" t="s">
        <v>51</v>
      </c>
      <c r="L854" t="s">
        <v>631</v>
      </c>
      <c r="M854" t="s">
        <v>29</v>
      </c>
      <c r="N854" t="s">
        <v>53</v>
      </c>
      <c r="O854" t="s">
        <v>632</v>
      </c>
      <c r="P854">
        <v>204.85</v>
      </c>
      <c r="Q854">
        <v>5</v>
      </c>
      <c r="R854">
        <v>57.357999999999997</v>
      </c>
      <c r="S854" t="s">
        <v>55</v>
      </c>
    </row>
    <row r="855" spans="1:19" x14ac:dyDescent="0.35">
      <c r="A855" t="s">
        <v>2692</v>
      </c>
      <c r="B855" s="1">
        <v>42910</v>
      </c>
      <c r="C855" s="1">
        <v>42912</v>
      </c>
      <c r="D855" t="s">
        <v>20</v>
      </c>
      <c r="E855" t="s">
        <v>2693</v>
      </c>
      <c r="F855" t="s">
        <v>2694</v>
      </c>
      <c r="G855" t="s">
        <v>23</v>
      </c>
      <c r="H855" t="s">
        <v>24</v>
      </c>
      <c r="I855" t="s">
        <v>165</v>
      </c>
      <c r="J855" t="s">
        <v>114</v>
      </c>
      <c r="K855" t="s">
        <v>63</v>
      </c>
      <c r="L855" t="s">
        <v>911</v>
      </c>
      <c r="M855" t="s">
        <v>29</v>
      </c>
      <c r="N855" t="s">
        <v>53</v>
      </c>
      <c r="O855" t="s">
        <v>912</v>
      </c>
      <c r="P855">
        <v>276.69</v>
      </c>
      <c r="Q855">
        <v>3</v>
      </c>
      <c r="R855">
        <v>49.804200000000002</v>
      </c>
      <c r="S855" t="s">
        <v>55</v>
      </c>
    </row>
    <row r="856" spans="1:19" x14ac:dyDescent="0.35">
      <c r="A856" t="s">
        <v>2692</v>
      </c>
      <c r="B856" s="1">
        <v>42910</v>
      </c>
      <c r="C856" s="1">
        <v>42912</v>
      </c>
      <c r="D856" t="s">
        <v>20</v>
      </c>
      <c r="E856" t="s">
        <v>2693</v>
      </c>
      <c r="F856" t="s">
        <v>2694</v>
      </c>
      <c r="G856" t="s">
        <v>23</v>
      </c>
      <c r="H856" t="s">
        <v>24</v>
      </c>
      <c r="I856" t="s">
        <v>165</v>
      </c>
      <c r="J856" t="s">
        <v>114</v>
      </c>
      <c r="K856" t="s">
        <v>63</v>
      </c>
      <c r="L856" t="s">
        <v>348</v>
      </c>
      <c r="M856" t="s">
        <v>29</v>
      </c>
      <c r="N856" t="s">
        <v>34</v>
      </c>
      <c r="O856" t="s">
        <v>349</v>
      </c>
      <c r="P856">
        <v>172.76400000000001</v>
      </c>
      <c r="Q856">
        <v>2</v>
      </c>
      <c r="R856">
        <v>32.633200000000002</v>
      </c>
      <c r="S856" t="s">
        <v>55</v>
      </c>
    </row>
    <row r="857" spans="1:19" x14ac:dyDescent="0.35">
      <c r="A857" t="s">
        <v>2695</v>
      </c>
      <c r="B857" s="1">
        <v>41911</v>
      </c>
      <c r="C857" s="1">
        <v>41915</v>
      </c>
      <c r="D857" t="s">
        <v>37</v>
      </c>
      <c r="E857" t="s">
        <v>2336</v>
      </c>
      <c r="F857" t="s">
        <v>2337</v>
      </c>
      <c r="G857" t="s">
        <v>84</v>
      </c>
      <c r="H857" t="s">
        <v>24</v>
      </c>
      <c r="I857" t="s">
        <v>61</v>
      </c>
      <c r="J857" t="s">
        <v>62</v>
      </c>
      <c r="K857" t="s">
        <v>63</v>
      </c>
      <c r="L857" t="s">
        <v>1552</v>
      </c>
      <c r="M857" t="s">
        <v>29</v>
      </c>
      <c r="N857" t="s">
        <v>43</v>
      </c>
      <c r="O857" t="s">
        <v>1553</v>
      </c>
      <c r="P857">
        <v>409.27199999999999</v>
      </c>
      <c r="Q857">
        <v>2</v>
      </c>
      <c r="R857">
        <v>-81.854399999999998</v>
      </c>
      <c r="S857" t="s">
        <v>72</v>
      </c>
    </row>
    <row r="858" spans="1:19" x14ac:dyDescent="0.35">
      <c r="A858" t="s">
        <v>2695</v>
      </c>
      <c r="B858" s="1">
        <v>41911</v>
      </c>
      <c r="C858" s="1">
        <v>41915</v>
      </c>
      <c r="D858" t="s">
        <v>37</v>
      </c>
      <c r="E858" t="s">
        <v>2336</v>
      </c>
      <c r="F858" t="s">
        <v>2337</v>
      </c>
      <c r="G858" t="s">
        <v>84</v>
      </c>
      <c r="H858" t="s">
        <v>24</v>
      </c>
      <c r="I858" t="s">
        <v>61</v>
      </c>
      <c r="J858" t="s">
        <v>62</v>
      </c>
      <c r="K858" t="s">
        <v>63</v>
      </c>
      <c r="L858" t="s">
        <v>1031</v>
      </c>
      <c r="M858" t="s">
        <v>29</v>
      </c>
      <c r="N858" t="s">
        <v>43</v>
      </c>
      <c r="O858" t="s">
        <v>1032</v>
      </c>
      <c r="P858">
        <v>67.176000000000002</v>
      </c>
      <c r="Q858">
        <v>1</v>
      </c>
      <c r="R858">
        <v>-20.152799999999999</v>
      </c>
      <c r="S858" t="s">
        <v>72</v>
      </c>
    </row>
    <row r="859" spans="1:19" x14ac:dyDescent="0.35">
      <c r="A859" t="s">
        <v>2696</v>
      </c>
      <c r="B859" s="1">
        <v>42328</v>
      </c>
      <c r="C859" s="1">
        <v>42332</v>
      </c>
      <c r="D859" t="s">
        <v>37</v>
      </c>
      <c r="E859" t="s">
        <v>213</v>
      </c>
      <c r="F859" t="s">
        <v>214</v>
      </c>
      <c r="G859" t="s">
        <v>23</v>
      </c>
      <c r="H859" t="s">
        <v>24</v>
      </c>
      <c r="I859" t="s">
        <v>1461</v>
      </c>
      <c r="J859" t="s">
        <v>50</v>
      </c>
      <c r="K859" t="s">
        <v>51</v>
      </c>
      <c r="L859" t="s">
        <v>571</v>
      </c>
      <c r="M859" t="s">
        <v>29</v>
      </c>
      <c r="N859" t="s">
        <v>34</v>
      </c>
      <c r="O859" t="s">
        <v>572</v>
      </c>
      <c r="P859">
        <v>572.16</v>
      </c>
      <c r="Q859">
        <v>3</v>
      </c>
      <c r="R859">
        <v>35.76</v>
      </c>
      <c r="S859" t="s">
        <v>32</v>
      </c>
    </row>
    <row r="860" spans="1:19" x14ac:dyDescent="0.35">
      <c r="A860" t="s">
        <v>2697</v>
      </c>
      <c r="B860" s="1">
        <v>42610</v>
      </c>
      <c r="C860" s="1">
        <v>42613</v>
      </c>
      <c r="D860" t="s">
        <v>81</v>
      </c>
      <c r="E860" t="s">
        <v>2289</v>
      </c>
      <c r="F860" t="s">
        <v>2290</v>
      </c>
      <c r="G860" t="s">
        <v>23</v>
      </c>
      <c r="H860" t="s">
        <v>24</v>
      </c>
      <c r="I860" t="s">
        <v>1730</v>
      </c>
      <c r="J860" t="s">
        <v>86</v>
      </c>
      <c r="K860" t="s">
        <v>87</v>
      </c>
      <c r="L860" t="s">
        <v>1467</v>
      </c>
      <c r="M860" t="s">
        <v>29</v>
      </c>
      <c r="N860" t="s">
        <v>30</v>
      </c>
      <c r="O860" t="s">
        <v>1468</v>
      </c>
      <c r="P860">
        <v>156.37280000000001</v>
      </c>
      <c r="Q860">
        <v>2</v>
      </c>
      <c r="R860">
        <v>-52.890799999999999</v>
      </c>
      <c r="S860" t="s">
        <v>245</v>
      </c>
    </row>
    <row r="861" spans="1:19" x14ac:dyDescent="0.35">
      <c r="A861" t="s">
        <v>2698</v>
      </c>
      <c r="B861" s="1">
        <v>43054</v>
      </c>
      <c r="C861" s="1">
        <v>43059</v>
      </c>
      <c r="D861" t="s">
        <v>37</v>
      </c>
      <c r="E861" t="s">
        <v>2673</v>
      </c>
      <c r="F861" t="s">
        <v>2674</v>
      </c>
      <c r="G861" t="s">
        <v>23</v>
      </c>
      <c r="H861" t="s">
        <v>24</v>
      </c>
      <c r="I861" t="s">
        <v>2699</v>
      </c>
      <c r="J861" t="s">
        <v>41</v>
      </c>
      <c r="K861" t="s">
        <v>27</v>
      </c>
      <c r="L861" t="s">
        <v>696</v>
      </c>
      <c r="M861" t="s">
        <v>29</v>
      </c>
      <c r="N861" t="s">
        <v>53</v>
      </c>
      <c r="O861" t="s">
        <v>697</v>
      </c>
      <c r="P861">
        <v>220.06399999999999</v>
      </c>
      <c r="Q861">
        <v>4</v>
      </c>
      <c r="R861">
        <v>55.015999999999998</v>
      </c>
      <c r="S861" t="s">
        <v>32</v>
      </c>
    </row>
    <row r="862" spans="1:19" x14ac:dyDescent="0.35">
      <c r="A862" t="s">
        <v>2698</v>
      </c>
      <c r="B862" s="1">
        <v>43054</v>
      </c>
      <c r="C862" s="1">
        <v>43059</v>
      </c>
      <c r="D862" t="s">
        <v>37</v>
      </c>
      <c r="E862" t="s">
        <v>2673</v>
      </c>
      <c r="F862" t="s">
        <v>2674</v>
      </c>
      <c r="G862" t="s">
        <v>23</v>
      </c>
      <c r="H862" t="s">
        <v>24</v>
      </c>
      <c r="I862" t="s">
        <v>2699</v>
      </c>
      <c r="J862" t="s">
        <v>41</v>
      </c>
      <c r="K862" t="s">
        <v>27</v>
      </c>
      <c r="L862" t="s">
        <v>1382</v>
      </c>
      <c r="M862" t="s">
        <v>29</v>
      </c>
      <c r="N862" t="s">
        <v>53</v>
      </c>
      <c r="O862" t="s">
        <v>1383</v>
      </c>
      <c r="P862">
        <v>339.13600000000002</v>
      </c>
      <c r="Q862">
        <v>4</v>
      </c>
      <c r="R862">
        <v>0</v>
      </c>
      <c r="S862" t="s">
        <v>32</v>
      </c>
    </row>
    <row r="863" spans="1:19" x14ac:dyDescent="0.35">
      <c r="A863" t="s">
        <v>2700</v>
      </c>
      <c r="B863" s="1">
        <v>41870</v>
      </c>
      <c r="C863" s="1">
        <v>41877</v>
      </c>
      <c r="D863" t="s">
        <v>37</v>
      </c>
      <c r="E863" t="s">
        <v>2701</v>
      </c>
      <c r="F863" t="s">
        <v>2702</v>
      </c>
      <c r="G863" t="s">
        <v>23</v>
      </c>
      <c r="H863" t="s">
        <v>24</v>
      </c>
      <c r="I863" t="s">
        <v>1048</v>
      </c>
      <c r="J863" t="s">
        <v>1049</v>
      </c>
      <c r="K863" t="s">
        <v>27</v>
      </c>
      <c r="L863" t="s">
        <v>2703</v>
      </c>
      <c r="M863" t="s">
        <v>29</v>
      </c>
      <c r="N863" t="s">
        <v>30</v>
      </c>
      <c r="O863" t="s">
        <v>2704</v>
      </c>
      <c r="P863">
        <v>638.82000000000005</v>
      </c>
      <c r="Q863">
        <v>9</v>
      </c>
      <c r="R863">
        <v>172.48140000000001</v>
      </c>
      <c r="S863" t="s">
        <v>245</v>
      </c>
    </row>
    <row r="864" spans="1:19" x14ac:dyDescent="0.35">
      <c r="A864" t="s">
        <v>2705</v>
      </c>
      <c r="B864" s="1">
        <v>43090</v>
      </c>
      <c r="C864" s="1">
        <v>43090</v>
      </c>
      <c r="D864" t="s">
        <v>417</v>
      </c>
      <c r="E864" t="s">
        <v>662</v>
      </c>
      <c r="F864" t="s">
        <v>663</v>
      </c>
      <c r="G864" t="s">
        <v>94</v>
      </c>
      <c r="H864" t="s">
        <v>24</v>
      </c>
      <c r="I864" t="s">
        <v>2706</v>
      </c>
      <c r="J864" t="s">
        <v>832</v>
      </c>
      <c r="K864" t="s">
        <v>87</v>
      </c>
      <c r="L864" t="s">
        <v>918</v>
      </c>
      <c r="M864" t="s">
        <v>29</v>
      </c>
      <c r="N864" t="s">
        <v>53</v>
      </c>
      <c r="O864" t="s">
        <v>308</v>
      </c>
      <c r="P864">
        <v>15.92</v>
      </c>
      <c r="Q864">
        <v>2</v>
      </c>
      <c r="R864">
        <v>7.0048000000000004</v>
      </c>
      <c r="S864" t="s">
        <v>90</v>
      </c>
    </row>
    <row r="865" spans="1:19" x14ac:dyDescent="0.35">
      <c r="A865" t="s">
        <v>2707</v>
      </c>
      <c r="B865" s="1">
        <v>42254</v>
      </c>
      <c r="C865" s="1">
        <v>42254</v>
      </c>
      <c r="D865" t="s">
        <v>417</v>
      </c>
      <c r="E865" t="s">
        <v>1394</v>
      </c>
      <c r="F865" t="s">
        <v>1395</v>
      </c>
      <c r="G865" t="s">
        <v>23</v>
      </c>
      <c r="H865" t="s">
        <v>24</v>
      </c>
      <c r="I865" t="s">
        <v>165</v>
      </c>
      <c r="J865" t="s">
        <v>114</v>
      </c>
      <c r="K865" t="s">
        <v>63</v>
      </c>
      <c r="L865" t="s">
        <v>2277</v>
      </c>
      <c r="M865" t="s">
        <v>29</v>
      </c>
      <c r="N865" t="s">
        <v>43</v>
      </c>
      <c r="O865" t="s">
        <v>2278</v>
      </c>
      <c r="P865">
        <v>27.414000000000001</v>
      </c>
      <c r="Q865">
        <v>3</v>
      </c>
      <c r="R865">
        <v>-14.1639</v>
      </c>
      <c r="S865" t="s">
        <v>72</v>
      </c>
    </row>
    <row r="866" spans="1:19" x14ac:dyDescent="0.35">
      <c r="A866" t="s">
        <v>2708</v>
      </c>
      <c r="B866" s="1">
        <v>42363</v>
      </c>
      <c r="C866" s="1">
        <v>42370</v>
      </c>
      <c r="D866" t="s">
        <v>37</v>
      </c>
      <c r="E866" t="s">
        <v>2709</v>
      </c>
      <c r="F866" t="s">
        <v>2710</v>
      </c>
      <c r="G866" t="s">
        <v>84</v>
      </c>
      <c r="H866" t="s">
        <v>24</v>
      </c>
      <c r="I866" t="s">
        <v>280</v>
      </c>
      <c r="J866" t="s">
        <v>281</v>
      </c>
      <c r="K866" t="s">
        <v>87</v>
      </c>
      <c r="L866" t="s">
        <v>2711</v>
      </c>
      <c r="M866" t="s">
        <v>29</v>
      </c>
      <c r="N866" t="s">
        <v>30</v>
      </c>
      <c r="O866" t="s">
        <v>2712</v>
      </c>
      <c r="P866">
        <v>160.97999999999999</v>
      </c>
      <c r="Q866">
        <v>1</v>
      </c>
      <c r="R866">
        <v>20.927399999999999</v>
      </c>
      <c r="S866" t="s">
        <v>90</v>
      </c>
    </row>
    <row r="867" spans="1:19" x14ac:dyDescent="0.35">
      <c r="A867" t="s">
        <v>2713</v>
      </c>
      <c r="B867" s="1">
        <v>42943</v>
      </c>
      <c r="C867" s="1">
        <v>42947</v>
      </c>
      <c r="D867" t="s">
        <v>20</v>
      </c>
      <c r="E867" t="s">
        <v>2714</v>
      </c>
      <c r="F867" t="s">
        <v>2715</v>
      </c>
      <c r="G867" t="s">
        <v>23</v>
      </c>
      <c r="H867" t="s">
        <v>24</v>
      </c>
      <c r="I867" t="s">
        <v>597</v>
      </c>
      <c r="J867" t="s">
        <v>41</v>
      </c>
      <c r="K867" t="s">
        <v>27</v>
      </c>
      <c r="L867" t="s">
        <v>958</v>
      </c>
      <c r="M867" t="s">
        <v>29</v>
      </c>
      <c r="N867" t="s">
        <v>53</v>
      </c>
      <c r="O867" t="s">
        <v>959</v>
      </c>
      <c r="P867">
        <v>91.031999999999996</v>
      </c>
      <c r="Q867">
        <v>3</v>
      </c>
      <c r="R867">
        <v>-2.2757999999999998</v>
      </c>
      <c r="S867" t="s">
        <v>66</v>
      </c>
    </row>
    <row r="868" spans="1:19" x14ac:dyDescent="0.35">
      <c r="A868" t="s">
        <v>2716</v>
      </c>
      <c r="B868" s="1">
        <v>43070</v>
      </c>
      <c r="C868" s="1">
        <v>43073</v>
      </c>
      <c r="D868" t="s">
        <v>81</v>
      </c>
      <c r="E868" t="s">
        <v>699</v>
      </c>
      <c r="F868" t="s">
        <v>700</v>
      </c>
      <c r="G868" t="s">
        <v>23</v>
      </c>
      <c r="H868" t="s">
        <v>24</v>
      </c>
      <c r="I868" t="s">
        <v>61</v>
      </c>
      <c r="J868" t="s">
        <v>62</v>
      </c>
      <c r="K868" t="s">
        <v>63</v>
      </c>
      <c r="L868" t="s">
        <v>2663</v>
      </c>
      <c r="M868" t="s">
        <v>29</v>
      </c>
      <c r="N868" t="s">
        <v>53</v>
      </c>
      <c r="O868" t="s">
        <v>2664</v>
      </c>
      <c r="P868">
        <v>79.12</v>
      </c>
      <c r="Q868">
        <v>5</v>
      </c>
      <c r="R868">
        <v>13.846</v>
      </c>
      <c r="S868" t="s">
        <v>90</v>
      </c>
    </row>
    <row r="869" spans="1:19" x14ac:dyDescent="0.35">
      <c r="A869" t="s">
        <v>2717</v>
      </c>
      <c r="B869" s="1">
        <v>42765</v>
      </c>
      <c r="C869" s="1">
        <v>42772</v>
      </c>
      <c r="D869" t="s">
        <v>37</v>
      </c>
      <c r="E869" t="s">
        <v>675</v>
      </c>
      <c r="F869" t="s">
        <v>676</v>
      </c>
      <c r="G869" t="s">
        <v>94</v>
      </c>
      <c r="H869" t="s">
        <v>24</v>
      </c>
      <c r="I869" t="s">
        <v>320</v>
      </c>
      <c r="J869" t="s">
        <v>50</v>
      </c>
      <c r="K869" t="s">
        <v>51</v>
      </c>
      <c r="L869" t="s">
        <v>151</v>
      </c>
      <c r="M869" t="s">
        <v>29</v>
      </c>
      <c r="N869" t="s">
        <v>34</v>
      </c>
      <c r="O869" t="s">
        <v>152</v>
      </c>
      <c r="P869">
        <v>120.78400000000001</v>
      </c>
      <c r="Q869">
        <v>1</v>
      </c>
      <c r="R869">
        <v>-13.588200000000001</v>
      </c>
      <c r="S869" t="s">
        <v>161</v>
      </c>
    </row>
    <row r="870" spans="1:19" x14ac:dyDescent="0.35">
      <c r="A870" t="s">
        <v>2718</v>
      </c>
      <c r="B870" s="1">
        <v>42336</v>
      </c>
      <c r="C870" s="1">
        <v>42342</v>
      </c>
      <c r="D870" t="s">
        <v>37</v>
      </c>
      <c r="E870" t="s">
        <v>2289</v>
      </c>
      <c r="F870" t="s">
        <v>2290</v>
      </c>
      <c r="G870" t="s">
        <v>23</v>
      </c>
      <c r="H870" t="s">
        <v>24</v>
      </c>
      <c r="I870" t="s">
        <v>2719</v>
      </c>
      <c r="J870" t="s">
        <v>114</v>
      </c>
      <c r="K870" t="s">
        <v>63</v>
      </c>
      <c r="L870" t="s">
        <v>300</v>
      </c>
      <c r="M870" t="s">
        <v>29</v>
      </c>
      <c r="N870" t="s">
        <v>53</v>
      </c>
      <c r="O870" t="s">
        <v>301</v>
      </c>
      <c r="P870">
        <v>322.58999999999997</v>
      </c>
      <c r="Q870">
        <v>3</v>
      </c>
      <c r="R870">
        <v>64.518000000000001</v>
      </c>
      <c r="S870" t="s">
        <v>32</v>
      </c>
    </row>
    <row r="871" spans="1:19" x14ac:dyDescent="0.35">
      <c r="A871" t="s">
        <v>2720</v>
      </c>
      <c r="B871" s="1">
        <v>41923</v>
      </c>
      <c r="C871" s="1">
        <v>41925</v>
      </c>
      <c r="D871" t="s">
        <v>81</v>
      </c>
      <c r="E871" t="s">
        <v>327</v>
      </c>
      <c r="F871" t="s">
        <v>328</v>
      </c>
      <c r="G871" t="s">
        <v>23</v>
      </c>
      <c r="H871" t="s">
        <v>24</v>
      </c>
      <c r="I871" t="s">
        <v>1176</v>
      </c>
      <c r="J871" t="s">
        <v>50</v>
      </c>
      <c r="K871" t="s">
        <v>51</v>
      </c>
      <c r="L871" t="s">
        <v>2721</v>
      </c>
      <c r="M871" t="s">
        <v>29</v>
      </c>
      <c r="N871" t="s">
        <v>34</v>
      </c>
      <c r="O871" t="s">
        <v>2722</v>
      </c>
      <c r="P871">
        <v>433.56799999999998</v>
      </c>
      <c r="Q871">
        <v>2</v>
      </c>
      <c r="R871">
        <v>-65.035200000000003</v>
      </c>
      <c r="S871" t="s">
        <v>45</v>
      </c>
    </row>
    <row r="872" spans="1:19" x14ac:dyDescent="0.35">
      <c r="A872" t="s">
        <v>2723</v>
      </c>
      <c r="B872" s="1">
        <v>42709</v>
      </c>
      <c r="C872" s="1">
        <v>42711</v>
      </c>
      <c r="D872" t="s">
        <v>81</v>
      </c>
      <c r="E872" t="s">
        <v>1994</v>
      </c>
      <c r="F872" t="s">
        <v>1995</v>
      </c>
      <c r="G872" t="s">
        <v>84</v>
      </c>
      <c r="H872" t="s">
        <v>24</v>
      </c>
      <c r="I872" t="s">
        <v>229</v>
      </c>
      <c r="J872" t="s">
        <v>425</v>
      </c>
      <c r="K872" t="s">
        <v>63</v>
      </c>
      <c r="L872" t="s">
        <v>2724</v>
      </c>
      <c r="M872" t="s">
        <v>29</v>
      </c>
      <c r="N872" t="s">
        <v>30</v>
      </c>
      <c r="O872" t="s">
        <v>2725</v>
      </c>
      <c r="P872">
        <v>81.94</v>
      </c>
      <c r="Q872">
        <v>1</v>
      </c>
      <c r="R872">
        <v>20.484999999999999</v>
      </c>
      <c r="S872" t="s">
        <v>90</v>
      </c>
    </row>
    <row r="873" spans="1:19" x14ac:dyDescent="0.35">
      <c r="A873" t="s">
        <v>2726</v>
      </c>
      <c r="B873" s="1">
        <v>42324</v>
      </c>
      <c r="C873" s="1">
        <v>42328</v>
      </c>
      <c r="D873" t="s">
        <v>37</v>
      </c>
      <c r="E873" t="s">
        <v>261</v>
      </c>
      <c r="F873" t="s">
        <v>262</v>
      </c>
      <c r="G873" t="s">
        <v>84</v>
      </c>
      <c r="H873" t="s">
        <v>24</v>
      </c>
      <c r="I873" t="s">
        <v>2727</v>
      </c>
      <c r="J873" t="s">
        <v>2271</v>
      </c>
      <c r="K873" t="s">
        <v>51</v>
      </c>
      <c r="L873" t="s">
        <v>42</v>
      </c>
      <c r="M873" t="s">
        <v>29</v>
      </c>
      <c r="N873" t="s">
        <v>43</v>
      </c>
      <c r="O873" t="s">
        <v>44</v>
      </c>
      <c r="P873">
        <v>696.42</v>
      </c>
      <c r="Q873">
        <v>2</v>
      </c>
      <c r="R873">
        <v>160.17660000000001</v>
      </c>
      <c r="S873" t="s">
        <v>32</v>
      </c>
    </row>
    <row r="874" spans="1:19" x14ac:dyDescent="0.35">
      <c r="A874" t="s">
        <v>2728</v>
      </c>
      <c r="B874" s="1">
        <v>42468</v>
      </c>
      <c r="C874" s="1">
        <v>42474</v>
      </c>
      <c r="D874" t="s">
        <v>37</v>
      </c>
      <c r="E874" t="s">
        <v>1645</v>
      </c>
      <c r="F874" t="s">
        <v>1646</v>
      </c>
      <c r="G874" t="s">
        <v>23</v>
      </c>
      <c r="H874" t="s">
        <v>24</v>
      </c>
      <c r="I874" t="s">
        <v>49</v>
      </c>
      <c r="J874" t="s">
        <v>50</v>
      </c>
      <c r="K874" t="s">
        <v>51</v>
      </c>
      <c r="L874" t="s">
        <v>793</v>
      </c>
      <c r="M874" t="s">
        <v>29</v>
      </c>
      <c r="N874" t="s">
        <v>53</v>
      </c>
      <c r="O874" t="s">
        <v>794</v>
      </c>
      <c r="P874">
        <v>24.7</v>
      </c>
      <c r="Q874">
        <v>5</v>
      </c>
      <c r="R874">
        <v>10.374000000000001</v>
      </c>
      <c r="S874" t="s">
        <v>107</v>
      </c>
    </row>
    <row r="875" spans="1:19" x14ac:dyDescent="0.35">
      <c r="A875" t="s">
        <v>2729</v>
      </c>
      <c r="B875" s="1">
        <v>41943</v>
      </c>
      <c r="C875" s="1">
        <v>41945</v>
      </c>
      <c r="D875" t="s">
        <v>20</v>
      </c>
      <c r="E875" t="s">
        <v>1630</v>
      </c>
      <c r="F875" t="s">
        <v>1631</v>
      </c>
      <c r="G875" t="s">
        <v>23</v>
      </c>
      <c r="H875" t="s">
        <v>24</v>
      </c>
      <c r="I875" t="s">
        <v>2730</v>
      </c>
      <c r="J875" t="s">
        <v>1636</v>
      </c>
      <c r="K875" t="s">
        <v>63</v>
      </c>
      <c r="L875" t="s">
        <v>1709</v>
      </c>
      <c r="M875" t="s">
        <v>29</v>
      </c>
      <c r="N875" t="s">
        <v>53</v>
      </c>
      <c r="O875" t="s">
        <v>1710</v>
      </c>
      <c r="P875">
        <v>14.76</v>
      </c>
      <c r="Q875">
        <v>2</v>
      </c>
      <c r="R875">
        <v>4.2804000000000002</v>
      </c>
      <c r="S875" t="s">
        <v>45</v>
      </c>
    </row>
    <row r="876" spans="1:19" x14ac:dyDescent="0.35">
      <c r="A876" t="s">
        <v>2729</v>
      </c>
      <c r="B876" s="1">
        <v>41943</v>
      </c>
      <c r="C876" s="1">
        <v>41945</v>
      </c>
      <c r="D876" t="s">
        <v>20</v>
      </c>
      <c r="E876" t="s">
        <v>1630</v>
      </c>
      <c r="F876" t="s">
        <v>1631</v>
      </c>
      <c r="G876" t="s">
        <v>23</v>
      </c>
      <c r="H876" t="s">
        <v>24</v>
      </c>
      <c r="I876" t="s">
        <v>2730</v>
      </c>
      <c r="J876" t="s">
        <v>1636</v>
      </c>
      <c r="K876" t="s">
        <v>63</v>
      </c>
      <c r="L876" t="s">
        <v>414</v>
      </c>
      <c r="M876" t="s">
        <v>29</v>
      </c>
      <c r="N876" t="s">
        <v>53</v>
      </c>
      <c r="O876" t="s">
        <v>415</v>
      </c>
      <c r="P876">
        <v>17.670000000000002</v>
      </c>
      <c r="Q876">
        <v>3</v>
      </c>
      <c r="R876">
        <v>7.7747999999999999</v>
      </c>
      <c r="S876" t="s">
        <v>45</v>
      </c>
    </row>
    <row r="877" spans="1:19" x14ac:dyDescent="0.35">
      <c r="A877" t="s">
        <v>2729</v>
      </c>
      <c r="B877" s="1">
        <v>41943</v>
      </c>
      <c r="C877" s="1">
        <v>41945</v>
      </c>
      <c r="D877" t="s">
        <v>20</v>
      </c>
      <c r="E877" t="s">
        <v>1630</v>
      </c>
      <c r="F877" t="s">
        <v>1631</v>
      </c>
      <c r="G877" t="s">
        <v>23</v>
      </c>
      <c r="H877" t="s">
        <v>24</v>
      </c>
      <c r="I877" t="s">
        <v>2730</v>
      </c>
      <c r="J877" t="s">
        <v>1636</v>
      </c>
      <c r="K877" t="s">
        <v>63</v>
      </c>
      <c r="L877" t="s">
        <v>2264</v>
      </c>
      <c r="M877" t="s">
        <v>29</v>
      </c>
      <c r="N877" t="s">
        <v>34</v>
      </c>
      <c r="O877" t="s">
        <v>2265</v>
      </c>
      <c r="P877">
        <v>1604.9</v>
      </c>
      <c r="Q877">
        <v>5</v>
      </c>
      <c r="R877">
        <v>481.47</v>
      </c>
      <c r="S877" t="s">
        <v>45</v>
      </c>
    </row>
    <row r="878" spans="1:19" x14ac:dyDescent="0.35">
      <c r="A878" t="s">
        <v>2729</v>
      </c>
      <c r="B878" s="1">
        <v>41943</v>
      </c>
      <c r="C878" s="1">
        <v>41945</v>
      </c>
      <c r="D878" t="s">
        <v>20</v>
      </c>
      <c r="E878" t="s">
        <v>1630</v>
      </c>
      <c r="F878" t="s">
        <v>1631</v>
      </c>
      <c r="G878" t="s">
        <v>23</v>
      </c>
      <c r="H878" t="s">
        <v>24</v>
      </c>
      <c r="I878" t="s">
        <v>2730</v>
      </c>
      <c r="J878" t="s">
        <v>1636</v>
      </c>
      <c r="K878" t="s">
        <v>63</v>
      </c>
      <c r="L878" t="s">
        <v>1714</v>
      </c>
      <c r="M878" t="s">
        <v>29</v>
      </c>
      <c r="N878" t="s">
        <v>43</v>
      </c>
      <c r="O878" t="s">
        <v>1715</v>
      </c>
      <c r="P878">
        <v>385.68599999999998</v>
      </c>
      <c r="Q878">
        <v>1</v>
      </c>
      <c r="R878">
        <v>-60.607799999999997</v>
      </c>
      <c r="S878" t="s">
        <v>45</v>
      </c>
    </row>
    <row r="879" spans="1:19" x14ac:dyDescent="0.35">
      <c r="A879" t="s">
        <v>2731</v>
      </c>
      <c r="B879" s="1">
        <v>42826</v>
      </c>
      <c r="C879" s="1">
        <v>42828</v>
      </c>
      <c r="D879" t="s">
        <v>81</v>
      </c>
      <c r="E879" t="s">
        <v>2732</v>
      </c>
      <c r="F879" t="s">
        <v>2733</v>
      </c>
      <c r="G879" t="s">
        <v>84</v>
      </c>
      <c r="H879" t="s">
        <v>24</v>
      </c>
      <c r="I879" t="s">
        <v>320</v>
      </c>
      <c r="J879" t="s">
        <v>50</v>
      </c>
      <c r="K879" t="s">
        <v>51</v>
      </c>
      <c r="L879" t="s">
        <v>2734</v>
      </c>
      <c r="M879" t="s">
        <v>29</v>
      </c>
      <c r="N879" t="s">
        <v>30</v>
      </c>
      <c r="O879" t="s">
        <v>2735</v>
      </c>
      <c r="P879">
        <v>482.66399999999999</v>
      </c>
      <c r="Q879">
        <v>8</v>
      </c>
      <c r="R879">
        <v>85.176000000000002</v>
      </c>
      <c r="S879" t="s">
        <v>107</v>
      </c>
    </row>
    <row r="880" spans="1:19" x14ac:dyDescent="0.35">
      <c r="A880" t="s">
        <v>2736</v>
      </c>
      <c r="B880" s="1">
        <v>42897</v>
      </c>
      <c r="C880" s="1">
        <v>42899</v>
      </c>
      <c r="D880" t="s">
        <v>20</v>
      </c>
      <c r="E880" t="s">
        <v>2010</v>
      </c>
      <c r="F880" t="s">
        <v>2011</v>
      </c>
      <c r="G880" t="s">
        <v>23</v>
      </c>
      <c r="H880" t="s">
        <v>24</v>
      </c>
      <c r="I880" t="s">
        <v>183</v>
      </c>
      <c r="J880" t="s">
        <v>184</v>
      </c>
      <c r="K880" t="s">
        <v>51</v>
      </c>
      <c r="L880" t="s">
        <v>851</v>
      </c>
      <c r="M880" t="s">
        <v>29</v>
      </c>
      <c r="N880" t="s">
        <v>30</v>
      </c>
      <c r="O880" t="s">
        <v>852</v>
      </c>
      <c r="P880">
        <v>174.42</v>
      </c>
      <c r="Q880">
        <v>3</v>
      </c>
      <c r="R880">
        <v>41.860799999999998</v>
      </c>
      <c r="S880" t="s">
        <v>55</v>
      </c>
    </row>
    <row r="881" spans="1:19" x14ac:dyDescent="0.35">
      <c r="A881" t="s">
        <v>2737</v>
      </c>
      <c r="B881" s="1">
        <v>41986</v>
      </c>
      <c r="C881" s="1">
        <v>41990</v>
      </c>
      <c r="D881" t="s">
        <v>37</v>
      </c>
      <c r="E881" t="s">
        <v>614</v>
      </c>
      <c r="F881" t="s">
        <v>615</v>
      </c>
      <c r="G881" t="s">
        <v>84</v>
      </c>
      <c r="H881" t="s">
        <v>24</v>
      </c>
      <c r="I881" t="s">
        <v>125</v>
      </c>
      <c r="J881" t="s">
        <v>126</v>
      </c>
      <c r="K881" t="s">
        <v>87</v>
      </c>
      <c r="L881" t="s">
        <v>2738</v>
      </c>
      <c r="M881" t="s">
        <v>29</v>
      </c>
      <c r="N881" t="s">
        <v>53</v>
      </c>
      <c r="O881" t="s">
        <v>2739</v>
      </c>
      <c r="P881">
        <v>94.427999999999997</v>
      </c>
      <c r="Q881">
        <v>3</v>
      </c>
      <c r="R881">
        <v>-42.492600000000003</v>
      </c>
      <c r="S881" t="s">
        <v>90</v>
      </c>
    </row>
    <row r="882" spans="1:19" x14ac:dyDescent="0.35">
      <c r="A882" t="s">
        <v>2740</v>
      </c>
      <c r="B882" s="1">
        <v>42009</v>
      </c>
      <c r="C882" s="1">
        <v>42014</v>
      </c>
      <c r="D882" t="s">
        <v>37</v>
      </c>
      <c r="E882" t="s">
        <v>2741</v>
      </c>
      <c r="F882" t="s">
        <v>2742</v>
      </c>
      <c r="G882" t="s">
        <v>94</v>
      </c>
      <c r="H882" t="s">
        <v>24</v>
      </c>
      <c r="I882" t="s">
        <v>183</v>
      </c>
      <c r="J882" t="s">
        <v>184</v>
      </c>
      <c r="K882" t="s">
        <v>51</v>
      </c>
      <c r="L882" t="s">
        <v>479</v>
      </c>
      <c r="M882" t="s">
        <v>29</v>
      </c>
      <c r="N882" t="s">
        <v>34</v>
      </c>
      <c r="O882" t="s">
        <v>480</v>
      </c>
      <c r="P882">
        <v>61.584000000000003</v>
      </c>
      <c r="Q882">
        <v>1</v>
      </c>
      <c r="R882">
        <v>-6.9282000000000004</v>
      </c>
      <c r="S882" t="s">
        <v>161</v>
      </c>
    </row>
    <row r="883" spans="1:19" x14ac:dyDescent="0.35">
      <c r="A883" t="s">
        <v>2743</v>
      </c>
      <c r="B883" s="1">
        <v>42921</v>
      </c>
      <c r="C883" s="1">
        <v>42926</v>
      </c>
      <c r="D883" t="s">
        <v>37</v>
      </c>
      <c r="E883" t="s">
        <v>1096</v>
      </c>
      <c r="F883" t="s">
        <v>1097</v>
      </c>
      <c r="G883" t="s">
        <v>84</v>
      </c>
      <c r="H883" t="s">
        <v>24</v>
      </c>
      <c r="I883" t="s">
        <v>1730</v>
      </c>
      <c r="J883" t="s">
        <v>86</v>
      </c>
      <c r="K883" t="s">
        <v>87</v>
      </c>
      <c r="L883" t="s">
        <v>911</v>
      </c>
      <c r="M883" t="s">
        <v>29</v>
      </c>
      <c r="N883" t="s">
        <v>53</v>
      </c>
      <c r="O883" t="s">
        <v>912</v>
      </c>
      <c r="P883">
        <v>332.02800000000002</v>
      </c>
      <c r="Q883">
        <v>9</v>
      </c>
      <c r="R883">
        <v>-348.62939999999998</v>
      </c>
      <c r="S883" t="s">
        <v>66</v>
      </c>
    </row>
    <row r="884" spans="1:19" x14ac:dyDescent="0.35">
      <c r="A884" t="s">
        <v>2744</v>
      </c>
      <c r="B884" s="1">
        <v>43067</v>
      </c>
      <c r="C884" s="1">
        <v>43073</v>
      </c>
      <c r="D884" t="s">
        <v>37</v>
      </c>
      <c r="E884" t="s">
        <v>207</v>
      </c>
      <c r="F884" t="s">
        <v>208</v>
      </c>
      <c r="G884" t="s">
        <v>94</v>
      </c>
      <c r="H884" t="s">
        <v>24</v>
      </c>
      <c r="I884" t="s">
        <v>2745</v>
      </c>
      <c r="J884" t="s">
        <v>1080</v>
      </c>
      <c r="K884" t="s">
        <v>63</v>
      </c>
      <c r="L884" t="s">
        <v>305</v>
      </c>
      <c r="M884" t="s">
        <v>29</v>
      </c>
      <c r="N884" t="s">
        <v>53</v>
      </c>
      <c r="O884" t="s">
        <v>306</v>
      </c>
      <c r="P884">
        <v>1049.2</v>
      </c>
      <c r="Q884">
        <v>5</v>
      </c>
      <c r="R884">
        <v>272.79199999999997</v>
      </c>
      <c r="S884" t="s">
        <v>32</v>
      </c>
    </row>
    <row r="885" spans="1:19" x14ac:dyDescent="0.35">
      <c r="A885" t="s">
        <v>2744</v>
      </c>
      <c r="B885" s="1">
        <v>43067</v>
      </c>
      <c r="C885" s="1">
        <v>43073</v>
      </c>
      <c r="D885" t="s">
        <v>37</v>
      </c>
      <c r="E885" t="s">
        <v>207</v>
      </c>
      <c r="F885" t="s">
        <v>208</v>
      </c>
      <c r="G885" t="s">
        <v>94</v>
      </c>
      <c r="H885" t="s">
        <v>24</v>
      </c>
      <c r="I885" t="s">
        <v>2745</v>
      </c>
      <c r="J885" t="s">
        <v>1080</v>
      </c>
      <c r="K885" t="s">
        <v>63</v>
      </c>
      <c r="L885" t="s">
        <v>1302</v>
      </c>
      <c r="M885" t="s">
        <v>29</v>
      </c>
      <c r="N885" t="s">
        <v>53</v>
      </c>
      <c r="O885" t="s">
        <v>1303</v>
      </c>
      <c r="P885">
        <v>20.9</v>
      </c>
      <c r="Q885">
        <v>5</v>
      </c>
      <c r="R885">
        <v>7.524</v>
      </c>
      <c r="S885" t="s">
        <v>32</v>
      </c>
    </row>
    <row r="886" spans="1:19" x14ac:dyDescent="0.35">
      <c r="A886" t="s">
        <v>2746</v>
      </c>
      <c r="B886" s="1">
        <v>42705</v>
      </c>
      <c r="C886" s="1">
        <v>42709</v>
      </c>
      <c r="D886" t="s">
        <v>20</v>
      </c>
      <c r="E886" t="s">
        <v>2747</v>
      </c>
      <c r="F886" t="s">
        <v>2748</v>
      </c>
      <c r="G886" t="s">
        <v>23</v>
      </c>
      <c r="H886" t="s">
        <v>24</v>
      </c>
      <c r="I886" t="s">
        <v>1571</v>
      </c>
      <c r="J886" t="s">
        <v>421</v>
      </c>
      <c r="K886" t="s">
        <v>63</v>
      </c>
      <c r="L886" t="s">
        <v>616</v>
      </c>
      <c r="M886" t="s">
        <v>29</v>
      </c>
      <c r="N886" t="s">
        <v>34</v>
      </c>
      <c r="O886" t="s">
        <v>617</v>
      </c>
      <c r="P886">
        <v>751.92</v>
      </c>
      <c r="Q886">
        <v>4</v>
      </c>
      <c r="R886">
        <v>150.38399999999999</v>
      </c>
      <c r="S886" t="s">
        <v>90</v>
      </c>
    </row>
    <row r="887" spans="1:19" x14ac:dyDescent="0.35">
      <c r="A887" t="s">
        <v>2749</v>
      </c>
      <c r="B887" s="1">
        <v>41901</v>
      </c>
      <c r="C887" s="1">
        <v>41901</v>
      </c>
      <c r="D887" t="s">
        <v>417</v>
      </c>
      <c r="E887" t="s">
        <v>2750</v>
      </c>
      <c r="F887" t="s">
        <v>2751</v>
      </c>
      <c r="G887" t="s">
        <v>84</v>
      </c>
      <c r="H887" t="s">
        <v>24</v>
      </c>
      <c r="I887" t="s">
        <v>165</v>
      </c>
      <c r="J887" t="s">
        <v>114</v>
      </c>
      <c r="K887" t="s">
        <v>63</v>
      </c>
      <c r="L887" t="s">
        <v>1523</v>
      </c>
      <c r="M887" t="s">
        <v>29</v>
      </c>
      <c r="N887" t="s">
        <v>34</v>
      </c>
      <c r="O887" t="s">
        <v>1524</v>
      </c>
      <c r="P887">
        <v>887.10299999999995</v>
      </c>
      <c r="Q887">
        <v>7</v>
      </c>
      <c r="R887">
        <v>177.42060000000001</v>
      </c>
      <c r="S887" t="s">
        <v>72</v>
      </c>
    </row>
    <row r="888" spans="1:19" x14ac:dyDescent="0.35">
      <c r="A888" t="s">
        <v>2752</v>
      </c>
      <c r="B888" s="1">
        <v>43021</v>
      </c>
      <c r="C888" s="1">
        <v>43024</v>
      </c>
      <c r="D888" t="s">
        <v>81</v>
      </c>
      <c r="E888" t="s">
        <v>1419</v>
      </c>
      <c r="F888" t="s">
        <v>1420</v>
      </c>
      <c r="G888" t="s">
        <v>23</v>
      </c>
      <c r="H888" t="s">
        <v>24</v>
      </c>
      <c r="I888" t="s">
        <v>2719</v>
      </c>
      <c r="J888" t="s">
        <v>126</v>
      </c>
      <c r="K888" t="s">
        <v>87</v>
      </c>
      <c r="L888" t="s">
        <v>886</v>
      </c>
      <c r="M888" t="s">
        <v>29</v>
      </c>
      <c r="N888" t="s">
        <v>53</v>
      </c>
      <c r="O888" t="s">
        <v>887</v>
      </c>
      <c r="P888">
        <v>10.476000000000001</v>
      </c>
      <c r="Q888">
        <v>3</v>
      </c>
      <c r="R888">
        <v>-6.8094000000000001</v>
      </c>
      <c r="S888" t="s">
        <v>45</v>
      </c>
    </row>
    <row r="889" spans="1:19" x14ac:dyDescent="0.35">
      <c r="A889" t="s">
        <v>2753</v>
      </c>
      <c r="B889" s="1">
        <v>42443</v>
      </c>
      <c r="C889" s="1">
        <v>42445</v>
      </c>
      <c r="D889" t="s">
        <v>81</v>
      </c>
      <c r="E889" t="s">
        <v>2616</v>
      </c>
      <c r="F889" t="s">
        <v>2617</v>
      </c>
      <c r="G889" t="s">
        <v>84</v>
      </c>
      <c r="H889" t="s">
        <v>24</v>
      </c>
      <c r="I889" t="s">
        <v>183</v>
      </c>
      <c r="J889" t="s">
        <v>184</v>
      </c>
      <c r="K889" t="s">
        <v>51</v>
      </c>
      <c r="L889" t="s">
        <v>1019</v>
      </c>
      <c r="M889" t="s">
        <v>29</v>
      </c>
      <c r="N889" t="s">
        <v>34</v>
      </c>
      <c r="O889" t="s">
        <v>1020</v>
      </c>
      <c r="P889">
        <v>196.78399999999999</v>
      </c>
      <c r="Q889">
        <v>2</v>
      </c>
      <c r="R889">
        <v>-22.138200000000001</v>
      </c>
      <c r="S889" t="s">
        <v>187</v>
      </c>
    </row>
    <row r="890" spans="1:19" x14ac:dyDescent="0.35">
      <c r="A890" t="s">
        <v>2754</v>
      </c>
      <c r="B890" s="1">
        <v>42679</v>
      </c>
      <c r="C890" s="1">
        <v>42683</v>
      </c>
      <c r="D890" t="s">
        <v>37</v>
      </c>
      <c r="E890" t="s">
        <v>2054</v>
      </c>
      <c r="F890" t="s">
        <v>2055</v>
      </c>
      <c r="G890" t="s">
        <v>23</v>
      </c>
      <c r="H890" t="s">
        <v>24</v>
      </c>
      <c r="I890" t="s">
        <v>95</v>
      </c>
      <c r="J890" t="s">
        <v>86</v>
      </c>
      <c r="K890" t="s">
        <v>87</v>
      </c>
      <c r="L890" t="s">
        <v>722</v>
      </c>
      <c r="M890" t="s">
        <v>29</v>
      </c>
      <c r="N890" t="s">
        <v>43</v>
      </c>
      <c r="O890" t="s">
        <v>723</v>
      </c>
      <c r="P890">
        <v>863.12800000000004</v>
      </c>
      <c r="Q890">
        <v>8</v>
      </c>
      <c r="R890">
        <v>-160.29519999999999</v>
      </c>
      <c r="S890" t="s">
        <v>32</v>
      </c>
    </row>
    <row r="891" spans="1:19" x14ac:dyDescent="0.35">
      <c r="A891" t="s">
        <v>2754</v>
      </c>
      <c r="B891" s="1">
        <v>42679</v>
      </c>
      <c r="C891" s="1">
        <v>42683</v>
      </c>
      <c r="D891" t="s">
        <v>37</v>
      </c>
      <c r="E891" t="s">
        <v>2054</v>
      </c>
      <c r="F891" t="s">
        <v>2055</v>
      </c>
      <c r="G891" t="s">
        <v>23</v>
      </c>
      <c r="H891" t="s">
        <v>24</v>
      </c>
      <c r="I891" t="s">
        <v>95</v>
      </c>
      <c r="J891" t="s">
        <v>86</v>
      </c>
      <c r="K891" t="s">
        <v>87</v>
      </c>
      <c r="L891" t="s">
        <v>1860</v>
      </c>
      <c r="M891" t="s">
        <v>29</v>
      </c>
      <c r="N891" t="s">
        <v>30</v>
      </c>
      <c r="O891" t="s">
        <v>1861</v>
      </c>
      <c r="P891">
        <v>956.66480000000001</v>
      </c>
      <c r="Q891">
        <v>7</v>
      </c>
      <c r="R891">
        <v>-225.0976</v>
      </c>
      <c r="S891" t="s">
        <v>32</v>
      </c>
    </row>
    <row r="892" spans="1:19" x14ac:dyDescent="0.35">
      <c r="A892" t="s">
        <v>2755</v>
      </c>
      <c r="B892" s="1">
        <v>42911</v>
      </c>
      <c r="C892" s="1">
        <v>42915</v>
      </c>
      <c r="D892" t="s">
        <v>20</v>
      </c>
      <c r="E892" t="s">
        <v>1630</v>
      </c>
      <c r="F892" t="s">
        <v>1631</v>
      </c>
      <c r="G892" t="s">
        <v>23</v>
      </c>
      <c r="H892" t="s">
        <v>24</v>
      </c>
      <c r="I892" t="s">
        <v>183</v>
      </c>
      <c r="J892" t="s">
        <v>184</v>
      </c>
      <c r="K892" t="s">
        <v>51</v>
      </c>
      <c r="L892" t="s">
        <v>690</v>
      </c>
      <c r="M892" t="s">
        <v>29</v>
      </c>
      <c r="N892" t="s">
        <v>43</v>
      </c>
      <c r="O892" t="s">
        <v>691</v>
      </c>
      <c r="P892">
        <v>871.4</v>
      </c>
      <c r="Q892">
        <v>4</v>
      </c>
      <c r="R892">
        <v>148.13800000000001</v>
      </c>
      <c r="S892" t="s">
        <v>55</v>
      </c>
    </row>
    <row r="893" spans="1:19" x14ac:dyDescent="0.35">
      <c r="A893" t="s">
        <v>2756</v>
      </c>
      <c r="B893" s="1">
        <v>42334</v>
      </c>
      <c r="C893" s="1">
        <v>42338</v>
      </c>
      <c r="D893" t="s">
        <v>37</v>
      </c>
      <c r="E893" t="s">
        <v>2757</v>
      </c>
      <c r="F893" t="s">
        <v>2758</v>
      </c>
      <c r="G893" t="s">
        <v>84</v>
      </c>
      <c r="H893" t="s">
        <v>24</v>
      </c>
      <c r="I893" t="s">
        <v>468</v>
      </c>
      <c r="J893" t="s">
        <v>133</v>
      </c>
      <c r="K893" t="s">
        <v>27</v>
      </c>
      <c r="L893" t="s">
        <v>2738</v>
      </c>
      <c r="M893" t="s">
        <v>29</v>
      </c>
      <c r="N893" t="s">
        <v>53</v>
      </c>
      <c r="O893" t="s">
        <v>2739</v>
      </c>
      <c r="P893">
        <v>692.47199999999998</v>
      </c>
      <c r="Q893">
        <v>11</v>
      </c>
      <c r="R893">
        <v>190.4298</v>
      </c>
      <c r="S893" t="s">
        <v>32</v>
      </c>
    </row>
    <row r="894" spans="1:19" x14ac:dyDescent="0.35">
      <c r="A894" t="s">
        <v>2759</v>
      </c>
      <c r="B894" s="1">
        <v>42698</v>
      </c>
      <c r="C894" s="1">
        <v>42701</v>
      </c>
      <c r="D894" t="s">
        <v>20</v>
      </c>
      <c r="E894" t="s">
        <v>975</v>
      </c>
      <c r="F894" t="s">
        <v>976</v>
      </c>
      <c r="G894" t="s">
        <v>84</v>
      </c>
      <c r="H894" t="s">
        <v>24</v>
      </c>
      <c r="I894" t="s">
        <v>2745</v>
      </c>
      <c r="J894" t="s">
        <v>1080</v>
      </c>
      <c r="K894" t="s">
        <v>63</v>
      </c>
      <c r="L894" t="s">
        <v>870</v>
      </c>
      <c r="M894" t="s">
        <v>29</v>
      </c>
      <c r="N894" t="s">
        <v>53</v>
      </c>
      <c r="O894" t="s">
        <v>871</v>
      </c>
      <c r="P894">
        <v>207.76</v>
      </c>
      <c r="Q894">
        <v>4</v>
      </c>
      <c r="R894">
        <v>85.181600000000003</v>
      </c>
      <c r="S894" t="s">
        <v>32</v>
      </c>
    </row>
    <row r="895" spans="1:19" x14ac:dyDescent="0.35">
      <c r="A895" t="s">
        <v>2760</v>
      </c>
      <c r="B895" s="1">
        <v>42476</v>
      </c>
      <c r="C895" s="1">
        <v>42480</v>
      </c>
      <c r="D895" t="s">
        <v>37</v>
      </c>
      <c r="E895" t="s">
        <v>2750</v>
      </c>
      <c r="F895" t="s">
        <v>2751</v>
      </c>
      <c r="G895" t="s">
        <v>84</v>
      </c>
      <c r="H895" t="s">
        <v>24</v>
      </c>
      <c r="I895" t="s">
        <v>2051</v>
      </c>
      <c r="J895" t="s">
        <v>354</v>
      </c>
      <c r="K895" t="s">
        <v>63</v>
      </c>
      <c r="L895" t="s">
        <v>2228</v>
      </c>
      <c r="M895" t="s">
        <v>29</v>
      </c>
      <c r="N895" t="s">
        <v>53</v>
      </c>
      <c r="O895" t="s">
        <v>2229</v>
      </c>
      <c r="P895">
        <v>9.9600000000000009</v>
      </c>
      <c r="Q895">
        <v>2</v>
      </c>
      <c r="R895">
        <v>3.2867999999999999</v>
      </c>
      <c r="S895" t="s">
        <v>107</v>
      </c>
    </row>
    <row r="896" spans="1:19" x14ac:dyDescent="0.35">
      <c r="A896" t="s">
        <v>2761</v>
      </c>
      <c r="B896" s="1">
        <v>41957</v>
      </c>
      <c r="C896" s="1">
        <v>41961</v>
      </c>
      <c r="D896" t="s">
        <v>37</v>
      </c>
      <c r="E896" t="s">
        <v>2762</v>
      </c>
      <c r="F896" t="s">
        <v>2763</v>
      </c>
      <c r="G896" t="s">
        <v>94</v>
      </c>
      <c r="H896" t="s">
        <v>24</v>
      </c>
      <c r="I896" t="s">
        <v>165</v>
      </c>
      <c r="J896" t="s">
        <v>114</v>
      </c>
      <c r="K896" t="s">
        <v>63</v>
      </c>
      <c r="L896" t="s">
        <v>2209</v>
      </c>
      <c r="M896" t="s">
        <v>29</v>
      </c>
      <c r="N896" t="s">
        <v>34</v>
      </c>
      <c r="O896" t="s">
        <v>2210</v>
      </c>
      <c r="P896">
        <v>69.263999999999996</v>
      </c>
      <c r="Q896">
        <v>2</v>
      </c>
      <c r="R896">
        <v>14.622400000000001</v>
      </c>
      <c r="S896" t="s">
        <v>32</v>
      </c>
    </row>
    <row r="897" spans="1:19" x14ac:dyDescent="0.35">
      <c r="A897" t="s">
        <v>2764</v>
      </c>
      <c r="B897" s="1">
        <v>42329</v>
      </c>
      <c r="C897" s="1">
        <v>42334</v>
      </c>
      <c r="D897" t="s">
        <v>20</v>
      </c>
      <c r="E897" t="s">
        <v>2765</v>
      </c>
      <c r="F897" t="s">
        <v>2766</v>
      </c>
      <c r="G897" t="s">
        <v>84</v>
      </c>
      <c r="H897" t="s">
        <v>24</v>
      </c>
      <c r="I897" t="s">
        <v>2767</v>
      </c>
      <c r="J897" t="s">
        <v>86</v>
      </c>
      <c r="K897" t="s">
        <v>87</v>
      </c>
      <c r="L897" t="s">
        <v>1437</v>
      </c>
      <c r="M897" t="s">
        <v>29</v>
      </c>
      <c r="N897" t="s">
        <v>30</v>
      </c>
      <c r="O897" t="s">
        <v>1438</v>
      </c>
      <c r="P897">
        <v>246.1328</v>
      </c>
      <c r="Q897">
        <v>2</v>
      </c>
      <c r="R897">
        <v>-76.011600000000001</v>
      </c>
      <c r="S897" t="s">
        <v>32</v>
      </c>
    </row>
    <row r="898" spans="1:19" x14ac:dyDescent="0.35">
      <c r="A898" t="s">
        <v>2768</v>
      </c>
      <c r="B898" s="1">
        <v>43078</v>
      </c>
      <c r="C898" s="1">
        <v>43082</v>
      </c>
      <c r="D898" t="s">
        <v>20</v>
      </c>
      <c r="E898" t="s">
        <v>1314</v>
      </c>
      <c r="F898" t="s">
        <v>1315</v>
      </c>
      <c r="G898" t="s">
        <v>94</v>
      </c>
      <c r="H898" t="s">
        <v>24</v>
      </c>
      <c r="I898" t="s">
        <v>49</v>
      </c>
      <c r="J898" t="s">
        <v>50</v>
      </c>
      <c r="K898" t="s">
        <v>51</v>
      </c>
      <c r="L898" t="s">
        <v>282</v>
      </c>
      <c r="M898" t="s">
        <v>29</v>
      </c>
      <c r="N898" t="s">
        <v>43</v>
      </c>
      <c r="O898" t="s">
        <v>283</v>
      </c>
      <c r="P898">
        <v>896.32799999999997</v>
      </c>
      <c r="Q898">
        <v>9</v>
      </c>
      <c r="R898">
        <v>22.408200000000001</v>
      </c>
      <c r="S898" t="s">
        <v>90</v>
      </c>
    </row>
    <row r="899" spans="1:19" x14ac:dyDescent="0.35">
      <c r="A899" t="s">
        <v>2769</v>
      </c>
      <c r="B899" s="1">
        <v>43030</v>
      </c>
      <c r="C899" s="1">
        <v>43035</v>
      </c>
      <c r="D899" t="s">
        <v>37</v>
      </c>
      <c r="E899" t="s">
        <v>2347</v>
      </c>
      <c r="F899" t="s">
        <v>2348</v>
      </c>
      <c r="G899" t="s">
        <v>84</v>
      </c>
      <c r="H899" t="s">
        <v>24</v>
      </c>
      <c r="I899" t="s">
        <v>1507</v>
      </c>
      <c r="J899" t="s">
        <v>1508</v>
      </c>
      <c r="K899" t="s">
        <v>51</v>
      </c>
      <c r="L899" t="s">
        <v>309</v>
      </c>
      <c r="M899" t="s">
        <v>29</v>
      </c>
      <c r="N899" t="s">
        <v>43</v>
      </c>
      <c r="O899" t="s">
        <v>310</v>
      </c>
      <c r="P899">
        <v>177.22499999999999</v>
      </c>
      <c r="Q899">
        <v>5</v>
      </c>
      <c r="R899">
        <v>-120.51300000000001</v>
      </c>
      <c r="S899" t="s">
        <v>45</v>
      </c>
    </row>
    <row r="900" spans="1:19" x14ac:dyDescent="0.35">
      <c r="A900" t="s">
        <v>2770</v>
      </c>
      <c r="B900" s="1">
        <v>42919</v>
      </c>
      <c r="C900" s="1">
        <v>42926</v>
      </c>
      <c r="D900" t="s">
        <v>37</v>
      </c>
      <c r="E900" t="s">
        <v>1291</v>
      </c>
      <c r="F900" t="s">
        <v>1292</v>
      </c>
      <c r="G900" t="s">
        <v>23</v>
      </c>
      <c r="H900" t="s">
        <v>24</v>
      </c>
      <c r="I900" t="s">
        <v>2771</v>
      </c>
      <c r="J900" t="s">
        <v>50</v>
      </c>
      <c r="K900" t="s">
        <v>51</v>
      </c>
      <c r="L900" t="s">
        <v>2681</v>
      </c>
      <c r="M900" t="s">
        <v>29</v>
      </c>
      <c r="N900" t="s">
        <v>53</v>
      </c>
      <c r="O900" t="s">
        <v>2682</v>
      </c>
      <c r="P900">
        <v>129.38999999999999</v>
      </c>
      <c r="Q900">
        <v>3</v>
      </c>
      <c r="R900">
        <v>54.343800000000002</v>
      </c>
      <c r="S900" t="s">
        <v>66</v>
      </c>
    </row>
    <row r="901" spans="1:19" x14ac:dyDescent="0.35">
      <c r="A901" t="s">
        <v>2772</v>
      </c>
      <c r="B901" s="1">
        <v>42970</v>
      </c>
      <c r="C901" s="1">
        <v>42973</v>
      </c>
      <c r="D901" t="s">
        <v>20</v>
      </c>
      <c r="E901" t="s">
        <v>395</v>
      </c>
      <c r="F901" t="s">
        <v>396</v>
      </c>
      <c r="G901" t="s">
        <v>23</v>
      </c>
      <c r="H901" t="s">
        <v>24</v>
      </c>
      <c r="I901" t="s">
        <v>2331</v>
      </c>
      <c r="J901" t="s">
        <v>41</v>
      </c>
      <c r="K901" t="s">
        <v>27</v>
      </c>
      <c r="L901" t="s">
        <v>1062</v>
      </c>
      <c r="M901" t="s">
        <v>29</v>
      </c>
      <c r="N901" t="s">
        <v>53</v>
      </c>
      <c r="O901" t="s">
        <v>1063</v>
      </c>
      <c r="P901">
        <v>2.7839999999999998</v>
      </c>
      <c r="Q901">
        <v>2</v>
      </c>
      <c r="R901">
        <v>0.41760000000000003</v>
      </c>
      <c r="S901" t="s">
        <v>245</v>
      </c>
    </row>
    <row r="902" spans="1:19" x14ac:dyDescent="0.35">
      <c r="A902" t="s">
        <v>2773</v>
      </c>
      <c r="B902" s="1">
        <v>41938</v>
      </c>
      <c r="C902" s="1">
        <v>41942</v>
      </c>
      <c r="D902" t="s">
        <v>20</v>
      </c>
      <c r="E902" t="s">
        <v>2774</v>
      </c>
      <c r="F902" t="s">
        <v>2775</v>
      </c>
      <c r="G902" t="s">
        <v>23</v>
      </c>
      <c r="H902" t="s">
        <v>24</v>
      </c>
      <c r="I902" t="s">
        <v>183</v>
      </c>
      <c r="J902" t="s">
        <v>184</v>
      </c>
      <c r="K902" t="s">
        <v>51</v>
      </c>
      <c r="L902" t="s">
        <v>576</v>
      </c>
      <c r="M902" t="s">
        <v>29</v>
      </c>
      <c r="N902" t="s">
        <v>53</v>
      </c>
      <c r="O902" t="s">
        <v>577</v>
      </c>
      <c r="P902">
        <v>63.92</v>
      </c>
      <c r="Q902">
        <v>4</v>
      </c>
      <c r="R902">
        <v>3.1960000000000002</v>
      </c>
      <c r="S902" t="s">
        <v>45</v>
      </c>
    </row>
    <row r="903" spans="1:19" x14ac:dyDescent="0.35">
      <c r="A903" t="s">
        <v>2776</v>
      </c>
      <c r="B903" s="1">
        <v>41947</v>
      </c>
      <c r="C903" s="1">
        <v>41954</v>
      </c>
      <c r="D903" t="s">
        <v>37</v>
      </c>
      <c r="E903" t="s">
        <v>1721</v>
      </c>
      <c r="F903" t="s">
        <v>1722</v>
      </c>
      <c r="G903" t="s">
        <v>23</v>
      </c>
      <c r="H903" t="s">
        <v>24</v>
      </c>
      <c r="I903" t="s">
        <v>49</v>
      </c>
      <c r="J903" t="s">
        <v>50</v>
      </c>
      <c r="K903" t="s">
        <v>51</v>
      </c>
      <c r="L903" t="s">
        <v>445</v>
      </c>
      <c r="M903" t="s">
        <v>29</v>
      </c>
      <c r="N903" t="s">
        <v>43</v>
      </c>
      <c r="O903" t="s">
        <v>446</v>
      </c>
      <c r="P903">
        <v>573.72799999999995</v>
      </c>
      <c r="Q903">
        <v>4</v>
      </c>
      <c r="R903">
        <v>-64.544399999999996</v>
      </c>
      <c r="S903" t="s">
        <v>32</v>
      </c>
    </row>
    <row r="904" spans="1:19" x14ac:dyDescent="0.35">
      <c r="A904" t="s">
        <v>2777</v>
      </c>
      <c r="B904" s="1">
        <v>43076</v>
      </c>
      <c r="C904" s="1">
        <v>43080</v>
      </c>
      <c r="D904" t="s">
        <v>37</v>
      </c>
      <c r="E904" t="s">
        <v>1435</v>
      </c>
      <c r="F904" t="s">
        <v>1436</v>
      </c>
      <c r="G904" t="s">
        <v>23</v>
      </c>
      <c r="H904" t="s">
        <v>24</v>
      </c>
      <c r="I904" t="s">
        <v>626</v>
      </c>
      <c r="J904" t="s">
        <v>707</v>
      </c>
      <c r="K904" t="s">
        <v>27</v>
      </c>
      <c r="L904" t="s">
        <v>2778</v>
      </c>
      <c r="M904" t="s">
        <v>29</v>
      </c>
      <c r="N904" t="s">
        <v>53</v>
      </c>
      <c r="O904" t="s">
        <v>2779</v>
      </c>
      <c r="P904">
        <v>82.38</v>
      </c>
      <c r="Q904">
        <v>6</v>
      </c>
      <c r="R904">
        <v>25.537800000000001</v>
      </c>
      <c r="S904" t="s">
        <v>90</v>
      </c>
    </row>
    <row r="905" spans="1:19" x14ac:dyDescent="0.35">
      <c r="A905" t="s">
        <v>2780</v>
      </c>
      <c r="B905" s="1">
        <v>42358</v>
      </c>
      <c r="C905" s="1">
        <v>42362</v>
      </c>
      <c r="D905" t="s">
        <v>37</v>
      </c>
      <c r="E905" t="s">
        <v>2781</v>
      </c>
      <c r="F905" t="s">
        <v>2782</v>
      </c>
      <c r="G905" t="s">
        <v>23</v>
      </c>
      <c r="H905" t="s">
        <v>24</v>
      </c>
      <c r="I905" t="s">
        <v>2783</v>
      </c>
      <c r="J905" t="s">
        <v>511</v>
      </c>
      <c r="K905" t="s">
        <v>51</v>
      </c>
      <c r="L905" t="s">
        <v>1442</v>
      </c>
      <c r="M905" t="s">
        <v>29</v>
      </c>
      <c r="N905" t="s">
        <v>53</v>
      </c>
      <c r="O905" t="s">
        <v>1443</v>
      </c>
      <c r="P905">
        <v>14.368</v>
      </c>
      <c r="Q905">
        <v>2</v>
      </c>
      <c r="R905">
        <v>3.9512</v>
      </c>
      <c r="S905" t="s">
        <v>90</v>
      </c>
    </row>
    <row r="906" spans="1:19" x14ac:dyDescent="0.35">
      <c r="A906" t="s">
        <v>2784</v>
      </c>
      <c r="B906" s="1">
        <v>42631</v>
      </c>
      <c r="C906" s="1">
        <v>42638</v>
      </c>
      <c r="D906" t="s">
        <v>37</v>
      </c>
      <c r="E906" t="s">
        <v>1675</v>
      </c>
      <c r="F906" t="s">
        <v>1676</v>
      </c>
      <c r="G906" t="s">
        <v>23</v>
      </c>
      <c r="H906" t="s">
        <v>24</v>
      </c>
      <c r="I906" t="s">
        <v>2785</v>
      </c>
      <c r="J906" t="s">
        <v>114</v>
      </c>
      <c r="K906" t="s">
        <v>63</v>
      </c>
      <c r="L906" t="s">
        <v>842</v>
      </c>
      <c r="M906" t="s">
        <v>29</v>
      </c>
      <c r="N906" t="s">
        <v>34</v>
      </c>
      <c r="O906" t="s">
        <v>843</v>
      </c>
      <c r="P906">
        <v>631.78200000000004</v>
      </c>
      <c r="Q906">
        <v>2</v>
      </c>
      <c r="R906">
        <v>140.39599999999999</v>
      </c>
      <c r="S906" t="s">
        <v>72</v>
      </c>
    </row>
    <row r="907" spans="1:19" x14ac:dyDescent="0.35">
      <c r="A907" t="s">
        <v>2784</v>
      </c>
      <c r="B907" s="1">
        <v>42631</v>
      </c>
      <c r="C907" s="1">
        <v>42638</v>
      </c>
      <c r="D907" t="s">
        <v>37</v>
      </c>
      <c r="E907" t="s">
        <v>1675</v>
      </c>
      <c r="F907" t="s">
        <v>1676</v>
      </c>
      <c r="G907" t="s">
        <v>23</v>
      </c>
      <c r="H907" t="s">
        <v>24</v>
      </c>
      <c r="I907" t="s">
        <v>2785</v>
      </c>
      <c r="J907" t="s">
        <v>114</v>
      </c>
      <c r="K907" t="s">
        <v>63</v>
      </c>
      <c r="L907" t="s">
        <v>2786</v>
      </c>
      <c r="M907" t="s">
        <v>29</v>
      </c>
      <c r="N907" t="s">
        <v>53</v>
      </c>
      <c r="O907" t="s">
        <v>2787</v>
      </c>
      <c r="P907">
        <v>60.72</v>
      </c>
      <c r="Q907">
        <v>3</v>
      </c>
      <c r="R907">
        <v>26.1096</v>
      </c>
      <c r="S907" t="s">
        <v>72</v>
      </c>
    </row>
    <row r="908" spans="1:19" x14ac:dyDescent="0.35">
      <c r="A908" t="s">
        <v>2788</v>
      </c>
      <c r="B908" s="1">
        <v>43080</v>
      </c>
      <c r="C908" s="1">
        <v>43080</v>
      </c>
      <c r="D908" t="s">
        <v>417</v>
      </c>
      <c r="E908" t="s">
        <v>2789</v>
      </c>
      <c r="F908" t="s">
        <v>2790</v>
      </c>
      <c r="G908" t="s">
        <v>23</v>
      </c>
      <c r="H908" t="s">
        <v>24</v>
      </c>
      <c r="I908" t="s">
        <v>171</v>
      </c>
      <c r="J908" t="s">
        <v>126</v>
      </c>
      <c r="K908" t="s">
        <v>87</v>
      </c>
      <c r="L908" t="s">
        <v>781</v>
      </c>
      <c r="M908" t="s">
        <v>29</v>
      </c>
      <c r="N908" t="s">
        <v>53</v>
      </c>
      <c r="O908" t="s">
        <v>782</v>
      </c>
      <c r="P908">
        <v>77.72</v>
      </c>
      <c r="Q908">
        <v>1</v>
      </c>
      <c r="R908">
        <v>-66.061999999999998</v>
      </c>
      <c r="S908" t="s">
        <v>90</v>
      </c>
    </row>
    <row r="909" spans="1:19" x14ac:dyDescent="0.35">
      <c r="A909" t="s">
        <v>2788</v>
      </c>
      <c r="B909" s="1">
        <v>43080</v>
      </c>
      <c r="C909" s="1">
        <v>43080</v>
      </c>
      <c r="D909" t="s">
        <v>417</v>
      </c>
      <c r="E909" t="s">
        <v>2789</v>
      </c>
      <c r="F909" t="s">
        <v>2790</v>
      </c>
      <c r="G909" t="s">
        <v>23</v>
      </c>
      <c r="H909" t="s">
        <v>24</v>
      </c>
      <c r="I909" t="s">
        <v>171</v>
      </c>
      <c r="J909" t="s">
        <v>126</v>
      </c>
      <c r="K909" t="s">
        <v>87</v>
      </c>
      <c r="L909" t="s">
        <v>1086</v>
      </c>
      <c r="M909" t="s">
        <v>29</v>
      </c>
      <c r="N909" t="s">
        <v>34</v>
      </c>
      <c r="O909" t="s">
        <v>1087</v>
      </c>
      <c r="P909">
        <v>520.46400000000006</v>
      </c>
      <c r="Q909">
        <v>2</v>
      </c>
      <c r="R909">
        <v>-14.8704</v>
      </c>
      <c r="S909" t="s">
        <v>90</v>
      </c>
    </row>
    <row r="910" spans="1:19" x14ac:dyDescent="0.35">
      <c r="A910" t="s">
        <v>2791</v>
      </c>
      <c r="B910" s="1">
        <v>41754</v>
      </c>
      <c r="C910" s="1">
        <v>41759</v>
      </c>
      <c r="D910" t="s">
        <v>37</v>
      </c>
      <c r="E910" t="s">
        <v>1257</v>
      </c>
      <c r="F910" t="s">
        <v>1258</v>
      </c>
      <c r="G910" t="s">
        <v>94</v>
      </c>
      <c r="H910" t="s">
        <v>24</v>
      </c>
      <c r="I910" t="s">
        <v>2792</v>
      </c>
      <c r="J910" t="s">
        <v>50</v>
      </c>
      <c r="K910" t="s">
        <v>51</v>
      </c>
      <c r="L910" t="s">
        <v>136</v>
      </c>
      <c r="M910" t="s">
        <v>29</v>
      </c>
      <c r="N910" t="s">
        <v>53</v>
      </c>
      <c r="O910" t="s">
        <v>137</v>
      </c>
      <c r="P910">
        <v>303.25</v>
      </c>
      <c r="Q910">
        <v>5</v>
      </c>
      <c r="R910">
        <v>63.682499999999997</v>
      </c>
      <c r="S910" t="s">
        <v>107</v>
      </c>
    </row>
    <row r="911" spans="1:19" x14ac:dyDescent="0.35">
      <c r="A911" t="s">
        <v>2791</v>
      </c>
      <c r="B911" s="1">
        <v>41754</v>
      </c>
      <c r="C911" s="1">
        <v>41759</v>
      </c>
      <c r="D911" t="s">
        <v>37</v>
      </c>
      <c r="E911" t="s">
        <v>1257</v>
      </c>
      <c r="F911" t="s">
        <v>1258</v>
      </c>
      <c r="G911" t="s">
        <v>94</v>
      </c>
      <c r="H911" t="s">
        <v>24</v>
      </c>
      <c r="I911" t="s">
        <v>2792</v>
      </c>
      <c r="J911" t="s">
        <v>50</v>
      </c>
      <c r="K911" t="s">
        <v>51</v>
      </c>
      <c r="L911" t="s">
        <v>1086</v>
      </c>
      <c r="M911" t="s">
        <v>29</v>
      </c>
      <c r="N911" t="s">
        <v>34</v>
      </c>
      <c r="O911" t="s">
        <v>1087</v>
      </c>
      <c r="P911">
        <v>1487.04</v>
      </c>
      <c r="Q911">
        <v>5</v>
      </c>
      <c r="R911">
        <v>148.70400000000001</v>
      </c>
      <c r="S911" t="s">
        <v>107</v>
      </c>
    </row>
    <row r="912" spans="1:19" x14ac:dyDescent="0.35">
      <c r="A912" t="s">
        <v>2793</v>
      </c>
      <c r="B912" s="1">
        <v>42302</v>
      </c>
      <c r="C912" s="1">
        <v>42307</v>
      </c>
      <c r="D912" t="s">
        <v>37</v>
      </c>
      <c r="E912" t="s">
        <v>1706</v>
      </c>
      <c r="F912" t="s">
        <v>1707</v>
      </c>
      <c r="G912" t="s">
        <v>23</v>
      </c>
      <c r="H912" t="s">
        <v>24</v>
      </c>
      <c r="I912" t="s">
        <v>320</v>
      </c>
      <c r="J912" t="s">
        <v>50</v>
      </c>
      <c r="K912" t="s">
        <v>51</v>
      </c>
      <c r="L912" t="s">
        <v>538</v>
      </c>
      <c r="M912" t="s">
        <v>29</v>
      </c>
      <c r="N912" t="s">
        <v>43</v>
      </c>
      <c r="O912" t="s">
        <v>539</v>
      </c>
      <c r="P912">
        <v>253.17599999999999</v>
      </c>
      <c r="Q912">
        <v>3</v>
      </c>
      <c r="R912">
        <v>-31.646999999999998</v>
      </c>
      <c r="S912" t="s">
        <v>45</v>
      </c>
    </row>
    <row r="913" spans="1:19" x14ac:dyDescent="0.35">
      <c r="A913" t="s">
        <v>2794</v>
      </c>
      <c r="B913" s="1">
        <v>42205</v>
      </c>
      <c r="C913" s="1">
        <v>42212</v>
      </c>
      <c r="D913" t="s">
        <v>37</v>
      </c>
      <c r="E913" t="s">
        <v>1040</v>
      </c>
      <c r="F913" t="s">
        <v>1041</v>
      </c>
      <c r="G913" t="s">
        <v>23</v>
      </c>
      <c r="H913" t="s">
        <v>24</v>
      </c>
      <c r="I913" t="s">
        <v>2153</v>
      </c>
      <c r="J913" t="s">
        <v>126</v>
      </c>
      <c r="K913" t="s">
        <v>87</v>
      </c>
      <c r="L913" t="s">
        <v>2795</v>
      </c>
      <c r="M913" t="s">
        <v>29</v>
      </c>
      <c r="N913" t="s">
        <v>30</v>
      </c>
      <c r="O913" t="s">
        <v>2796</v>
      </c>
      <c r="P913">
        <v>384.94400000000002</v>
      </c>
      <c r="Q913">
        <v>4</v>
      </c>
      <c r="R913">
        <v>-126.4816</v>
      </c>
      <c r="S913" t="s">
        <v>66</v>
      </c>
    </row>
    <row r="914" spans="1:19" x14ac:dyDescent="0.35">
      <c r="A914" t="s">
        <v>2794</v>
      </c>
      <c r="B914" s="1">
        <v>42205</v>
      </c>
      <c r="C914" s="1">
        <v>42212</v>
      </c>
      <c r="D914" t="s">
        <v>37</v>
      </c>
      <c r="E914" t="s">
        <v>1040</v>
      </c>
      <c r="F914" t="s">
        <v>1041</v>
      </c>
      <c r="G914" t="s">
        <v>23</v>
      </c>
      <c r="H914" t="s">
        <v>24</v>
      </c>
      <c r="I914" t="s">
        <v>2153</v>
      </c>
      <c r="J914" t="s">
        <v>126</v>
      </c>
      <c r="K914" t="s">
        <v>87</v>
      </c>
      <c r="L914" t="s">
        <v>96</v>
      </c>
      <c r="M914" t="s">
        <v>29</v>
      </c>
      <c r="N914" t="s">
        <v>30</v>
      </c>
      <c r="O914" t="s">
        <v>97</v>
      </c>
      <c r="P914">
        <v>913.43</v>
      </c>
      <c r="Q914">
        <v>5</v>
      </c>
      <c r="R914">
        <v>-52.195999999999998</v>
      </c>
      <c r="S914" t="s">
        <v>66</v>
      </c>
    </row>
    <row r="915" spans="1:19" x14ac:dyDescent="0.35">
      <c r="A915" t="s">
        <v>2797</v>
      </c>
      <c r="B915" s="1">
        <v>43059</v>
      </c>
      <c r="C915" s="1">
        <v>43061</v>
      </c>
      <c r="D915" t="s">
        <v>81</v>
      </c>
      <c r="E915" t="s">
        <v>815</v>
      </c>
      <c r="F915" t="s">
        <v>816</v>
      </c>
      <c r="G915" t="s">
        <v>23</v>
      </c>
      <c r="H915" t="s">
        <v>24</v>
      </c>
      <c r="I915" t="s">
        <v>165</v>
      </c>
      <c r="J915" t="s">
        <v>114</v>
      </c>
      <c r="K915" t="s">
        <v>63</v>
      </c>
      <c r="L915" t="s">
        <v>1467</v>
      </c>
      <c r="M915" t="s">
        <v>29</v>
      </c>
      <c r="N915" t="s">
        <v>30</v>
      </c>
      <c r="O915" t="s">
        <v>1468</v>
      </c>
      <c r="P915">
        <v>183.96799999999999</v>
      </c>
      <c r="Q915">
        <v>2</v>
      </c>
      <c r="R915">
        <v>-25.2956</v>
      </c>
      <c r="S915" t="s">
        <v>32</v>
      </c>
    </row>
    <row r="916" spans="1:19" x14ac:dyDescent="0.35">
      <c r="A916" t="s">
        <v>2798</v>
      </c>
      <c r="B916" s="1">
        <v>41827</v>
      </c>
      <c r="C916" s="1">
        <v>41831</v>
      </c>
      <c r="D916" t="s">
        <v>37</v>
      </c>
      <c r="E916" t="s">
        <v>2799</v>
      </c>
      <c r="F916" t="s">
        <v>2800</v>
      </c>
      <c r="G916" t="s">
        <v>23</v>
      </c>
      <c r="H916" t="s">
        <v>24</v>
      </c>
      <c r="I916" t="s">
        <v>61</v>
      </c>
      <c r="J916" t="s">
        <v>62</v>
      </c>
      <c r="K916" t="s">
        <v>63</v>
      </c>
      <c r="L916" t="s">
        <v>1019</v>
      </c>
      <c r="M916" t="s">
        <v>29</v>
      </c>
      <c r="N916" t="s">
        <v>34</v>
      </c>
      <c r="O916" t="s">
        <v>1020</v>
      </c>
      <c r="P916">
        <v>172.18600000000001</v>
      </c>
      <c r="Q916">
        <v>2</v>
      </c>
      <c r="R916">
        <v>-46.736199999999997</v>
      </c>
      <c r="S916" t="s">
        <v>66</v>
      </c>
    </row>
    <row r="917" spans="1:19" x14ac:dyDescent="0.35">
      <c r="A917" t="s">
        <v>2798</v>
      </c>
      <c r="B917" s="1">
        <v>41827</v>
      </c>
      <c r="C917" s="1">
        <v>41831</v>
      </c>
      <c r="D917" t="s">
        <v>37</v>
      </c>
      <c r="E917" t="s">
        <v>2799</v>
      </c>
      <c r="F917" t="s">
        <v>2800</v>
      </c>
      <c r="G917" t="s">
        <v>23</v>
      </c>
      <c r="H917" t="s">
        <v>24</v>
      </c>
      <c r="I917" t="s">
        <v>61</v>
      </c>
      <c r="J917" t="s">
        <v>62</v>
      </c>
      <c r="K917" t="s">
        <v>63</v>
      </c>
      <c r="L917" t="s">
        <v>598</v>
      </c>
      <c r="M917" t="s">
        <v>29</v>
      </c>
      <c r="N917" t="s">
        <v>53</v>
      </c>
      <c r="O917" t="s">
        <v>599</v>
      </c>
      <c r="P917">
        <v>69.007999999999996</v>
      </c>
      <c r="Q917">
        <v>2</v>
      </c>
      <c r="R917">
        <v>12.0764</v>
      </c>
      <c r="S917" t="s">
        <v>66</v>
      </c>
    </row>
    <row r="918" spans="1:19" x14ac:dyDescent="0.35">
      <c r="A918" t="s">
        <v>2801</v>
      </c>
      <c r="B918" s="1">
        <v>42446</v>
      </c>
      <c r="C918" s="1">
        <v>42446</v>
      </c>
      <c r="D918" t="s">
        <v>417</v>
      </c>
      <c r="E918" t="s">
        <v>2781</v>
      </c>
      <c r="F918" t="s">
        <v>2782</v>
      </c>
      <c r="G918" t="s">
        <v>23</v>
      </c>
      <c r="H918" t="s">
        <v>24</v>
      </c>
      <c r="I918" t="s">
        <v>149</v>
      </c>
      <c r="J918" t="s">
        <v>1080</v>
      </c>
      <c r="K918" t="s">
        <v>63</v>
      </c>
      <c r="L918" t="s">
        <v>781</v>
      </c>
      <c r="M918" t="s">
        <v>29</v>
      </c>
      <c r="N918" t="s">
        <v>53</v>
      </c>
      <c r="O918" t="s">
        <v>782</v>
      </c>
      <c r="P918">
        <v>971.5</v>
      </c>
      <c r="Q918">
        <v>5</v>
      </c>
      <c r="R918">
        <v>252.59</v>
      </c>
      <c r="S918" t="s">
        <v>187</v>
      </c>
    </row>
    <row r="919" spans="1:19" x14ac:dyDescent="0.35">
      <c r="A919" t="s">
        <v>2802</v>
      </c>
      <c r="B919" s="1">
        <v>41993</v>
      </c>
      <c r="C919" s="1">
        <v>42000</v>
      </c>
      <c r="D919" t="s">
        <v>37</v>
      </c>
      <c r="E919" t="s">
        <v>2624</v>
      </c>
      <c r="F919" t="s">
        <v>2625</v>
      </c>
      <c r="G919" t="s">
        <v>23</v>
      </c>
      <c r="H919" t="s">
        <v>24</v>
      </c>
      <c r="I919" t="s">
        <v>2803</v>
      </c>
      <c r="J919" t="s">
        <v>223</v>
      </c>
      <c r="K919" t="s">
        <v>63</v>
      </c>
      <c r="L919" t="s">
        <v>210</v>
      </c>
      <c r="M919" t="s">
        <v>29</v>
      </c>
      <c r="N919" t="s">
        <v>53</v>
      </c>
      <c r="O919" t="s">
        <v>211</v>
      </c>
      <c r="P919">
        <v>190.84800000000001</v>
      </c>
      <c r="Q919">
        <v>3</v>
      </c>
      <c r="R919">
        <v>-21.470400000000001</v>
      </c>
      <c r="S919" t="s">
        <v>90</v>
      </c>
    </row>
    <row r="920" spans="1:19" x14ac:dyDescent="0.35">
      <c r="A920" t="s">
        <v>2804</v>
      </c>
      <c r="B920" s="1">
        <v>42873</v>
      </c>
      <c r="C920" s="1">
        <v>42874</v>
      </c>
      <c r="D920" t="s">
        <v>81</v>
      </c>
      <c r="E920" t="s">
        <v>1158</v>
      </c>
      <c r="F920" t="s">
        <v>1159</v>
      </c>
      <c r="G920" t="s">
        <v>84</v>
      </c>
      <c r="H920" t="s">
        <v>24</v>
      </c>
      <c r="I920" t="s">
        <v>2805</v>
      </c>
      <c r="J920" t="s">
        <v>658</v>
      </c>
      <c r="K920" t="s">
        <v>27</v>
      </c>
      <c r="L920" t="s">
        <v>2806</v>
      </c>
      <c r="M920" t="s">
        <v>29</v>
      </c>
      <c r="N920" t="s">
        <v>30</v>
      </c>
      <c r="O920" t="s">
        <v>2807</v>
      </c>
      <c r="P920">
        <v>302.94</v>
      </c>
      <c r="Q920">
        <v>3</v>
      </c>
      <c r="R920">
        <v>75.734999999999999</v>
      </c>
      <c r="S920" t="s">
        <v>153</v>
      </c>
    </row>
    <row r="921" spans="1:19" x14ac:dyDescent="0.35">
      <c r="A921" t="s">
        <v>2808</v>
      </c>
      <c r="B921" s="1">
        <v>42815</v>
      </c>
      <c r="C921" s="1">
        <v>42821</v>
      </c>
      <c r="D921" t="s">
        <v>37</v>
      </c>
      <c r="E921" t="s">
        <v>2217</v>
      </c>
      <c r="F921" t="s">
        <v>2218</v>
      </c>
      <c r="G921" t="s">
        <v>23</v>
      </c>
      <c r="H921" t="s">
        <v>24</v>
      </c>
      <c r="I921" t="s">
        <v>2012</v>
      </c>
      <c r="J921" t="s">
        <v>1513</v>
      </c>
      <c r="K921" t="s">
        <v>87</v>
      </c>
      <c r="L921" t="s">
        <v>2325</v>
      </c>
      <c r="M921" t="s">
        <v>29</v>
      </c>
      <c r="N921" t="s">
        <v>34</v>
      </c>
      <c r="O921" t="s">
        <v>2326</v>
      </c>
      <c r="P921">
        <v>1805.88</v>
      </c>
      <c r="Q921">
        <v>6</v>
      </c>
      <c r="R921">
        <v>523.70519999999999</v>
      </c>
      <c r="S921" t="s">
        <v>187</v>
      </c>
    </row>
    <row r="922" spans="1:19" x14ac:dyDescent="0.35">
      <c r="A922" t="s">
        <v>2809</v>
      </c>
      <c r="B922" s="1">
        <v>42677</v>
      </c>
      <c r="C922" s="1">
        <v>42682</v>
      </c>
      <c r="D922" t="s">
        <v>20</v>
      </c>
      <c r="E922" t="s">
        <v>1056</v>
      </c>
      <c r="F922" t="s">
        <v>1057</v>
      </c>
      <c r="G922" t="s">
        <v>23</v>
      </c>
      <c r="H922" t="s">
        <v>24</v>
      </c>
      <c r="I922" t="s">
        <v>25</v>
      </c>
      <c r="J922" t="s">
        <v>26</v>
      </c>
      <c r="K922" t="s">
        <v>27</v>
      </c>
      <c r="L922" t="s">
        <v>950</v>
      </c>
      <c r="M922" t="s">
        <v>29</v>
      </c>
      <c r="N922" t="s">
        <v>53</v>
      </c>
      <c r="O922" t="s">
        <v>951</v>
      </c>
      <c r="P922">
        <v>24.1</v>
      </c>
      <c r="Q922">
        <v>5</v>
      </c>
      <c r="R922">
        <v>9.1579999999999995</v>
      </c>
      <c r="S922" t="s">
        <v>32</v>
      </c>
    </row>
    <row r="923" spans="1:19" x14ac:dyDescent="0.35">
      <c r="A923" t="s">
        <v>2809</v>
      </c>
      <c r="B923" s="1">
        <v>42677</v>
      </c>
      <c r="C923" s="1">
        <v>42682</v>
      </c>
      <c r="D923" t="s">
        <v>20</v>
      </c>
      <c r="E923" t="s">
        <v>1056</v>
      </c>
      <c r="F923" t="s">
        <v>1057</v>
      </c>
      <c r="G923" t="s">
        <v>23</v>
      </c>
      <c r="H923" t="s">
        <v>24</v>
      </c>
      <c r="I923" t="s">
        <v>25</v>
      </c>
      <c r="J923" t="s">
        <v>26</v>
      </c>
      <c r="K923" t="s">
        <v>27</v>
      </c>
      <c r="L923" t="s">
        <v>2810</v>
      </c>
      <c r="M923" t="s">
        <v>29</v>
      </c>
      <c r="N923" t="s">
        <v>43</v>
      </c>
      <c r="O923" t="s">
        <v>2811</v>
      </c>
      <c r="P923">
        <v>842.94</v>
      </c>
      <c r="Q923">
        <v>3</v>
      </c>
      <c r="R923">
        <v>160.15860000000001</v>
      </c>
      <c r="S923" t="s">
        <v>32</v>
      </c>
    </row>
    <row r="924" spans="1:19" x14ac:dyDescent="0.35">
      <c r="A924" t="s">
        <v>2812</v>
      </c>
      <c r="B924" s="1">
        <v>42174</v>
      </c>
      <c r="C924" s="1">
        <v>42178</v>
      </c>
      <c r="D924" t="s">
        <v>37</v>
      </c>
      <c r="E924" t="s">
        <v>318</v>
      </c>
      <c r="F924" t="s">
        <v>319</v>
      </c>
      <c r="G924" t="s">
        <v>23</v>
      </c>
      <c r="H924" t="s">
        <v>24</v>
      </c>
      <c r="I924" t="s">
        <v>49</v>
      </c>
      <c r="J924" t="s">
        <v>50</v>
      </c>
      <c r="K924" t="s">
        <v>51</v>
      </c>
      <c r="L924" t="s">
        <v>668</v>
      </c>
      <c r="M924" t="s">
        <v>29</v>
      </c>
      <c r="N924" t="s">
        <v>53</v>
      </c>
      <c r="O924" t="s">
        <v>669</v>
      </c>
      <c r="P924">
        <v>12.56</v>
      </c>
      <c r="Q924">
        <v>2</v>
      </c>
      <c r="R924">
        <v>4.0191999999999997</v>
      </c>
      <c r="S924" t="s">
        <v>55</v>
      </c>
    </row>
    <row r="925" spans="1:19" x14ac:dyDescent="0.35">
      <c r="A925" t="s">
        <v>2813</v>
      </c>
      <c r="B925" s="1">
        <v>42555</v>
      </c>
      <c r="C925" s="1">
        <v>42557</v>
      </c>
      <c r="D925" t="s">
        <v>81</v>
      </c>
      <c r="E925" t="s">
        <v>2684</v>
      </c>
      <c r="F925" t="s">
        <v>2685</v>
      </c>
      <c r="G925" t="s">
        <v>23</v>
      </c>
      <c r="H925" t="s">
        <v>24</v>
      </c>
      <c r="I925" t="s">
        <v>320</v>
      </c>
      <c r="J925" t="s">
        <v>50</v>
      </c>
      <c r="K925" t="s">
        <v>51</v>
      </c>
      <c r="L925" t="s">
        <v>652</v>
      </c>
      <c r="M925" t="s">
        <v>29</v>
      </c>
      <c r="N925" t="s">
        <v>53</v>
      </c>
      <c r="O925" t="s">
        <v>653</v>
      </c>
      <c r="P925">
        <v>25.4</v>
      </c>
      <c r="Q925">
        <v>5</v>
      </c>
      <c r="R925">
        <v>8.6359999999999992</v>
      </c>
      <c r="S925" t="s">
        <v>66</v>
      </c>
    </row>
    <row r="926" spans="1:19" x14ac:dyDescent="0.35">
      <c r="A926" t="s">
        <v>2813</v>
      </c>
      <c r="B926" s="1">
        <v>42555</v>
      </c>
      <c r="C926" s="1">
        <v>42557</v>
      </c>
      <c r="D926" t="s">
        <v>81</v>
      </c>
      <c r="E926" t="s">
        <v>2684</v>
      </c>
      <c r="F926" t="s">
        <v>2685</v>
      </c>
      <c r="G926" t="s">
        <v>23</v>
      </c>
      <c r="H926" t="s">
        <v>24</v>
      </c>
      <c r="I926" t="s">
        <v>320</v>
      </c>
      <c r="J926" t="s">
        <v>50</v>
      </c>
      <c r="K926" t="s">
        <v>51</v>
      </c>
      <c r="L926" t="s">
        <v>990</v>
      </c>
      <c r="M926" t="s">
        <v>29</v>
      </c>
      <c r="N926" t="s">
        <v>30</v>
      </c>
      <c r="O926" t="s">
        <v>991</v>
      </c>
      <c r="P926">
        <v>1279.165</v>
      </c>
      <c r="Q926">
        <v>5</v>
      </c>
      <c r="R926">
        <v>225.73500000000001</v>
      </c>
      <c r="S926" t="s">
        <v>66</v>
      </c>
    </row>
    <row r="927" spans="1:19" x14ac:dyDescent="0.35">
      <c r="A927" t="s">
        <v>2814</v>
      </c>
      <c r="B927" s="1">
        <v>42250</v>
      </c>
      <c r="C927" s="1">
        <v>42255</v>
      </c>
      <c r="D927" t="s">
        <v>37</v>
      </c>
      <c r="E927" t="s">
        <v>2815</v>
      </c>
      <c r="F927" t="s">
        <v>2816</v>
      </c>
      <c r="G927" t="s">
        <v>94</v>
      </c>
      <c r="H927" t="s">
        <v>24</v>
      </c>
      <c r="I927" t="s">
        <v>320</v>
      </c>
      <c r="J927" t="s">
        <v>50</v>
      </c>
      <c r="K927" t="s">
        <v>51</v>
      </c>
      <c r="L927" t="s">
        <v>486</v>
      </c>
      <c r="M927" t="s">
        <v>29</v>
      </c>
      <c r="N927" t="s">
        <v>34</v>
      </c>
      <c r="O927" t="s">
        <v>487</v>
      </c>
      <c r="P927">
        <v>129.56800000000001</v>
      </c>
      <c r="Q927">
        <v>2</v>
      </c>
      <c r="R927">
        <v>-12.956799999999999</v>
      </c>
      <c r="S927" t="s">
        <v>72</v>
      </c>
    </row>
    <row r="928" spans="1:19" x14ac:dyDescent="0.35">
      <c r="A928" t="s">
        <v>2817</v>
      </c>
      <c r="B928" s="1">
        <v>43006</v>
      </c>
      <c r="C928" s="1">
        <v>43009</v>
      </c>
      <c r="D928" t="s">
        <v>81</v>
      </c>
      <c r="E928" t="s">
        <v>756</v>
      </c>
      <c r="F928" t="s">
        <v>757</v>
      </c>
      <c r="G928" t="s">
        <v>94</v>
      </c>
      <c r="H928" t="s">
        <v>24</v>
      </c>
      <c r="I928" t="s">
        <v>171</v>
      </c>
      <c r="J928" t="s">
        <v>172</v>
      </c>
      <c r="K928" t="s">
        <v>51</v>
      </c>
      <c r="L928" t="s">
        <v>631</v>
      </c>
      <c r="M928" t="s">
        <v>29</v>
      </c>
      <c r="N928" t="s">
        <v>53</v>
      </c>
      <c r="O928" t="s">
        <v>632</v>
      </c>
      <c r="P928">
        <v>32.776000000000003</v>
      </c>
      <c r="Q928">
        <v>1</v>
      </c>
      <c r="R928">
        <v>3.2776000000000001</v>
      </c>
      <c r="S928" t="s">
        <v>72</v>
      </c>
    </row>
    <row r="929" spans="1:19" x14ac:dyDescent="0.35">
      <c r="A929" t="s">
        <v>2818</v>
      </c>
      <c r="B929" s="1">
        <v>43063</v>
      </c>
      <c r="C929" s="1">
        <v>43070</v>
      </c>
      <c r="D929" t="s">
        <v>37</v>
      </c>
      <c r="E929" t="s">
        <v>1665</v>
      </c>
      <c r="F929" t="s">
        <v>1666</v>
      </c>
      <c r="G929" t="s">
        <v>23</v>
      </c>
      <c r="H929" t="s">
        <v>24</v>
      </c>
      <c r="I929" t="s">
        <v>165</v>
      </c>
      <c r="J929" t="s">
        <v>114</v>
      </c>
      <c r="K929" t="s">
        <v>63</v>
      </c>
      <c r="L929" t="s">
        <v>1860</v>
      </c>
      <c r="M929" t="s">
        <v>29</v>
      </c>
      <c r="N929" t="s">
        <v>30</v>
      </c>
      <c r="O929" t="s">
        <v>1861</v>
      </c>
      <c r="P929">
        <v>321.56799999999998</v>
      </c>
      <c r="Q929">
        <v>2</v>
      </c>
      <c r="R929">
        <v>-16.078399999999998</v>
      </c>
      <c r="S929" t="s">
        <v>32</v>
      </c>
    </row>
    <row r="930" spans="1:19" x14ac:dyDescent="0.35">
      <c r="A930" t="s">
        <v>2819</v>
      </c>
      <c r="B930" s="1">
        <v>42863</v>
      </c>
      <c r="C930" s="1">
        <v>42867</v>
      </c>
      <c r="D930" t="s">
        <v>37</v>
      </c>
      <c r="E930" t="s">
        <v>389</v>
      </c>
      <c r="F930" t="s">
        <v>390</v>
      </c>
      <c r="G930" t="s">
        <v>84</v>
      </c>
      <c r="H930" t="s">
        <v>24</v>
      </c>
      <c r="I930" t="s">
        <v>61</v>
      </c>
      <c r="J930" t="s">
        <v>62</v>
      </c>
      <c r="K930" t="s">
        <v>63</v>
      </c>
      <c r="L930" t="s">
        <v>2419</v>
      </c>
      <c r="M930" t="s">
        <v>29</v>
      </c>
      <c r="N930" t="s">
        <v>34</v>
      </c>
      <c r="O930" t="s">
        <v>2420</v>
      </c>
      <c r="P930">
        <v>128.05799999999999</v>
      </c>
      <c r="Q930">
        <v>3</v>
      </c>
      <c r="R930">
        <v>-23.7822</v>
      </c>
      <c r="S930" t="s">
        <v>153</v>
      </c>
    </row>
    <row r="931" spans="1:19" x14ac:dyDescent="0.35">
      <c r="A931" t="s">
        <v>2820</v>
      </c>
      <c r="B931" s="1">
        <v>43007</v>
      </c>
      <c r="C931" s="1">
        <v>43007</v>
      </c>
      <c r="D931" t="s">
        <v>417</v>
      </c>
      <c r="E931" t="s">
        <v>220</v>
      </c>
      <c r="F931" t="s">
        <v>221</v>
      </c>
      <c r="G931" t="s">
        <v>94</v>
      </c>
      <c r="H931" t="s">
        <v>24</v>
      </c>
      <c r="I931" t="s">
        <v>2821</v>
      </c>
      <c r="J931" t="s">
        <v>223</v>
      </c>
      <c r="K931" t="s">
        <v>63</v>
      </c>
      <c r="L931" t="s">
        <v>1608</v>
      </c>
      <c r="M931" t="s">
        <v>29</v>
      </c>
      <c r="N931" t="s">
        <v>34</v>
      </c>
      <c r="O931" t="s">
        <v>1609</v>
      </c>
      <c r="P931">
        <v>63.686</v>
      </c>
      <c r="Q931">
        <v>1</v>
      </c>
      <c r="R931">
        <v>-15.4666</v>
      </c>
      <c r="S931" t="s">
        <v>72</v>
      </c>
    </row>
    <row r="932" spans="1:19" x14ac:dyDescent="0.35">
      <c r="A932" t="s">
        <v>2820</v>
      </c>
      <c r="B932" s="1">
        <v>43007</v>
      </c>
      <c r="C932" s="1">
        <v>43007</v>
      </c>
      <c r="D932" t="s">
        <v>417</v>
      </c>
      <c r="E932" t="s">
        <v>220</v>
      </c>
      <c r="F932" t="s">
        <v>221</v>
      </c>
      <c r="G932" t="s">
        <v>94</v>
      </c>
      <c r="H932" t="s">
        <v>24</v>
      </c>
      <c r="I932" t="s">
        <v>2821</v>
      </c>
      <c r="J932" t="s">
        <v>223</v>
      </c>
      <c r="K932" t="s">
        <v>63</v>
      </c>
      <c r="L932" t="s">
        <v>2822</v>
      </c>
      <c r="M932" t="s">
        <v>29</v>
      </c>
      <c r="N932" t="s">
        <v>43</v>
      </c>
      <c r="O932" t="s">
        <v>2823</v>
      </c>
      <c r="P932">
        <v>344.22</v>
      </c>
      <c r="Q932">
        <v>2</v>
      </c>
      <c r="R932">
        <v>-189.321</v>
      </c>
      <c r="S932" t="s">
        <v>72</v>
      </c>
    </row>
    <row r="933" spans="1:19" x14ac:dyDescent="0.35">
      <c r="A933" t="s">
        <v>2820</v>
      </c>
      <c r="B933" s="1">
        <v>43007</v>
      </c>
      <c r="C933" s="1">
        <v>43007</v>
      </c>
      <c r="D933" t="s">
        <v>417</v>
      </c>
      <c r="E933" t="s">
        <v>220</v>
      </c>
      <c r="F933" t="s">
        <v>221</v>
      </c>
      <c r="G933" t="s">
        <v>94</v>
      </c>
      <c r="H933" t="s">
        <v>24</v>
      </c>
      <c r="I933" t="s">
        <v>2821</v>
      </c>
      <c r="J933" t="s">
        <v>223</v>
      </c>
      <c r="K933" t="s">
        <v>63</v>
      </c>
      <c r="L933" t="s">
        <v>2317</v>
      </c>
      <c r="M933" t="s">
        <v>29</v>
      </c>
      <c r="N933" t="s">
        <v>53</v>
      </c>
      <c r="O933" t="s">
        <v>2318</v>
      </c>
      <c r="P933">
        <v>21.248000000000001</v>
      </c>
      <c r="Q933">
        <v>4</v>
      </c>
      <c r="R933">
        <v>7.4367999999999999</v>
      </c>
      <c r="S933" t="s">
        <v>72</v>
      </c>
    </row>
    <row r="934" spans="1:19" x14ac:dyDescent="0.35">
      <c r="A934" t="s">
        <v>2824</v>
      </c>
      <c r="B934" s="1">
        <v>43030</v>
      </c>
      <c r="C934" s="1">
        <v>43030</v>
      </c>
      <c r="D934" t="s">
        <v>417</v>
      </c>
      <c r="E934" t="s">
        <v>1014</v>
      </c>
      <c r="F934" t="s">
        <v>1015</v>
      </c>
      <c r="G934" t="s">
        <v>23</v>
      </c>
      <c r="H934" t="s">
        <v>24</v>
      </c>
      <c r="I934" t="s">
        <v>2825</v>
      </c>
      <c r="J934" t="s">
        <v>1513</v>
      </c>
      <c r="K934" t="s">
        <v>87</v>
      </c>
      <c r="L934" t="s">
        <v>282</v>
      </c>
      <c r="M934" t="s">
        <v>29</v>
      </c>
      <c r="N934" t="s">
        <v>43</v>
      </c>
      <c r="O934" t="s">
        <v>283</v>
      </c>
      <c r="P934">
        <v>248.98</v>
      </c>
      <c r="Q934">
        <v>2</v>
      </c>
      <c r="R934">
        <v>54.775599999999997</v>
      </c>
      <c r="S934" t="s">
        <v>45</v>
      </c>
    </row>
    <row r="935" spans="1:19" x14ac:dyDescent="0.35">
      <c r="A935" t="s">
        <v>2826</v>
      </c>
      <c r="B935" s="1">
        <v>42961</v>
      </c>
      <c r="C935" s="1">
        <v>42968</v>
      </c>
      <c r="D935" t="s">
        <v>37</v>
      </c>
      <c r="E935" t="s">
        <v>2645</v>
      </c>
      <c r="F935" t="s">
        <v>2646</v>
      </c>
      <c r="G935" t="s">
        <v>23</v>
      </c>
      <c r="H935" t="s">
        <v>24</v>
      </c>
      <c r="I935" t="s">
        <v>49</v>
      </c>
      <c r="J935" t="s">
        <v>50</v>
      </c>
      <c r="K935" t="s">
        <v>51</v>
      </c>
      <c r="L935" t="s">
        <v>775</v>
      </c>
      <c r="M935" t="s">
        <v>29</v>
      </c>
      <c r="N935" t="s">
        <v>43</v>
      </c>
      <c r="O935" t="s">
        <v>776</v>
      </c>
      <c r="P935">
        <v>418.29599999999999</v>
      </c>
      <c r="Q935">
        <v>3</v>
      </c>
      <c r="R935">
        <v>5.2286999999999999</v>
      </c>
      <c r="S935" t="s">
        <v>245</v>
      </c>
    </row>
    <row r="936" spans="1:19" x14ac:dyDescent="0.35">
      <c r="A936" t="s">
        <v>2827</v>
      </c>
      <c r="B936" s="1">
        <v>41974</v>
      </c>
      <c r="C936" s="1">
        <v>41976</v>
      </c>
      <c r="D936" t="s">
        <v>20</v>
      </c>
      <c r="E936" t="s">
        <v>2828</v>
      </c>
      <c r="F936" t="s">
        <v>2829</v>
      </c>
      <c r="G936" t="s">
        <v>23</v>
      </c>
      <c r="H936" t="s">
        <v>24</v>
      </c>
      <c r="I936" t="s">
        <v>339</v>
      </c>
      <c r="J936" t="s">
        <v>223</v>
      </c>
      <c r="K936" t="s">
        <v>63</v>
      </c>
      <c r="L936" t="s">
        <v>652</v>
      </c>
      <c r="M936" t="s">
        <v>29</v>
      </c>
      <c r="N936" t="s">
        <v>53</v>
      </c>
      <c r="O936" t="s">
        <v>653</v>
      </c>
      <c r="P936">
        <v>8.1280000000000001</v>
      </c>
      <c r="Q936">
        <v>2</v>
      </c>
      <c r="R936">
        <v>1.4224000000000001</v>
      </c>
      <c r="S936" t="s">
        <v>90</v>
      </c>
    </row>
    <row r="937" spans="1:19" x14ac:dyDescent="0.35">
      <c r="A937" t="s">
        <v>2827</v>
      </c>
      <c r="B937" s="1">
        <v>41974</v>
      </c>
      <c r="C937" s="1">
        <v>41976</v>
      </c>
      <c r="D937" t="s">
        <v>20</v>
      </c>
      <c r="E937" t="s">
        <v>2828</v>
      </c>
      <c r="F937" t="s">
        <v>2829</v>
      </c>
      <c r="G937" t="s">
        <v>23</v>
      </c>
      <c r="H937" t="s">
        <v>24</v>
      </c>
      <c r="I937" t="s">
        <v>339</v>
      </c>
      <c r="J937" t="s">
        <v>223</v>
      </c>
      <c r="K937" t="s">
        <v>63</v>
      </c>
      <c r="L937" t="s">
        <v>470</v>
      </c>
      <c r="M937" t="s">
        <v>29</v>
      </c>
      <c r="N937" t="s">
        <v>34</v>
      </c>
      <c r="O937" t="s">
        <v>471</v>
      </c>
      <c r="P937">
        <v>909.72</v>
      </c>
      <c r="Q937">
        <v>6</v>
      </c>
      <c r="R937">
        <v>-51.984000000000002</v>
      </c>
      <c r="S937" t="s">
        <v>90</v>
      </c>
    </row>
    <row r="938" spans="1:19" x14ac:dyDescent="0.35">
      <c r="A938" t="s">
        <v>2830</v>
      </c>
      <c r="B938" s="1">
        <v>42904</v>
      </c>
      <c r="C938" s="1">
        <v>42909</v>
      </c>
      <c r="D938" t="s">
        <v>37</v>
      </c>
      <c r="E938" t="s">
        <v>2831</v>
      </c>
      <c r="F938" t="s">
        <v>2832</v>
      </c>
      <c r="G938" t="s">
        <v>23</v>
      </c>
      <c r="H938" t="s">
        <v>24</v>
      </c>
      <c r="I938" t="s">
        <v>49</v>
      </c>
      <c r="J938" t="s">
        <v>50</v>
      </c>
      <c r="K938" t="s">
        <v>51</v>
      </c>
      <c r="L938" t="s">
        <v>701</v>
      </c>
      <c r="M938" t="s">
        <v>29</v>
      </c>
      <c r="N938" t="s">
        <v>30</v>
      </c>
      <c r="O938" t="s">
        <v>702</v>
      </c>
      <c r="P938">
        <v>917.92349999999999</v>
      </c>
      <c r="Q938">
        <v>9</v>
      </c>
      <c r="R938">
        <v>75.593699999999998</v>
      </c>
      <c r="S938" t="s">
        <v>55</v>
      </c>
    </row>
    <row r="939" spans="1:19" x14ac:dyDescent="0.35">
      <c r="A939" t="s">
        <v>2833</v>
      </c>
      <c r="B939" s="1">
        <v>41997</v>
      </c>
      <c r="C939" s="1">
        <v>42002</v>
      </c>
      <c r="D939" t="s">
        <v>37</v>
      </c>
      <c r="E939" t="s">
        <v>1728</v>
      </c>
      <c r="F939" t="s">
        <v>1729</v>
      </c>
      <c r="G939" t="s">
        <v>94</v>
      </c>
      <c r="H939" t="s">
        <v>24</v>
      </c>
      <c r="I939" t="s">
        <v>49</v>
      </c>
      <c r="J939" t="s">
        <v>50</v>
      </c>
      <c r="K939" t="s">
        <v>51</v>
      </c>
      <c r="L939" t="s">
        <v>1171</v>
      </c>
      <c r="M939" t="s">
        <v>29</v>
      </c>
      <c r="N939" t="s">
        <v>53</v>
      </c>
      <c r="O939" t="s">
        <v>1172</v>
      </c>
      <c r="P939">
        <v>23.99</v>
      </c>
      <c r="Q939">
        <v>1</v>
      </c>
      <c r="R939">
        <v>5.5176999999999996</v>
      </c>
      <c r="S939" t="s">
        <v>90</v>
      </c>
    </row>
    <row r="940" spans="1:19" x14ac:dyDescent="0.35">
      <c r="A940" t="s">
        <v>2834</v>
      </c>
      <c r="B940" s="1">
        <v>42878</v>
      </c>
      <c r="C940" s="1">
        <v>42884</v>
      </c>
      <c r="D940" t="s">
        <v>37</v>
      </c>
      <c r="E940" t="s">
        <v>2835</v>
      </c>
      <c r="F940" t="s">
        <v>2836</v>
      </c>
      <c r="G940" t="s">
        <v>23</v>
      </c>
      <c r="H940" t="s">
        <v>24</v>
      </c>
      <c r="I940" t="s">
        <v>49</v>
      </c>
      <c r="J940" t="s">
        <v>50</v>
      </c>
      <c r="K940" t="s">
        <v>51</v>
      </c>
      <c r="L940" t="s">
        <v>898</v>
      </c>
      <c r="M940" t="s">
        <v>29</v>
      </c>
      <c r="N940" t="s">
        <v>43</v>
      </c>
      <c r="O940" t="s">
        <v>899</v>
      </c>
      <c r="P940">
        <v>171.28800000000001</v>
      </c>
      <c r="Q940">
        <v>3</v>
      </c>
      <c r="R940">
        <v>-6.4233000000000002</v>
      </c>
      <c r="S940" t="s">
        <v>153</v>
      </c>
    </row>
    <row r="941" spans="1:19" x14ac:dyDescent="0.35">
      <c r="A941" t="s">
        <v>2837</v>
      </c>
      <c r="B941" s="1">
        <v>42684</v>
      </c>
      <c r="C941" s="1">
        <v>42688</v>
      </c>
      <c r="D941" t="s">
        <v>37</v>
      </c>
      <c r="E941" t="s">
        <v>966</v>
      </c>
      <c r="F941" t="s">
        <v>967</v>
      </c>
      <c r="G941" t="s">
        <v>84</v>
      </c>
      <c r="H941" t="s">
        <v>24</v>
      </c>
      <c r="I941" t="s">
        <v>869</v>
      </c>
      <c r="J941" t="s">
        <v>556</v>
      </c>
      <c r="K941" t="s">
        <v>87</v>
      </c>
      <c r="L941" t="s">
        <v>2639</v>
      </c>
      <c r="M941" t="s">
        <v>29</v>
      </c>
      <c r="N941" t="s">
        <v>53</v>
      </c>
      <c r="O941" t="s">
        <v>2640</v>
      </c>
      <c r="P941">
        <v>37.299999999999997</v>
      </c>
      <c r="Q941">
        <v>2</v>
      </c>
      <c r="R941">
        <v>17.158000000000001</v>
      </c>
      <c r="S941" t="s">
        <v>32</v>
      </c>
    </row>
    <row r="942" spans="1:19" x14ac:dyDescent="0.35">
      <c r="A942" t="s">
        <v>2838</v>
      </c>
      <c r="B942" s="1">
        <v>42670</v>
      </c>
      <c r="C942" s="1">
        <v>42675</v>
      </c>
      <c r="D942" t="s">
        <v>20</v>
      </c>
      <c r="E942" t="s">
        <v>2839</v>
      </c>
      <c r="F942" t="s">
        <v>2840</v>
      </c>
      <c r="G942" t="s">
        <v>23</v>
      </c>
      <c r="H942" t="s">
        <v>24</v>
      </c>
      <c r="I942" t="s">
        <v>2841</v>
      </c>
      <c r="J942" t="s">
        <v>707</v>
      </c>
      <c r="K942" t="s">
        <v>27</v>
      </c>
      <c r="L942" t="s">
        <v>1297</v>
      </c>
      <c r="M942" t="s">
        <v>29</v>
      </c>
      <c r="N942" t="s">
        <v>34</v>
      </c>
      <c r="O942" t="s">
        <v>1298</v>
      </c>
      <c r="P942">
        <v>290.98</v>
      </c>
      <c r="Q942">
        <v>1</v>
      </c>
      <c r="R942">
        <v>75.654799999999994</v>
      </c>
      <c r="S942" t="s">
        <v>45</v>
      </c>
    </row>
    <row r="943" spans="1:19" x14ac:dyDescent="0.35">
      <c r="A943" t="s">
        <v>2842</v>
      </c>
      <c r="B943" s="1">
        <v>41690</v>
      </c>
      <c r="C943" s="1">
        <v>41696</v>
      </c>
      <c r="D943" t="s">
        <v>37</v>
      </c>
      <c r="E943" t="s">
        <v>1288</v>
      </c>
      <c r="F943" t="s">
        <v>1289</v>
      </c>
      <c r="G943" t="s">
        <v>84</v>
      </c>
      <c r="H943" t="s">
        <v>24</v>
      </c>
      <c r="I943" t="s">
        <v>626</v>
      </c>
      <c r="J943" t="s">
        <v>104</v>
      </c>
      <c r="K943" t="s">
        <v>87</v>
      </c>
      <c r="L943" t="s">
        <v>652</v>
      </c>
      <c r="M943" t="s">
        <v>29</v>
      </c>
      <c r="N943" t="s">
        <v>53</v>
      </c>
      <c r="O943" t="s">
        <v>653</v>
      </c>
      <c r="P943">
        <v>20.32</v>
      </c>
      <c r="Q943">
        <v>4</v>
      </c>
      <c r="R943">
        <v>6.9088000000000003</v>
      </c>
      <c r="S943" t="s">
        <v>289</v>
      </c>
    </row>
    <row r="944" spans="1:19" x14ac:dyDescent="0.35">
      <c r="A944" t="s">
        <v>2843</v>
      </c>
      <c r="B944" s="1">
        <v>41945</v>
      </c>
      <c r="C944" s="1">
        <v>41949</v>
      </c>
      <c r="D944" t="s">
        <v>37</v>
      </c>
      <c r="E944" t="s">
        <v>2844</v>
      </c>
      <c r="F944" t="s">
        <v>2845</v>
      </c>
      <c r="G944" t="s">
        <v>23</v>
      </c>
      <c r="H944" t="s">
        <v>24</v>
      </c>
      <c r="I944" t="s">
        <v>165</v>
      </c>
      <c r="J944" t="s">
        <v>114</v>
      </c>
      <c r="K944" t="s">
        <v>63</v>
      </c>
      <c r="L944" t="s">
        <v>1195</v>
      </c>
      <c r="M944" t="s">
        <v>29</v>
      </c>
      <c r="N944" t="s">
        <v>53</v>
      </c>
      <c r="O944" t="s">
        <v>1196</v>
      </c>
      <c r="P944">
        <v>89.34</v>
      </c>
      <c r="Q944">
        <v>6</v>
      </c>
      <c r="R944">
        <v>24.1218</v>
      </c>
      <c r="S944" t="s">
        <v>32</v>
      </c>
    </row>
    <row r="945" spans="1:19" x14ac:dyDescent="0.35">
      <c r="A945" t="s">
        <v>2846</v>
      </c>
      <c r="B945" s="1">
        <v>42933</v>
      </c>
      <c r="C945" s="1">
        <v>42939</v>
      </c>
      <c r="D945" t="s">
        <v>37</v>
      </c>
      <c r="E945" t="s">
        <v>1863</v>
      </c>
      <c r="F945" t="s">
        <v>1864</v>
      </c>
      <c r="G945" t="s">
        <v>94</v>
      </c>
      <c r="H945" t="s">
        <v>24</v>
      </c>
      <c r="I945" t="s">
        <v>2847</v>
      </c>
      <c r="J945" t="s">
        <v>114</v>
      </c>
      <c r="K945" t="s">
        <v>63</v>
      </c>
      <c r="L945" t="s">
        <v>78</v>
      </c>
      <c r="M945" t="s">
        <v>29</v>
      </c>
      <c r="N945" t="s">
        <v>53</v>
      </c>
      <c r="O945" t="s">
        <v>1852</v>
      </c>
      <c r="P945">
        <v>39.08</v>
      </c>
      <c r="Q945">
        <v>4</v>
      </c>
      <c r="R945">
        <v>14.4596</v>
      </c>
      <c r="S945" t="s">
        <v>66</v>
      </c>
    </row>
    <row r="946" spans="1:19" x14ac:dyDescent="0.35">
      <c r="A946" t="s">
        <v>2848</v>
      </c>
      <c r="B946" s="1">
        <v>42688</v>
      </c>
      <c r="C946" s="1">
        <v>42691</v>
      </c>
      <c r="D946" t="s">
        <v>81</v>
      </c>
      <c r="E946" t="s">
        <v>1291</v>
      </c>
      <c r="F946" t="s">
        <v>1292</v>
      </c>
      <c r="G946" t="s">
        <v>23</v>
      </c>
      <c r="H946" t="s">
        <v>24</v>
      </c>
      <c r="I946" t="s">
        <v>165</v>
      </c>
      <c r="J946" t="s">
        <v>114</v>
      </c>
      <c r="K946" t="s">
        <v>63</v>
      </c>
      <c r="L946" t="s">
        <v>796</v>
      </c>
      <c r="M946" t="s">
        <v>29</v>
      </c>
      <c r="N946" t="s">
        <v>34</v>
      </c>
      <c r="O946" t="s">
        <v>797</v>
      </c>
      <c r="P946">
        <v>408.00599999999997</v>
      </c>
      <c r="Q946">
        <v>2</v>
      </c>
      <c r="R946">
        <v>72.534400000000005</v>
      </c>
      <c r="S946" t="s">
        <v>32</v>
      </c>
    </row>
    <row r="947" spans="1:19" x14ac:dyDescent="0.35">
      <c r="A947" t="s">
        <v>2849</v>
      </c>
      <c r="B947" s="1">
        <v>41922</v>
      </c>
      <c r="C947" s="1">
        <v>41922</v>
      </c>
      <c r="D947" t="s">
        <v>417</v>
      </c>
      <c r="E947" t="s">
        <v>508</v>
      </c>
      <c r="F947" t="s">
        <v>509</v>
      </c>
      <c r="G947" t="s">
        <v>94</v>
      </c>
      <c r="H947" t="s">
        <v>24</v>
      </c>
      <c r="I947" t="s">
        <v>2850</v>
      </c>
      <c r="J947" t="s">
        <v>50</v>
      </c>
      <c r="K947" t="s">
        <v>51</v>
      </c>
      <c r="L947" t="s">
        <v>64</v>
      </c>
      <c r="M947" t="s">
        <v>29</v>
      </c>
      <c r="N947" t="s">
        <v>34</v>
      </c>
      <c r="O947" t="s">
        <v>65</v>
      </c>
      <c r="P947">
        <v>122.352</v>
      </c>
      <c r="Q947">
        <v>3</v>
      </c>
      <c r="R947">
        <v>13.7646</v>
      </c>
      <c r="S947" t="s">
        <v>45</v>
      </c>
    </row>
    <row r="948" spans="1:19" x14ac:dyDescent="0.35">
      <c r="A948" t="s">
        <v>2851</v>
      </c>
      <c r="B948" s="1">
        <v>42924</v>
      </c>
      <c r="C948" s="1">
        <v>42928</v>
      </c>
      <c r="D948" t="s">
        <v>37</v>
      </c>
      <c r="E948" t="s">
        <v>2852</v>
      </c>
      <c r="F948" t="s">
        <v>2853</v>
      </c>
      <c r="G948" t="s">
        <v>94</v>
      </c>
      <c r="H948" t="s">
        <v>24</v>
      </c>
      <c r="I948" t="s">
        <v>183</v>
      </c>
      <c r="J948" t="s">
        <v>184</v>
      </c>
      <c r="K948" t="s">
        <v>51</v>
      </c>
      <c r="L948" t="s">
        <v>1649</v>
      </c>
      <c r="M948" t="s">
        <v>29</v>
      </c>
      <c r="N948" t="s">
        <v>53</v>
      </c>
      <c r="O948" t="s">
        <v>1650</v>
      </c>
      <c r="P948">
        <v>15.84</v>
      </c>
      <c r="Q948">
        <v>3</v>
      </c>
      <c r="R948">
        <v>4.9104000000000001</v>
      </c>
      <c r="S948" t="s">
        <v>66</v>
      </c>
    </row>
    <row r="949" spans="1:19" x14ac:dyDescent="0.35">
      <c r="A949" t="s">
        <v>2854</v>
      </c>
      <c r="B949" s="1">
        <v>42062</v>
      </c>
      <c r="C949" s="1">
        <v>42065</v>
      </c>
      <c r="D949" t="s">
        <v>37</v>
      </c>
      <c r="E949" t="s">
        <v>2855</v>
      </c>
      <c r="F949" t="s">
        <v>2856</v>
      </c>
      <c r="G949" t="s">
        <v>84</v>
      </c>
      <c r="H949" t="s">
        <v>24</v>
      </c>
      <c r="I949" t="s">
        <v>1635</v>
      </c>
      <c r="J949" t="s">
        <v>1636</v>
      </c>
      <c r="K949" t="s">
        <v>63</v>
      </c>
      <c r="L949" t="s">
        <v>2397</v>
      </c>
      <c r="M949" t="s">
        <v>29</v>
      </c>
      <c r="N949" t="s">
        <v>43</v>
      </c>
      <c r="O949" t="s">
        <v>2398</v>
      </c>
      <c r="P949">
        <v>493.92</v>
      </c>
      <c r="Q949">
        <v>7</v>
      </c>
      <c r="R949">
        <v>-28.224</v>
      </c>
      <c r="S949" t="s">
        <v>289</v>
      </c>
    </row>
    <row r="950" spans="1:19" x14ac:dyDescent="0.35">
      <c r="A950" t="s">
        <v>2857</v>
      </c>
      <c r="B950" s="1">
        <v>42197</v>
      </c>
      <c r="C950" s="1">
        <v>42202</v>
      </c>
      <c r="D950" t="s">
        <v>20</v>
      </c>
      <c r="E950" t="s">
        <v>2858</v>
      </c>
      <c r="F950" t="s">
        <v>2859</v>
      </c>
      <c r="G950" t="s">
        <v>23</v>
      </c>
      <c r="H950" t="s">
        <v>24</v>
      </c>
      <c r="I950" t="s">
        <v>125</v>
      </c>
      <c r="J950" t="s">
        <v>126</v>
      </c>
      <c r="K950" t="s">
        <v>87</v>
      </c>
      <c r="L950" t="s">
        <v>290</v>
      </c>
      <c r="M950" t="s">
        <v>29</v>
      </c>
      <c r="N950" t="s">
        <v>34</v>
      </c>
      <c r="O950" t="s">
        <v>291</v>
      </c>
      <c r="P950">
        <v>383.60700000000003</v>
      </c>
      <c r="Q950">
        <v>9</v>
      </c>
      <c r="R950">
        <v>-5.4801000000000002</v>
      </c>
      <c r="S950" t="s">
        <v>66</v>
      </c>
    </row>
    <row r="951" spans="1:19" x14ac:dyDescent="0.35">
      <c r="A951" t="s">
        <v>2857</v>
      </c>
      <c r="B951" s="1">
        <v>42197</v>
      </c>
      <c r="C951" s="1">
        <v>42202</v>
      </c>
      <c r="D951" t="s">
        <v>20</v>
      </c>
      <c r="E951" t="s">
        <v>2858</v>
      </c>
      <c r="F951" t="s">
        <v>2859</v>
      </c>
      <c r="G951" t="s">
        <v>23</v>
      </c>
      <c r="H951" t="s">
        <v>24</v>
      </c>
      <c r="I951" t="s">
        <v>125</v>
      </c>
      <c r="J951" t="s">
        <v>126</v>
      </c>
      <c r="K951" t="s">
        <v>87</v>
      </c>
      <c r="L951" t="s">
        <v>355</v>
      </c>
      <c r="M951" t="s">
        <v>29</v>
      </c>
      <c r="N951" t="s">
        <v>53</v>
      </c>
      <c r="O951" t="s">
        <v>356</v>
      </c>
      <c r="P951">
        <v>7.76</v>
      </c>
      <c r="Q951">
        <v>1</v>
      </c>
      <c r="R951">
        <v>-2.1339999999999999</v>
      </c>
      <c r="S951" t="s">
        <v>66</v>
      </c>
    </row>
    <row r="952" spans="1:19" x14ac:dyDescent="0.35">
      <c r="A952" t="s">
        <v>2860</v>
      </c>
      <c r="B952" s="1">
        <v>41833</v>
      </c>
      <c r="C952" s="1">
        <v>41837</v>
      </c>
      <c r="D952" t="s">
        <v>37</v>
      </c>
      <c r="E952" t="s">
        <v>2861</v>
      </c>
      <c r="F952" t="s">
        <v>2862</v>
      </c>
      <c r="G952" t="s">
        <v>84</v>
      </c>
      <c r="H952" t="s">
        <v>24</v>
      </c>
      <c r="I952" t="s">
        <v>49</v>
      </c>
      <c r="J952" t="s">
        <v>50</v>
      </c>
      <c r="K952" t="s">
        <v>51</v>
      </c>
      <c r="L952" t="s">
        <v>1618</v>
      </c>
      <c r="M952" t="s">
        <v>29</v>
      </c>
      <c r="N952" t="s">
        <v>43</v>
      </c>
      <c r="O952" t="s">
        <v>1619</v>
      </c>
      <c r="P952">
        <v>351.21600000000001</v>
      </c>
      <c r="Q952">
        <v>3</v>
      </c>
      <c r="R952">
        <v>4.3902000000000001</v>
      </c>
      <c r="S952" t="s">
        <v>66</v>
      </c>
    </row>
    <row r="953" spans="1:19" x14ac:dyDescent="0.35">
      <c r="A953" t="s">
        <v>2863</v>
      </c>
      <c r="B953" s="1">
        <v>42000</v>
      </c>
      <c r="C953" s="1">
        <v>42006</v>
      </c>
      <c r="D953" t="s">
        <v>37</v>
      </c>
      <c r="E953" t="s">
        <v>2864</v>
      </c>
      <c r="F953" t="s">
        <v>2865</v>
      </c>
      <c r="G953" t="s">
        <v>23</v>
      </c>
      <c r="H953" t="s">
        <v>24</v>
      </c>
      <c r="I953" t="s">
        <v>320</v>
      </c>
      <c r="J953" t="s">
        <v>50</v>
      </c>
      <c r="K953" t="s">
        <v>51</v>
      </c>
      <c r="L953" t="s">
        <v>457</v>
      </c>
      <c r="M953" t="s">
        <v>29</v>
      </c>
      <c r="N953" t="s">
        <v>34</v>
      </c>
      <c r="O953" t="s">
        <v>458</v>
      </c>
      <c r="P953">
        <v>230.28</v>
      </c>
      <c r="Q953">
        <v>3</v>
      </c>
      <c r="R953">
        <v>23.027999999999999</v>
      </c>
      <c r="S953" t="s">
        <v>90</v>
      </c>
    </row>
    <row r="954" spans="1:19" x14ac:dyDescent="0.35">
      <c r="A954" t="s">
        <v>2866</v>
      </c>
      <c r="B954" s="1">
        <v>41764</v>
      </c>
      <c r="C954" s="1">
        <v>41767</v>
      </c>
      <c r="D954" t="s">
        <v>81</v>
      </c>
      <c r="E954" t="s">
        <v>68</v>
      </c>
      <c r="F954" t="s">
        <v>69</v>
      </c>
      <c r="G954" t="s">
        <v>23</v>
      </c>
      <c r="H954" t="s">
        <v>24</v>
      </c>
      <c r="I954" t="s">
        <v>237</v>
      </c>
      <c r="J954" t="s">
        <v>86</v>
      </c>
      <c r="K954" t="s">
        <v>87</v>
      </c>
      <c r="L954" t="s">
        <v>127</v>
      </c>
      <c r="M954" t="s">
        <v>29</v>
      </c>
      <c r="N954" t="s">
        <v>34</v>
      </c>
      <c r="O954" t="s">
        <v>128</v>
      </c>
      <c r="P954">
        <v>127.869</v>
      </c>
      <c r="Q954">
        <v>3</v>
      </c>
      <c r="R954">
        <v>-9.1334999999999997</v>
      </c>
      <c r="S954" t="s">
        <v>153</v>
      </c>
    </row>
    <row r="955" spans="1:19" x14ac:dyDescent="0.35">
      <c r="A955" t="s">
        <v>2867</v>
      </c>
      <c r="B955" s="1">
        <v>42342</v>
      </c>
      <c r="C955" s="1">
        <v>42347</v>
      </c>
      <c r="D955" t="s">
        <v>20</v>
      </c>
      <c r="E955" t="s">
        <v>1857</v>
      </c>
      <c r="F955" t="s">
        <v>1858</v>
      </c>
      <c r="G955" t="s">
        <v>84</v>
      </c>
      <c r="H955" t="s">
        <v>24</v>
      </c>
      <c r="I955" t="s">
        <v>49</v>
      </c>
      <c r="J955" t="s">
        <v>50</v>
      </c>
      <c r="K955" t="s">
        <v>51</v>
      </c>
      <c r="L955" t="s">
        <v>2868</v>
      </c>
      <c r="M955" t="s">
        <v>29</v>
      </c>
      <c r="N955" t="s">
        <v>53</v>
      </c>
      <c r="O955" t="s">
        <v>2869</v>
      </c>
      <c r="P955">
        <v>36.4</v>
      </c>
      <c r="Q955">
        <v>5</v>
      </c>
      <c r="R955">
        <v>13.832000000000001</v>
      </c>
      <c r="S955" t="s">
        <v>90</v>
      </c>
    </row>
    <row r="956" spans="1:19" x14ac:dyDescent="0.35">
      <c r="A956" t="s">
        <v>2870</v>
      </c>
      <c r="B956" s="1">
        <v>43004</v>
      </c>
      <c r="C956" s="1">
        <v>43008</v>
      </c>
      <c r="D956" t="s">
        <v>37</v>
      </c>
      <c r="E956" t="s">
        <v>1773</v>
      </c>
      <c r="F956" t="s">
        <v>1774</v>
      </c>
      <c r="G956" t="s">
        <v>94</v>
      </c>
      <c r="H956" t="s">
        <v>24</v>
      </c>
      <c r="I956" t="s">
        <v>2699</v>
      </c>
      <c r="J956" t="s">
        <v>41</v>
      </c>
      <c r="K956" t="s">
        <v>27</v>
      </c>
      <c r="L956" t="s">
        <v>2569</v>
      </c>
      <c r="M956" t="s">
        <v>29</v>
      </c>
      <c r="N956" t="s">
        <v>34</v>
      </c>
      <c r="O956" t="s">
        <v>2570</v>
      </c>
      <c r="P956">
        <v>419.13600000000002</v>
      </c>
      <c r="Q956">
        <v>4</v>
      </c>
      <c r="R956">
        <v>-57.6312</v>
      </c>
      <c r="S956" t="s">
        <v>72</v>
      </c>
    </row>
    <row r="957" spans="1:19" x14ac:dyDescent="0.35">
      <c r="A957" t="s">
        <v>2871</v>
      </c>
      <c r="B957" s="1">
        <v>41748</v>
      </c>
      <c r="C957" s="1">
        <v>41750</v>
      </c>
      <c r="D957" t="s">
        <v>20</v>
      </c>
      <c r="E957" t="s">
        <v>1006</v>
      </c>
      <c r="F957" t="s">
        <v>1007</v>
      </c>
      <c r="G957" t="s">
        <v>94</v>
      </c>
      <c r="H957" t="s">
        <v>24</v>
      </c>
      <c r="I957" t="s">
        <v>1482</v>
      </c>
      <c r="J957" t="s">
        <v>50</v>
      </c>
      <c r="K957" t="s">
        <v>51</v>
      </c>
      <c r="L957" t="s">
        <v>300</v>
      </c>
      <c r="M957" t="s">
        <v>29</v>
      </c>
      <c r="N957" t="s">
        <v>53</v>
      </c>
      <c r="O957" t="s">
        <v>2577</v>
      </c>
      <c r="P957">
        <v>76.14</v>
      </c>
      <c r="Q957">
        <v>3</v>
      </c>
      <c r="R957">
        <v>26.649000000000001</v>
      </c>
      <c r="S957" t="s">
        <v>107</v>
      </c>
    </row>
    <row r="958" spans="1:19" x14ac:dyDescent="0.35">
      <c r="A958" t="s">
        <v>2872</v>
      </c>
      <c r="B958" s="1">
        <v>42716</v>
      </c>
      <c r="C958" s="1">
        <v>42722</v>
      </c>
      <c r="D958" t="s">
        <v>37</v>
      </c>
      <c r="E958" t="s">
        <v>2873</v>
      </c>
      <c r="F958" t="s">
        <v>2874</v>
      </c>
      <c r="G958" t="s">
        <v>94</v>
      </c>
      <c r="H958" t="s">
        <v>24</v>
      </c>
      <c r="I958" t="s">
        <v>468</v>
      </c>
      <c r="J958" t="s">
        <v>281</v>
      </c>
      <c r="K958" t="s">
        <v>87</v>
      </c>
      <c r="L958" t="s">
        <v>1138</v>
      </c>
      <c r="M958" t="s">
        <v>29</v>
      </c>
      <c r="N958" t="s">
        <v>53</v>
      </c>
      <c r="O958" t="s">
        <v>1139</v>
      </c>
      <c r="P958">
        <v>33.479999999999997</v>
      </c>
      <c r="Q958">
        <v>4</v>
      </c>
      <c r="R958">
        <v>8.7048000000000005</v>
      </c>
      <c r="S958" t="s">
        <v>90</v>
      </c>
    </row>
    <row r="959" spans="1:19" x14ac:dyDescent="0.35">
      <c r="A959" t="s">
        <v>2875</v>
      </c>
      <c r="B959" s="1">
        <v>42632</v>
      </c>
      <c r="C959" s="1">
        <v>42635</v>
      </c>
      <c r="D959" t="s">
        <v>81</v>
      </c>
      <c r="E959" t="s">
        <v>1941</v>
      </c>
      <c r="F959" t="s">
        <v>1942</v>
      </c>
      <c r="G959" t="s">
        <v>94</v>
      </c>
      <c r="H959" t="s">
        <v>24</v>
      </c>
      <c r="I959" t="s">
        <v>61</v>
      </c>
      <c r="J959" t="s">
        <v>62</v>
      </c>
      <c r="K959" t="s">
        <v>63</v>
      </c>
      <c r="L959" t="s">
        <v>2876</v>
      </c>
      <c r="M959" t="s">
        <v>29</v>
      </c>
      <c r="N959" t="s">
        <v>53</v>
      </c>
      <c r="O959" t="s">
        <v>2877</v>
      </c>
      <c r="P959">
        <v>25.632000000000001</v>
      </c>
      <c r="Q959">
        <v>3</v>
      </c>
      <c r="R959">
        <v>3.8448000000000002</v>
      </c>
      <c r="S959" t="s">
        <v>72</v>
      </c>
    </row>
    <row r="960" spans="1:19" x14ac:dyDescent="0.35">
      <c r="A960" t="s">
        <v>2878</v>
      </c>
      <c r="B960" s="1">
        <v>43041</v>
      </c>
      <c r="C960" s="1">
        <v>43043</v>
      </c>
      <c r="D960" t="s">
        <v>20</v>
      </c>
      <c r="E960" t="s">
        <v>2029</v>
      </c>
      <c r="F960" t="s">
        <v>2030</v>
      </c>
      <c r="G960" t="s">
        <v>94</v>
      </c>
      <c r="H960" t="s">
        <v>24</v>
      </c>
      <c r="I960" t="s">
        <v>2879</v>
      </c>
      <c r="J960" t="s">
        <v>50</v>
      </c>
      <c r="K960" t="s">
        <v>51</v>
      </c>
      <c r="L960" t="s">
        <v>2880</v>
      </c>
      <c r="M960" t="s">
        <v>29</v>
      </c>
      <c r="N960" t="s">
        <v>53</v>
      </c>
      <c r="O960" t="s">
        <v>2881</v>
      </c>
      <c r="P960">
        <v>25.02</v>
      </c>
      <c r="Q960">
        <v>3</v>
      </c>
      <c r="R960">
        <v>10.5084</v>
      </c>
      <c r="S960" t="s">
        <v>32</v>
      </c>
    </row>
    <row r="961" spans="1:19" x14ac:dyDescent="0.35">
      <c r="A961" t="s">
        <v>2882</v>
      </c>
      <c r="B961" s="1">
        <v>42730</v>
      </c>
      <c r="C961" s="1">
        <v>42735</v>
      </c>
      <c r="D961" t="s">
        <v>37</v>
      </c>
      <c r="E961" t="s">
        <v>2883</v>
      </c>
      <c r="F961" t="s">
        <v>2884</v>
      </c>
      <c r="G961" t="s">
        <v>84</v>
      </c>
      <c r="H961" t="s">
        <v>24</v>
      </c>
      <c r="I961" t="s">
        <v>49</v>
      </c>
      <c r="J961" t="s">
        <v>50</v>
      </c>
      <c r="K961" t="s">
        <v>51</v>
      </c>
      <c r="L961" t="s">
        <v>2419</v>
      </c>
      <c r="M961" t="s">
        <v>29</v>
      </c>
      <c r="N961" t="s">
        <v>34</v>
      </c>
      <c r="O961" t="s">
        <v>2420</v>
      </c>
      <c r="P961">
        <v>146.352</v>
      </c>
      <c r="Q961">
        <v>3</v>
      </c>
      <c r="R961">
        <v>-5.4882</v>
      </c>
      <c r="S961" t="s">
        <v>90</v>
      </c>
    </row>
    <row r="962" spans="1:19" x14ac:dyDescent="0.35">
      <c r="A962" t="s">
        <v>2882</v>
      </c>
      <c r="B962" s="1">
        <v>42730</v>
      </c>
      <c r="C962" s="1">
        <v>42735</v>
      </c>
      <c r="D962" t="s">
        <v>37</v>
      </c>
      <c r="E962" t="s">
        <v>2883</v>
      </c>
      <c r="F962" t="s">
        <v>2884</v>
      </c>
      <c r="G962" t="s">
        <v>84</v>
      </c>
      <c r="H962" t="s">
        <v>24</v>
      </c>
      <c r="I962" t="s">
        <v>49</v>
      </c>
      <c r="J962" t="s">
        <v>50</v>
      </c>
      <c r="K962" t="s">
        <v>51</v>
      </c>
      <c r="L962" t="s">
        <v>298</v>
      </c>
      <c r="M962" t="s">
        <v>29</v>
      </c>
      <c r="N962" t="s">
        <v>43</v>
      </c>
      <c r="O962" t="s">
        <v>299</v>
      </c>
      <c r="P962">
        <v>902.71199999999999</v>
      </c>
      <c r="Q962">
        <v>3</v>
      </c>
      <c r="R962">
        <v>33.851700000000001</v>
      </c>
      <c r="S962" t="s">
        <v>90</v>
      </c>
    </row>
    <row r="963" spans="1:19" x14ac:dyDescent="0.35">
      <c r="A963" t="s">
        <v>2885</v>
      </c>
      <c r="B963" s="1">
        <v>42201</v>
      </c>
      <c r="C963" s="1">
        <v>42205</v>
      </c>
      <c r="D963" t="s">
        <v>37</v>
      </c>
      <c r="E963" t="s">
        <v>2886</v>
      </c>
      <c r="F963" t="s">
        <v>2887</v>
      </c>
      <c r="G963" t="s">
        <v>94</v>
      </c>
      <c r="H963" t="s">
        <v>24</v>
      </c>
      <c r="I963" t="s">
        <v>2745</v>
      </c>
      <c r="J963" t="s">
        <v>1080</v>
      </c>
      <c r="K963" t="s">
        <v>63</v>
      </c>
      <c r="L963" t="s">
        <v>647</v>
      </c>
      <c r="M963" t="s">
        <v>29</v>
      </c>
      <c r="N963" t="s">
        <v>34</v>
      </c>
      <c r="O963" t="s">
        <v>648</v>
      </c>
      <c r="P963">
        <v>150.97999999999999</v>
      </c>
      <c r="Q963">
        <v>1</v>
      </c>
      <c r="R963">
        <v>43.784199999999998</v>
      </c>
      <c r="S963" t="s">
        <v>66</v>
      </c>
    </row>
    <row r="964" spans="1:19" x14ac:dyDescent="0.35">
      <c r="A964" t="s">
        <v>2888</v>
      </c>
      <c r="B964" s="1">
        <v>43048</v>
      </c>
      <c r="C964" s="1">
        <v>43053</v>
      </c>
      <c r="D964" t="s">
        <v>37</v>
      </c>
      <c r="E964" t="s">
        <v>130</v>
      </c>
      <c r="F964" t="s">
        <v>131</v>
      </c>
      <c r="G964" t="s">
        <v>23</v>
      </c>
      <c r="H964" t="s">
        <v>24</v>
      </c>
      <c r="I964" t="s">
        <v>752</v>
      </c>
      <c r="J964" t="s">
        <v>50</v>
      </c>
      <c r="K964" t="s">
        <v>51</v>
      </c>
      <c r="L964" t="s">
        <v>414</v>
      </c>
      <c r="M964" t="s">
        <v>29</v>
      </c>
      <c r="N964" t="s">
        <v>53</v>
      </c>
      <c r="O964" t="s">
        <v>415</v>
      </c>
      <c r="P964">
        <v>47.12</v>
      </c>
      <c r="Q964">
        <v>8</v>
      </c>
      <c r="R964">
        <v>20.732800000000001</v>
      </c>
      <c r="S964" t="s">
        <v>32</v>
      </c>
    </row>
    <row r="965" spans="1:19" x14ac:dyDescent="0.35">
      <c r="A965" t="s">
        <v>2889</v>
      </c>
      <c r="B965" s="1">
        <v>42268</v>
      </c>
      <c r="C965" s="1">
        <v>42273</v>
      </c>
      <c r="D965" t="s">
        <v>37</v>
      </c>
      <c r="E965" t="s">
        <v>2378</v>
      </c>
      <c r="F965" t="s">
        <v>2379</v>
      </c>
      <c r="G965" t="s">
        <v>94</v>
      </c>
      <c r="H965" t="s">
        <v>24</v>
      </c>
      <c r="I965" t="s">
        <v>1348</v>
      </c>
      <c r="J965" t="s">
        <v>425</v>
      </c>
      <c r="K965" t="s">
        <v>63</v>
      </c>
      <c r="L965" t="s">
        <v>412</v>
      </c>
      <c r="M965" t="s">
        <v>29</v>
      </c>
      <c r="N965" t="s">
        <v>34</v>
      </c>
      <c r="O965" t="s">
        <v>413</v>
      </c>
      <c r="P965">
        <v>542.94000000000005</v>
      </c>
      <c r="Q965">
        <v>3</v>
      </c>
      <c r="R965">
        <v>141.1644</v>
      </c>
      <c r="S965" t="s">
        <v>72</v>
      </c>
    </row>
    <row r="966" spans="1:19" x14ac:dyDescent="0.35">
      <c r="A966" t="s">
        <v>2890</v>
      </c>
      <c r="B966" s="1">
        <v>42987</v>
      </c>
      <c r="C966" s="1">
        <v>42992</v>
      </c>
      <c r="D966" t="s">
        <v>37</v>
      </c>
      <c r="E966" t="s">
        <v>38</v>
      </c>
      <c r="F966" t="s">
        <v>39</v>
      </c>
      <c r="G966" t="s">
        <v>23</v>
      </c>
      <c r="H966" t="s">
        <v>24</v>
      </c>
      <c r="I966" t="s">
        <v>149</v>
      </c>
      <c r="J966" t="s">
        <v>133</v>
      </c>
      <c r="K966" t="s">
        <v>27</v>
      </c>
      <c r="L966" t="s">
        <v>414</v>
      </c>
      <c r="M966" t="s">
        <v>29</v>
      </c>
      <c r="N966" t="s">
        <v>53</v>
      </c>
      <c r="O966" t="s">
        <v>415</v>
      </c>
      <c r="P966">
        <v>14.135999999999999</v>
      </c>
      <c r="Q966">
        <v>3</v>
      </c>
      <c r="R966">
        <v>4.2408000000000001</v>
      </c>
      <c r="S966" t="s">
        <v>72</v>
      </c>
    </row>
    <row r="967" spans="1:19" x14ac:dyDescent="0.35">
      <c r="A967" t="s">
        <v>2891</v>
      </c>
      <c r="B967" s="1">
        <v>42292</v>
      </c>
      <c r="C967" s="1">
        <v>42292</v>
      </c>
      <c r="D967" t="s">
        <v>417</v>
      </c>
      <c r="E967" t="s">
        <v>858</v>
      </c>
      <c r="F967" t="s">
        <v>859</v>
      </c>
      <c r="G967" t="s">
        <v>23</v>
      </c>
      <c r="H967" t="s">
        <v>24</v>
      </c>
      <c r="I967" t="s">
        <v>2212</v>
      </c>
      <c r="J967" t="s">
        <v>281</v>
      </c>
      <c r="K967" t="s">
        <v>87</v>
      </c>
      <c r="L967" t="s">
        <v>2892</v>
      </c>
      <c r="M967" t="s">
        <v>29</v>
      </c>
      <c r="N967" t="s">
        <v>53</v>
      </c>
      <c r="O967" t="s">
        <v>2893</v>
      </c>
      <c r="P967">
        <v>17.14</v>
      </c>
      <c r="Q967">
        <v>2</v>
      </c>
      <c r="R967">
        <v>6.1703999999999999</v>
      </c>
      <c r="S967" t="s">
        <v>45</v>
      </c>
    </row>
    <row r="968" spans="1:19" x14ac:dyDescent="0.35">
      <c r="A968" t="s">
        <v>2894</v>
      </c>
      <c r="B968" s="1">
        <v>42950</v>
      </c>
      <c r="C968" s="1">
        <v>42955</v>
      </c>
      <c r="D968" t="s">
        <v>20</v>
      </c>
      <c r="E968" t="s">
        <v>624</v>
      </c>
      <c r="F968" t="s">
        <v>625</v>
      </c>
      <c r="G968" t="s">
        <v>23</v>
      </c>
      <c r="H968" t="s">
        <v>24</v>
      </c>
      <c r="I968" t="s">
        <v>320</v>
      </c>
      <c r="J968" t="s">
        <v>50</v>
      </c>
      <c r="K968" t="s">
        <v>51</v>
      </c>
      <c r="L968" t="s">
        <v>587</v>
      </c>
      <c r="M968" t="s">
        <v>29</v>
      </c>
      <c r="N968" t="s">
        <v>53</v>
      </c>
      <c r="O968" t="s">
        <v>588</v>
      </c>
      <c r="P968">
        <v>123.96</v>
      </c>
      <c r="Q968">
        <v>3</v>
      </c>
      <c r="R968">
        <v>11.1564</v>
      </c>
      <c r="S968" t="s">
        <v>245</v>
      </c>
    </row>
    <row r="969" spans="1:19" x14ac:dyDescent="0.35">
      <c r="A969" t="s">
        <v>2895</v>
      </c>
      <c r="B969" s="1">
        <v>42237</v>
      </c>
      <c r="C969" s="1">
        <v>42242</v>
      </c>
      <c r="D969" t="s">
        <v>37</v>
      </c>
      <c r="E969" t="s">
        <v>278</v>
      </c>
      <c r="F969" t="s">
        <v>279</v>
      </c>
      <c r="G969" t="s">
        <v>84</v>
      </c>
      <c r="H969" t="s">
        <v>24</v>
      </c>
      <c r="I969" t="s">
        <v>320</v>
      </c>
      <c r="J969" t="s">
        <v>50</v>
      </c>
      <c r="K969" t="s">
        <v>51</v>
      </c>
      <c r="L969" t="s">
        <v>2896</v>
      </c>
      <c r="M969" t="s">
        <v>29</v>
      </c>
      <c r="N969" t="s">
        <v>30</v>
      </c>
      <c r="O969" t="s">
        <v>2897</v>
      </c>
      <c r="P969">
        <v>586.39800000000002</v>
      </c>
      <c r="Q969">
        <v>6</v>
      </c>
      <c r="R969">
        <v>34.494</v>
      </c>
      <c r="S969" t="s">
        <v>245</v>
      </c>
    </row>
    <row r="970" spans="1:19" x14ac:dyDescent="0.35">
      <c r="A970" t="s">
        <v>2898</v>
      </c>
      <c r="B970" s="1">
        <v>43030</v>
      </c>
      <c r="C970" s="1">
        <v>43032</v>
      </c>
      <c r="D970" t="s">
        <v>20</v>
      </c>
      <c r="E970" t="s">
        <v>2899</v>
      </c>
      <c r="F970" t="s">
        <v>2900</v>
      </c>
      <c r="G970" t="s">
        <v>23</v>
      </c>
      <c r="H970" t="s">
        <v>24</v>
      </c>
      <c r="I970" t="s">
        <v>2334</v>
      </c>
      <c r="J970" t="s">
        <v>172</v>
      </c>
      <c r="K970" t="s">
        <v>51</v>
      </c>
      <c r="L970" t="s">
        <v>2901</v>
      </c>
      <c r="M970" t="s">
        <v>29</v>
      </c>
      <c r="N970" t="s">
        <v>34</v>
      </c>
      <c r="O970" t="s">
        <v>2902</v>
      </c>
      <c r="P970">
        <v>579.13599999999997</v>
      </c>
      <c r="Q970">
        <v>4</v>
      </c>
      <c r="R970">
        <v>-28.956800000000001</v>
      </c>
      <c r="S970" t="s">
        <v>45</v>
      </c>
    </row>
    <row r="971" spans="1:19" x14ac:dyDescent="0.35">
      <c r="A971" t="s">
        <v>2903</v>
      </c>
      <c r="B971" s="1">
        <v>42594</v>
      </c>
      <c r="C971" s="1">
        <v>42598</v>
      </c>
      <c r="D971" t="s">
        <v>37</v>
      </c>
      <c r="E971" t="s">
        <v>1811</v>
      </c>
      <c r="F971" t="s">
        <v>1812</v>
      </c>
      <c r="G971" t="s">
        <v>94</v>
      </c>
      <c r="H971" t="s">
        <v>24</v>
      </c>
      <c r="I971" t="s">
        <v>165</v>
      </c>
      <c r="J971" t="s">
        <v>114</v>
      </c>
      <c r="K971" t="s">
        <v>63</v>
      </c>
      <c r="L971" t="s">
        <v>501</v>
      </c>
      <c r="M971" t="s">
        <v>29</v>
      </c>
      <c r="N971" t="s">
        <v>34</v>
      </c>
      <c r="O971" t="s">
        <v>502</v>
      </c>
      <c r="P971">
        <v>145.76400000000001</v>
      </c>
      <c r="Q971">
        <v>2</v>
      </c>
      <c r="R971">
        <v>-8.0980000000000008</v>
      </c>
      <c r="S971" t="s">
        <v>245</v>
      </c>
    </row>
    <row r="972" spans="1:19" x14ac:dyDescent="0.35">
      <c r="A972" t="s">
        <v>2904</v>
      </c>
      <c r="B972" s="1">
        <v>42486</v>
      </c>
      <c r="C972" s="1">
        <v>42491</v>
      </c>
      <c r="D972" t="s">
        <v>37</v>
      </c>
      <c r="E972" t="s">
        <v>2905</v>
      </c>
      <c r="F972" t="s">
        <v>2906</v>
      </c>
      <c r="G972" t="s">
        <v>94</v>
      </c>
      <c r="H972" t="s">
        <v>24</v>
      </c>
      <c r="I972" t="s">
        <v>165</v>
      </c>
      <c r="J972" t="s">
        <v>114</v>
      </c>
      <c r="K972" t="s">
        <v>63</v>
      </c>
      <c r="L972" t="s">
        <v>2540</v>
      </c>
      <c r="M972" t="s">
        <v>29</v>
      </c>
      <c r="N972" t="s">
        <v>34</v>
      </c>
      <c r="O972" t="s">
        <v>2541</v>
      </c>
      <c r="P972">
        <v>434.64600000000002</v>
      </c>
      <c r="Q972">
        <v>3</v>
      </c>
      <c r="R972">
        <v>62.782200000000003</v>
      </c>
      <c r="S972" t="s">
        <v>107</v>
      </c>
    </row>
    <row r="973" spans="1:19" x14ac:dyDescent="0.35">
      <c r="A973" t="s">
        <v>2907</v>
      </c>
      <c r="B973" s="1">
        <v>42127</v>
      </c>
      <c r="C973" s="1">
        <v>42131</v>
      </c>
      <c r="D973" t="s">
        <v>37</v>
      </c>
      <c r="E973" t="s">
        <v>2908</v>
      </c>
      <c r="F973" t="s">
        <v>2909</v>
      </c>
      <c r="G973" t="s">
        <v>23</v>
      </c>
      <c r="H973" t="s">
        <v>24</v>
      </c>
      <c r="I973" t="s">
        <v>61</v>
      </c>
      <c r="J973" t="s">
        <v>62</v>
      </c>
      <c r="K973" t="s">
        <v>63</v>
      </c>
      <c r="L973" t="s">
        <v>321</v>
      </c>
      <c r="M973" t="s">
        <v>29</v>
      </c>
      <c r="N973" t="s">
        <v>34</v>
      </c>
      <c r="O973" t="s">
        <v>322</v>
      </c>
      <c r="P973">
        <v>844.11599999999999</v>
      </c>
      <c r="Q973">
        <v>6</v>
      </c>
      <c r="R973">
        <v>-36.176400000000001</v>
      </c>
      <c r="S973" t="s">
        <v>153</v>
      </c>
    </row>
    <row r="974" spans="1:19" x14ac:dyDescent="0.35">
      <c r="A974" t="s">
        <v>2910</v>
      </c>
      <c r="B974" s="1">
        <v>42379</v>
      </c>
      <c r="C974" s="1">
        <v>42386</v>
      </c>
      <c r="D974" t="s">
        <v>37</v>
      </c>
      <c r="E974" t="s">
        <v>2547</v>
      </c>
      <c r="F974" t="s">
        <v>2548</v>
      </c>
      <c r="G974" t="s">
        <v>84</v>
      </c>
      <c r="H974" t="s">
        <v>24</v>
      </c>
      <c r="I974" t="s">
        <v>183</v>
      </c>
      <c r="J974" t="s">
        <v>184</v>
      </c>
      <c r="K974" t="s">
        <v>51</v>
      </c>
      <c r="L974" t="s">
        <v>1112</v>
      </c>
      <c r="M974" t="s">
        <v>29</v>
      </c>
      <c r="N974" t="s">
        <v>53</v>
      </c>
      <c r="O974" t="s">
        <v>1113</v>
      </c>
      <c r="P974">
        <v>79.92</v>
      </c>
      <c r="Q974">
        <v>4</v>
      </c>
      <c r="R974">
        <v>34.365600000000001</v>
      </c>
      <c r="S974" t="s">
        <v>161</v>
      </c>
    </row>
    <row r="975" spans="1:19" x14ac:dyDescent="0.35">
      <c r="A975" t="s">
        <v>2911</v>
      </c>
      <c r="B975" s="1">
        <v>42861</v>
      </c>
      <c r="C975" s="1">
        <v>42866</v>
      </c>
      <c r="D975" t="s">
        <v>37</v>
      </c>
      <c r="E975" t="s">
        <v>2912</v>
      </c>
      <c r="F975" t="s">
        <v>2913</v>
      </c>
      <c r="G975" t="s">
        <v>84</v>
      </c>
      <c r="H975" t="s">
        <v>24</v>
      </c>
      <c r="I975" t="s">
        <v>586</v>
      </c>
      <c r="J975" t="s">
        <v>86</v>
      </c>
      <c r="K975" t="s">
        <v>87</v>
      </c>
      <c r="L975" t="s">
        <v>525</v>
      </c>
      <c r="M975" t="s">
        <v>29</v>
      </c>
      <c r="N975" t="s">
        <v>30</v>
      </c>
      <c r="O975" t="s">
        <v>526</v>
      </c>
      <c r="P975">
        <v>623.46479999999997</v>
      </c>
      <c r="Q975">
        <v>7</v>
      </c>
      <c r="R975">
        <v>-119.1918</v>
      </c>
      <c r="S975" t="s">
        <v>153</v>
      </c>
    </row>
    <row r="976" spans="1:19" x14ac:dyDescent="0.35">
      <c r="A976" t="s">
        <v>2914</v>
      </c>
      <c r="B976" s="1">
        <v>42582</v>
      </c>
      <c r="C976" s="1">
        <v>42588</v>
      </c>
      <c r="D976" t="s">
        <v>37</v>
      </c>
      <c r="E976" t="s">
        <v>303</v>
      </c>
      <c r="F976" t="s">
        <v>304</v>
      </c>
      <c r="G976" t="s">
        <v>23</v>
      </c>
      <c r="H976" t="s">
        <v>24</v>
      </c>
      <c r="I976" t="s">
        <v>280</v>
      </c>
      <c r="J976" t="s">
        <v>281</v>
      </c>
      <c r="K976" t="s">
        <v>87</v>
      </c>
      <c r="L976" t="s">
        <v>350</v>
      </c>
      <c r="M976" t="s">
        <v>29</v>
      </c>
      <c r="N976" t="s">
        <v>53</v>
      </c>
      <c r="O976" t="s">
        <v>351</v>
      </c>
      <c r="P976">
        <v>272.94</v>
      </c>
      <c r="Q976">
        <v>3</v>
      </c>
      <c r="R976">
        <v>30.023399999999999</v>
      </c>
      <c r="S976" t="s">
        <v>66</v>
      </c>
    </row>
    <row r="977" spans="1:19" x14ac:dyDescent="0.35">
      <c r="A977" t="s">
        <v>2915</v>
      </c>
      <c r="B977" s="1">
        <v>42821</v>
      </c>
      <c r="C977" s="1">
        <v>42823</v>
      </c>
      <c r="D977" t="s">
        <v>20</v>
      </c>
      <c r="E977" t="s">
        <v>2916</v>
      </c>
      <c r="F977" t="s">
        <v>2917</v>
      </c>
      <c r="G977" t="s">
        <v>23</v>
      </c>
      <c r="H977" t="s">
        <v>24</v>
      </c>
      <c r="I977" t="s">
        <v>61</v>
      </c>
      <c r="J977" t="s">
        <v>62</v>
      </c>
      <c r="K977" t="s">
        <v>63</v>
      </c>
      <c r="L977" t="s">
        <v>2117</v>
      </c>
      <c r="M977" t="s">
        <v>29</v>
      </c>
      <c r="N977" t="s">
        <v>53</v>
      </c>
      <c r="O977" t="s">
        <v>2118</v>
      </c>
      <c r="P977">
        <v>15.007999999999999</v>
      </c>
      <c r="Q977">
        <v>2</v>
      </c>
      <c r="R977">
        <v>1.5007999999999999</v>
      </c>
      <c r="S977" t="s">
        <v>187</v>
      </c>
    </row>
    <row r="978" spans="1:19" x14ac:dyDescent="0.35">
      <c r="A978" t="s">
        <v>2918</v>
      </c>
      <c r="B978" s="1">
        <v>42611</v>
      </c>
      <c r="C978" s="1">
        <v>42616</v>
      </c>
      <c r="D978" t="s">
        <v>37</v>
      </c>
      <c r="E978" t="s">
        <v>1071</v>
      </c>
      <c r="F978" t="s">
        <v>1072</v>
      </c>
      <c r="G978" t="s">
        <v>84</v>
      </c>
      <c r="H978" t="s">
        <v>24</v>
      </c>
      <c r="I978" t="s">
        <v>61</v>
      </c>
      <c r="J978" t="s">
        <v>62</v>
      </c>
      <c r="K978" t="s">
        <v>63</v>
      </c>
      <c r="L978" t="s">
        <v>2397</v>
      </c>
      <c r="M978" t="s">
        <v>29</v>
      </c>
      <c r="N978" t="s">
        <v>43</v>
      </c>
      <c r="O978" t="s">
        <v>2398</v>
      </c>
      <c r="P978">
        <v>241.92</v>
      </c>
      <c r="Q978">
        <v>4</v>
      </c>
      <c r="R978">
        <v>-56.448</v>
      </c>
      <c r="S978" t="s">
        <v>245</v>
      </c>
    </row>
    <row r="979" spans="1:19" x14ac:dyDescent="0.35">
      <c r="A979" t="s">
        <v>2918</v>
      </c>
      <c r="B979" s="1">
        <v>42611</v>
      </c>
      <c r="C979" s="1">
        <v>42616</v>
      </c>
      <c r="D979" t="s">
        <v>37</v>
      </c>
      <c r="E979" t="s">
        <v>1071</v>
      </c>
      <c r="F979" t="s">
        <v>1072</v>
      </c>
      <c r="G979" t="s">
        <v>84</v>
      </c>
      <c r="H979" t="s">
        <v>24</v>
      </c>
      <c r="I979" t="s">
        <v>61</v>
      </c>
      <c r="J979" t="s">
        <v>62</v>
      </c>
      <c r="K979" t="s">
        <v>63</v>
      </c>
      <c r="L979" t="s">
        <v>2724</v>
      </c>
      <c r="M979" t="s">
        <v>29</v>
      </c>
      <c r="N979" t="s">
        <v>30</v>
      </c>
      <c r="O979" t="s">
        <v>2725</v>
      </c>
      <c r="P979">
        <v>163.88</v>
      </c>
      <c r="Q979">
        <v>4</v>
      </c>
      <c r="R979">
        <v>-81.94</v>
      </c>
      <c r="S979" t="s">
        <v>245</v>
      </c>
    </row>
    <row r="980" spans="1:19" x14ac:dyDescent="0.35">
      <c r="A980" t="s">
        <v>2919</v>
      </c>
      <c r="B980" s="1">
        <v>41993</v>
      </c>
      <c r="C980" s="1">
        <v>41995</v>
      </c>
      <c r="D980" t="s">
        <v>81</v>
      </c>
      <c r="E980" t="s">
        <v>1639</v>
      </c>
      <c r="F980" t="s">
        <v>1640</v>
      </c>
      <c r="G980" t="s">
        <v>23</v>
      </c>
      <c r="H980" t="s">
        <v>24</v>
      </c>
      <c r="I980" t="s">
        <v>1213</v>
      </c>
      <c r="J980" t="s">
        <v>511</v>
      </c>
      <c r="K980" t="s">
        <v>51</v>
      </c>
      <c r="L980" t="s">
        <v>2046</v>
      </c>
      <c r="M980" t="s">
        <v>29</v>
      </c>
      <c r="N980" t="s">
        <v>53</v>
      </c>
      <c r="O980" t="s">
        <v>2047</v>
      </c>
      <c r="P980">
        <v>51.968000000000004</v>
      </c>
      <c r="Q980">
        <v>2</v>
      </c>
      <c r="R980">
        <v>10.393599999999999</v>
      </c>
      <c r="S980" t="s">
        <v>90</v>
      </c>
    </row>
    <row r="981" spans="1:19" x14ac:dyDescent="0.35">
      <c r="A981" t="s">
        <v>2919</v>
      </c>
      <c r="B981" s="1">
        <v>41993</v>
      </c>
      <c r="C981" s="1">
        <v>41995</v>
      </c>
      <c r="D981" t="s">
        <v>81</v>
      </c>
      <c r="E981" t="s">
        <v>1639</v>
      </c>
      <c r="F981" t="s">
        <v>1640</v>
      </c>
      <c r="G981" t="s">
        <v>23</v>
      </c>
      <c r="H981" t="s">
        <v>24</v>
      </c>
      <c r="I981" t="s">
        <v>1213</v>
      </c>
      <c r="J981" t="s">
        <v>511</v>
      </c>
      <c r="K981" t="s">
        <v>51</v>
      </c>
      <c r="L981" t="s">
        <v>287</v>
      </c>
      <c r="M981" t="s">
        <v>29</v>
      </c>
      <c r="N981" t="s">
        <v>34</v>
      </c>
      <c r="O981" t="s">
        <v>288</v>
      </c>
      <c r="P981">
        <v>242.352</v>
      </c>
      <c r="Q981">
        <v>3</v>
      </c>
      <c r="R981">
        <v>-42.4116</v>
      </c>
      <c r="S981" t="s">
        <v>90</v>
      </c>
    </row>
    <row r="982" spans="1:19" x14ac:dyDescent="0.35">
      <c r="A982" t="s">
        <v>2920</v>
      </c>
      <c r="B982" s="1">
        <v>42355</v>
      </c>
      <c r="C982" s="1">
        <v>42355</v>
      </c>
      <c r="D982" t="s">
        <v>417</v>
      </c>
      <c r="E982" t="s">
        <v>2799</v>
      </c>
      <c r="F982" t="s">
        <v>2800</v>
      </c>
      <c r="G982" t="s">
        <v>23</v>
      </c>
      <c r="H982" t="s">
        <v>24</v>
      </c>
      <c r="I982" t="s">
        <v>280</v>
      </c>
      <c r="J982" t="s">
        <v>281</v>
      </c>
      <c r="K982" t="s">
        <v>87</v>
      </c>
      <c r="L982" t="s">
        <v>1177</v>
      </c>
      <c r="M982" t="s">
        <v>29</v>
      </c>
      <c r="N982" t="s">
        <v>34</v>
      </c>
      <c r="O982" t="s">
        <v>1178</v>
      </c>
      <c r="P982">
        <v>302.94</v>
      </c>
      <c r="Q982">
        <v>3</v>
      </c>
      <c r="R982">
        <v>48.470399999999998</v>
      </c>
      <c r="S982" t="s">
        <v>90</v>
      </c>
    </row>
    <row r="983" spans="1:19" x14ac:dyDescent="0.35">
      <c r="A983" t="s">
        <v>2920</v>
      </c>
      <c r="B983" s="1">
        <v>42355</v>
      </c>
      <c r="C983" s="1">
        <v>42355</v>
      </c>
      <c r="D983" t="s">
        <v>417</v>
      </c>
      <c r="E983" t="s">
        <v>2799</v>
      </c>
      <c r="F983" t="s">
        <v>2800</v>
      </c>
      <c r="G983" t="s">
        <v>23</v>
      </c>
      <c r="H983" t="s">
        <v>24</v>
      </c>
      <c r="I983" t="s">
        <v>280</v>
      </c>
      <c r="J983" t="s">
        <v>281</v>
      </c>
      <c r="K983" t="s">
        <v>87</v>
      </c>
      <c r="L983" t="s">
        <v>2185</v>
      </c>
      <c r="M983" t="s">
        <v>29</v>
      </c>
      <c r="N983" t="s">
        <v>34</v>
      </c>
      <c r="O983" t="s">
        <v>2186</v>
      </c>
      <c r="P983">
        <v>142.36000000000001</v>
      </c>
      <c r="Q983">
        <v>2</v>
      </c>
      <c r="R983">
        <v>38.437199999999997</v>
      </c>
      <c r="S983" t="s">
        <v>90</v>
      </c>
    </row>
    <row r="984" spans="1:19" x14ac:dyDescent="0.35">
      <c r="A984" t="s">
        <v>2920</v>
      </c>
      <c r="B984" s="1">
        <v>42355</v>
      </c>
      <c r="C984" s="1">
        <v>42355</v>
      </c>
      <c r="D984" t="s">
        <v>417</v>
      </c>
      <c r="E984" t="s">
        <v>2799</v>
      </c>
      <c r="F984" t="s">
        <v>2800</v>
      </c>
      <c r="G984" t="s">
        <v>23</v>
      </c>
      <c r="H984" t="s">
        <v>24</v>
      </c>
      <c r="I984" t="s">
        <v>280</v>
      </c>
      <c r="J984" t="s">
        <v>281</v>
      </c>
      <c r="K984" t="s">
        <v>87</v>
      </c>
      <c r="L984" t="s">
        <v>243</v>
      </c>
      <c r="M984" t="s">
        <v>29</v>
      </c>
      <c r="N984" t="s">
        <v>34</v>
      </c>
      <c r="O984" t="s">
        <v>244</v>
      </c>
      <c r="P984">
        <v>546.66</v>
      </c>
      <c r="Q984">
        <v>9</v>
      </c>
      <c r="R984">
        <v>136.66499999999999</v>
      </c>
      <c r="S984" t="s">
        <v>90</v>
      </c>
    </row>
    <row r="985" spans="1:19" x14ac:dyDescent="0.35">
      <c r="A985" t="s">
        <v>2920</v>
      </c>
      <c r="B985" s="1">
        <v>42355</v>
      </c>
      <c r="C985" s="1">
        <v>42355</v>
      </c>
      <c r="D985" t="s">
        <v>417</v>
      </c>
      <c r="E985" t="s">
        <v>2799</v>
      </c>
      <c r="F985" t="s">
        <v>2800</v>
      </c>
      <c r="G985" t="s">
        <v>23</v>
      </c>
      <c r="H985" t="s">
        <v>24</v>
      </c>
      <c r="I985" t="s">
        <v>280</v>
      </c>
      <c r="J985" t="s">
        <v>281</v>
      </c>
      <c r="K985" t="s">
        <v>87</v>
      </c>
      <c r="L985" t="s">
        <v>2160</v>
      </c>
      <c r="M985" t="s">
        <v>29</v>
      </c>
      <c r="N985" t="s">
        <v>53</v>
      </c>
      <c r="O985" t="s">
        <v>2161</v>
      </c>
      <c r="P985">
        <v>212.13</v>
      </c>
      <c r="Q985">
        <v>3</v>
      </c>
      <c r="R985">
        <v>14.8491</v>
      </c>
      <c r="S985" t="s">
        <v>90</v>
      </c>
    </row>
    <row r="986" spans="1:19" x14ac:dyDescent="0.35">
      <c r="A986" t="s">
        <v>2921</v>
      </c>
      <c r="B986" s="1">
        <v>42866</v>
      </c>
      <c r="C986" s="1">
        <v>42872</v>
      </c>
      <c r="D986" t="s">
        <v>37</v>
      </c>
      <c r="E986" t="s">
        <v>1228</v>
      </c>
      <c r="F986" t="s">
        <v>1229</v>
      </c>
      <c r="G986" t="s">
        <v>94</v>
      </c>
      <c r="H986" t="s">
        <v>24</v>
      </c>
      <c r="I986" t="s">
        <v>2321</v>
      </c>
      <c r="J986" t="s">
        <v>86</v>
      </c>
      <c r="K986" t="s">
        <v>87</v>
      </c>
      <c r="L986" t="s">
        <v>392</v>
      </c>
      <c r="M986" t="s">
        <v>29</v>
      </c>
      <c r="N986" t="s">
        <v>53</v>
      </c>
      <c r="O986" t="s">
        <v>393</v>
      </c>
      <c r="P986">
        <v>7.9960000000000004</v>
      </c>
      <c r="Q986">
        <v>1</v>
      </c>
      <c r="R986">
        <v>-6.9965000000000002</v>
      </c>
      <c r="S986" t="s">
        <v>153</v>
      </c>
    </row>
    <row r="987" spans="1:19" x14ac:dyDescent="0.35">
      <c r="A987" t="s">
        <v>2922</v>
      </c>
      <c r="B987" s="1">
        <v>42507</v>
      </c>
      <c r="C987" s="1">
        <v>42508</v>
      </c>
      <c r="D987" t="s">
        <v>81</v>
      </c>
      <c r="E987" t="s">
        <v>1463</v>
      </c>
      <c r="F987" t="s">
        <v>1464</v>
      </c>
      <c r="G987" t="s">
        <v>23</v>
      </c>
      <c r="H987" t="s">
        <v>24</v>
      </c>
      <c r="I987" t="s">
        <v>2923</v>
      </c>
      <c r="J987" t="s">
        <v>421</v>
      </c>
      <c r="K987" t="s">
        <v>63</v>
      </c>
      <c r="L987" t="s">
        <v>981</v>
      </c>
      <c r="M987" t="s">
        <v>29</v>
      </c>
      <c r="N987" t="s">
        <v>53</v>
      </c>
      <c r="O987" t="s">
        <v>982</v>
      </c>
      <c r="P987">
        <v>173.24</v>
      </c>
      <c r="Q987">
        <v>4</v>
      </c>
      <c r="R987">
        <v>17.324000000000002</v>
      </c>
      <c r="S987" t="s">
        <v>153</v>
      </c>
    </row>
    <row r="988" spans="1:19" x14ac:dyDescent="0.35">
      <c r="A988" t="s">
        <v>2924</v>
      </c>
      <c r="B988" s="1">
        <v>41989</v>
      </c>
      <c r="C988" s="1">
        <v>41994</v>
      </c>
      <c r="D988" t="s">
        <v>37</v>
      </c>
      <c r="E988" t="s">
        <v>2555</v>
      </c>
      <c r="F988" t="s">
        <v>2556</v>
      </c>
      <c r="G988" t="s">
        <v>23</v>
      </c>
      <c r="H988" t="s">
        <v>24</v>
      </c>
      <c r="I988" t="s">
        <v>1859</v>
      </c>
      <c r="J988" t="s">
        <v>86</v>
      </c>
      <c r="K988" t="s">
        <v>87</v>
      </c>
      <c r="L988" t="s">
        <v>2160</v>
      </c>
      <c r="M988" t="s">
        <v>29</v>
      </c>
      <c r="N988" t="s">
        <v>53</v>
      </c>
      <c r="O988" t="s">
        <v>2161</v>
      </c>
      <c r="P988">
        <v>56.567999999999998</v>
      </c>
      <c r="Q988">
        <v>2</v>
      </c>
      <c r="R988">
        <v>-74.952600000000004</v>
      </c>
      <c r="S988" t="s">
        <v>90</v>
      </c>
    </row>
    <row r="989" spans="1:19" x14ac:dyDescent="0.35">
      <c r="A989" t="s">
        <v>2925</v>
      </c>
      <c r="B989" s="1">
        <v>43072</v>
      </c>
      <c r="C989" s="1">
        <v>43076</v>
      </c>
      <c r="D989" t="s">
        <v>20</v>
      </c>
      <c r="E989" t="s">
        <v>1305</v>
      </c>
      <c r="F989" t="s">
        <v>1306</v>
      </c>
      <c r="G989" t="s">
        <v>94</v>
      </c>
      <c r="H989" t="s">
        <v>24</v>
      </c>
      <c r="I989" t="s">
        <v>183</v>
      </c>
      <c r="J989" t="s">
        <v>184</v>
      </c>
      <c r="K989" t="s">
        <v>51</v>
      </c>
      <c r="L989" t="s">
        <v>1238</v>
      </c>
      <c r="M989" t="s">
        <v>29</v>
      </c>
      <c r="N989" t="s">
        <v>43</v>
      </c>
      <c r="O989" t="s">
        <v>1239</v>
      </c>
      <c r="P989">
        <v>521.96</v>
      </c>
      <c r="Q989">
        <v>2</v>
      </c>
      <c r="R989">
        <v>88.733199999999997</v>
      </c>
      <c r="S989" t="s">
        <v>90</v>
      </c>
    </row>
    <row r="990" spans="1:19" x14ac:dyDescent="0.35">
      <c r="A990" t="s">
        <v>2926</v>
      </c>
      <c r="B990" s="1">
        <v>41797</v>
      </c>
      <c r="C990" s="1">
        <v>41801</v>
      </c>
      <c r="D990" t="s">
        <v>20</v>
      </c>
      <c r="E990" t="s">
        <v>2927</v>
      </c>
      <c r="F990" t="s">
        <v>2928</v>
      </c>
      <c r="G990" t="s">
        <v>23</v>
      </c>
      <c r="H990" t="s">
        <v>24</v>
      </c>
      <c r="I990" t="s">
        <v>171</v>
      </c>
      <c r="J990" t="s">
        <v>126</v>
      </c>
      <c r="K990" t="s">
        <v>87</v>
      </c>
      <c r="L990" t="s">
        <v>445</v>
      </c>
      <c r="M990" t="s">
        <v>29</v>
      </c>
      <c r="N990" t="s">
        <v>43</v>
      </c>
      <c r="O990" t="s">
        <v>446</v>
      </c>
      <c r="P990">
        <v>268.935</v>
      </c>
      <c r="Q990">
        <v>3</v>
      </c>
      <c r="R990">
        <v>-209.76929999999999</v>
      </c>
      <c r="S990" t="s">
        <v>55</v>
      </c>
    </row>
    <row r="991" spans="1:19" x14ac:dyDescent="0.35">
      <c r="A991" t="s">
        <v>2929</v>
      </c>
      <c r="B991" s="1">
        <v>41968</v>
      </c>
      <c r="C991" s="1">
        <v>41972</v>
      </c>
      <c r="D991" t="s">
        <v>20</v>
      </c>
      <c r="E991" t="s">
        <v>1342</v>
      </c>
      <c r="F991" t="s">
        <v>1343</v>
      </c>
      <c r="G991" t="s">
        <v>94</v>
      </c>
      <c r="H991" t="s">
        <v>24</v>
      </c>
      <c r="I991" t="s">
        <v>165</v>
      </c>
      <c r="J991" t="s">
        <v>114</v>
      </c>
      <c r="K991" t="s">
        <v>63</v>
      </c>
      <c r="L991" t="s">
        <v>1467</v>
      </c>
      <c r="M991" t="s">
        <v>29</v>
      </c>
      <c r="N991" t="s">
        <v>30</v>
      </c>
      <c r="O991" t="s">
        <v>1468</v>
      </c>
      <c r="P991">
        <v>275.952</v>
      </c>
      <c r="Q991">
        <v>3</v>
      </c>
      <c r="R991">
        <v>-37.943399999999997</v>
      </c>
      <c r="S991" t="s">
        <v>32</v>
      </c>
    </row>
    <row r="992" spans="1:19" x14ac:dyDescent="0.35">
      <c r="A992" t="s">
        <v>2930</v>
      </c>
      <c r="B992" s="1">
        <v>42092</v>
      </c>
      <c r="C992" s="1">
        <v>42094</v>
      </c>
      <c r="D992" t="s">
        <v>20</v>
      </c>
      <c r="E992" t="s">
        <v>2931</v>
      </c>
      <c r="F992" t="s">
        <v>2932</v>
      </c>
      <c r="G992" t="s">
        <v>23</v>
      </c>
      <c r="H992" t="s">
        <v>24</v>
      </c>
      <c r="I992" t="s">
        <v>630</v>
      </c>
      <c r="J992" t="s">
        <v>50</v>
      </c>
      <c r="K992" t="s">
        <v>51</v>
      </c>
      <c r="L992" t="s">
        <v>2317</v>
      </c>
      <c r="M992" t="s">
        <v>29</v>
      </c>
      <c r="N992" t="s">
        <v>53</v>
      </c>
      <c r="O992" t="s">
        <v>2318</v>
      </c>
      <c r="P992">
        <v>19.920000000000002</v>
      </c>
      <c r="Q992">
        <v>3</v>
      </c>
      <c r="R992">
        <v>9.5616000000000003</v>
      </c>
      <c r="S992" t="s">
        <v>187</v>
      </c>
    </row>
    <row r="993" spans="1:19" x14ac:dyDescent="0.35">
      <c r="A993" t="s">
        <v>2933</v>
      </c>
      <c r="B993" s="1">
        <v>42467</v>
      </c>
      <c r="C993" s="1">
        <v>42472</v>
      </c>
      <c r="D993" t="s">
        <v>37</v>
      </c>
      <c r="E993" t="s">
        <v>711</v>
      </c>
      <c r="F993" t="s">
        <v>712</v>
      </c>
      <c r="G993" t="s">
        <v>84</v>
      </c>
      <c r="H993" t="s">
        <v>24</v>
      </c>
      <c r="I993" t="s">
        <v>165</v>
      </c>
      <c r="J993" t="s">
        <v>114</v>
      </c>
      <c r="K993" t="s">
        <v>63</v>
      </c>
      <c r="L993" t="s">
        <v>33</v>
      </c>
      <c r="M993" t="s">
        <v>29</v>
      </c>
      <c r="N993" t="s">
        <v>34</v>
      </c>
      <c r="O993" t="s">
        <v>35</v>
      </c>
      <c r="P993">
        <v>658.74599999999998</v>
      </c>
      <c r="Q993">
        <v>3</v>
      </c>
      <c r="R993">
        <v>146.38800000000001</v>
      </c>
      <c r="S993" t="s">
        <v>107</v>
      </c>
    </row>
    <row r="994" spans="1:19" x14ac:dyDescent="0.35">
      <c r="A994" t="s">
        <v>2934</v>
      </c>
      <c r="B994" s="1">
        <v>42053</v>
      </c>
      <c r="C994" s="1">
        <v>42059</v>
      </c>
      <c r="D994" t="s">
        <v>37</v>
      </c>
      <c r="E994" t="s">
        <v>2935</v>
      </c>
      <c r="F994" t="s">
        <v>2936</v>
      </c>
      <c r="G994" t="s">
        <v>23</v>
      </c>
      <c r="H994" t="s">
        <v>24</v>
      </c>
      <c r="I994" t="s">
        <v>721</v>
      </c>
      <c r="J994" t="s">
        <v>50</v>
      </c>
      <c r="K994" t="s">
        <v>51</v>
      </c>
      <c r="L994" t="s">
        <v>1240</v>
      </c>
      <c r="M994" t="s">
        <v>29</v>
      </c>
      <c r="N994" t="s">
        <v>43</v>
      </c>
      <c r="O994" t="s">
        <v>1241</v>
      </c>
      <c r="P994">
        <v>35.543999999999997</v>
      </c>
      <c r="Q994">
        <v>1</v>
      </c>
      <c r="R994">
        <v>-0.88859999999999995</v>
      </c>
      <c r="S994" t="s">
        <v>289</v>
      </c>
    </row>
    <row r="995" spans="1:19" x14ac:dyDescent="0.35">
      <c r="A995" t="s">
        <v>2937</v>
      </c>
      <c r="B995" s="1">
        <v>42432</v>
      </c>
      <c r="C995" s="1">
        <v>42432</v>
      </c>
      <c r="D995" t="s">
        <v>417</v>
      </c>
      <c r="E995" t="s">
        <v>1717</v>
      </c>
      <c r="F995" t="s">
        <v>1718</v>
      </c>
      <c r="G995" t="s">
        <v>84</v>
      </c>
      <c r="H995" t="s">
        <v>24</v>
      </c>
      <c r="I995" t="s">
        <v>320</v>
      </c>
      <c r="J995" t="s">
        <v>50</v>
      </c>
      <c r="K995" t="s">
        <v>51</v>
      </c>
      <c r="L995" t="s">
        <v>2400</v>
      </c>
      <c r="M995" t="s">
        <v>29</v>
      </c>
      <c r="N995" t="s">
        <v>53</v>
      </c>
      <c r="O995" t="s">
        <v>2401</v>
      </c>
      <c r="P995">
        <v>35.28</v>
      </c>
      <c r="Q995">
        <v>3</v>
      </c>
      <c r="R995">
        <v>11.995200000000001</v>
      </c>
      <c r="S995" t="s">
        <v>187</v>
      </c>
    </row>
    <row r="996" spans="1:19" x14ac:dyDescent="0.35">
      <c r="A996" t="s">
        <v>2938</v>
      </c>
      <c r="B996" s="1">
        <v>43059</v>
      </c>
      <c r="C996" s="1">
        <v>43063</v>
      </c>
      <c r="D996" t="s">
        <v>37</v>
      </c>
      <c r="E996" t="s">
        <v>2939</v>
      </c>
      <c r="F996" t="s">
        <v>2940</v>
      </c>
      <c r="G996" t="s">
        <v>23</v>
      </c>
      <c r="H996" t="s">
        <v>24</v>
      </c>
      <c r="I996" t="s">
        <v>468</v>
      </c>
      <c r="J996" t="s">
        <v>133</v>
      </c>
      <c r="K996" t="s">
        <v>27</v>
      </c>
      <c r="L996" t="s">
        <v>659</v>
      </c>
      <c r="M996" t="s">
        <v>29</v>
      </c>
      <c r="N996" t="s">
        <v>34</v>
      </c>
      <c r="O996" t="s">
        <v>660</v>
      </c>
      <c r="P996">
        <v>209.56800000000001</v>
      </c>
      <c r="Q996">
        <v>2</v>
      </c>
      <c r="R996">
        <v>-23.5764</v>
      </c>
      <c r="S996" t="s">
        <v>32</v>
      </c>
    </row>
    <row r="997" spans="1:19" x14ac:dyDescent="0.35">
      <c r="A997" t="s">
        <v>2941</v>
      </c>
      <c r="B997" s="1">
        <v>43062</v>
      </c>
      <c r="C997" s="1">
        <v>43066</v>
      </c>
      <c r="D997" t="s">
        <v>37</v>
      </c>
      <c r="E997" t="s">
        <v>2942</v>
      </c>
      <c r="F997" t="s">
        <v>2943</v>
      </c>
      <c r="G997" t="s">
        <v>23</v>
      </c>
      <c r="H997" t="s">
        <v>24</v>
      </c>
      <c r="I997" t="s">
        <v>125</v>
      </c>
      <c r="J997" t="s">
        <v>126</v>
      </c>
      <c r="K997" t="s">
        <v>87</v>
      </c>
      <c r="L997" t="s">
        <v>1953</v>
      </c>
      <c r="M997" t="s">
        <v>29</v>
      </c>
      <c r="N997" t="s">
        <v>53</v>
      </c>
      <c r="O997" t="s">
        <v>1954</v>
      </c>
      <c r="P997">
        <v>6.4640000000000004</v>
      </c>
      <c r="Q997">
        <v>1</v>
      </c>
      <c r="R997">
        <v>-4.04</v>
      </c>
      <c r="S997" t="s">
        <v>32</v>
      </c>
    </row>
    <row r="998" spans="1:19" x14ac:dyDescent="0.35">
      <c r="A998" t="s">
        <v>2944</v>
      </c>
      <c r="B998" s="1">
        <v>41828</v>
      </c>
      <c r="C998" s="1">
        <v>41830</v>
      </c>
      <c r="D998" t="s">
        <v>81</v>
      </c>
      <c r="E998" t="s">
        <v>2098</v>
      </c>
      <c r="F998" t="s">
        <v>2099</v>
      </c>
      <c r="G998" t="s">
        <v>23</v>
      </c>
      <c r="H998" t="s">
        <v>24</v>
      </c>
      <c r="I998" t="s">
        <v>2945</v>
      </c>
      <c r="J998" t="s">
        <v>114</v>
      </c>
      <c r="K998" t="s">
        <v>63</v>
      </c>
      <c r="L998" t="s">
        <v>581</v>
      </c>
      <c r="M998" t="s">
        <v>29</v>
      </c>
      <c r="N998" t="s">
        <v>34</v>
      </c>
      <c r="O998" t="s">
        <v>582</v>
      </c>
      <c r="P998">
        <v>63.881999999999998</v>
      </c>
      <c r="Q998">
        <v>1</v>
      </c>
      <c r="R998">
        <v>10.647</v>
      </c>
      <c r="S998" t="s">
        <v>66</v>
      </c>
    </row>
    <row r="999" spans="1:19" x14ac:dyDescent="0.35">
      <c r="A999" t="s">
        <v>2946</v>
      </c>
      <c r="B999" s="1">
        <v>41950</v>
      </c>
      <c r="C999" s="1">
        <v>41955</v>
      </c>
      <c r="D999" t="s">
        <v>37</v>
      </c>
      <c r="E999" t="s">
        <v>189</v>
      </c>
      <c r="F999" t="s">
        <v>190</v>
      </c>
      <c r="G999" t="s">
        <v>23</v>
      </c>
      <c r="H999" t="s">
        <v>24</v>
      </c>
      <c r="I999" t="s">
        <v>95</v>
      </c>
      <c r="J999" t="s">
        <v>86</v>
      </c>
      <c r="K999" t="s">
        <v>87</v>
      </c>
      <c r="L999" t="s">
        <v>2068</v>
      </c>
      <c r="M999" t="s">
        <v>29</v>
      </c>
      <c r="N999" t="s">
        <v>34</v>
      </c>
      <c r="O999" t="s">
        <v>2069</v>
      </c>
      <c r="P999">
        <v>683.14400000000001</v>
      </c>
      <c r="Q999">
        <v>4</v>
      </c>
      <c r="R999">
        <v>0</v>
      </c>
      <c r="S999" t="s">
        <v>32</v>
      </c>
    </row>
    <row r="1000" spans="1:19" x14ac:dyDescent="0.35">
      <c r="A1000" t="s">
        <v>2947</v>
      </c>
      <c r="B1000" s="1">
        <v>42349</v>
      </c>
      <c r="C1000" s="1">
        <v>42354</v>
      </c>
      <c r="D1000" t="s">
        <v>37</v>
      </c>
      <c r="E1000" t="s">
        <v>1265</v>
      </c>
      <c r="F1000" t="s">
        <v>1266</v>
      </c>
      <c r="G1000" t="s">
        <v>23</v>
      </c>
      <c r="H1000" t="s">
        <v>24</v>
      </c>
      <c r="I1000" t="s">
        <v>345</v>
      </c>
      <c r="J1000" t="s">
        <v>172</v>
      </c>
      <c r="K1000" t="s">
        <v>51</v>
      </c>
      <c r="L1000" t="s">
        <v>1944</v>
      </c>
      <c r="M1000" t="s">
        <v>29</v>
      </c>
      <c r="N1000" t="s">
        <v>30</v>
      </c>
      <c r="O1000" t="s">
        <v>1945</v>
      </c>
      <c r="P1000">
        <v>69.575999999999993</v>
      </c>
      <c r="Q1000">
        <v>4</v>
      </c>
      <c r="R1000">
        <v>-143.79040000000001</v>
      </c>
      <c r="S1000" t="s">
        <v>90</v>
      </c>
    </row>
    <row r="1001" spans="1:19" x14ac:dyDescent="0.35">
      <c r="A1001" t="s">
        <v>2947</v>
      </c>
      <c r="B1001" s="1">
        <v>42349</v>
      </c>
      <c r="C1001" s="1">
        <v>42354</v>
      </c>
      <c r="D1001" t="s">
        <v>37</v>
      </c>
      <c r="E1001" t="s">
        <v>1265</v>
      </c>
      <c r="F1001" t="s">
        <v>1266</v>
      </c>
      <c r="G1001" t="s">
        <v>23</v>
      </c>
      <c r="H1001" t="s">
        <v>24</v>
      </c>
      <c r="I1001" t="s">
        <v>345</v>
      </c>
      <c r="J1001" t="s">
        <v>172</v>
      </c>
      <c r="K1001" t="s">
        <v>51</v>
      </c>
      <c r="L1001" t="s">
        <v>1339</v>
      </c>
      <c r="M1001" t="s">
        <v>29</v>
      </c>
      <c r="N1001" t="s">
        <v>53</v>
      </c>
      <c r="O1001" t="s">
        <v>1340</v>
      </c>
      <c r="P1001">
        <v>52.415999999999997</v>
      </c>
      <c r="Q1001">
        <v>9</v>
      </c>
      <c r="R1001">
        <v>15.069599999999999</v>
      </c>
      <c r="S1001" t="s">
        <v>90</v>
      </c>
    </row>
    <row r="1002" spans="1:19" x14ac:dyDescent="0.35">
      <c r="A1002" t="s">
        <v>2947</v>
      </c>
      <c r="B1002" s="1">
        <v>42349</v>
      </c>
      <c r="C1002" s="1">
        <v>42354</v>
      </c>
      <c r="D1002" t="s">
        <v>37</v>
      </c>
      <c r="E1002" t="s">
        <v>1265</v>
      </c>
      <c r="F1002" t="s">
        <v>1266</v>
      </c>
      <c r="G1002" t="s">
        <v>23</v>
      </c>
      <c r="H1002" t="s">
        <v>24</v>
      </c>
      <c r="I1002" t="s">
        <v>345</v>
      </c>
      <c r="J1002" t="s">
        <v>172</v>
      </c>
      <c r="K1002" t="s">
        <v>51</v>
      </c>
      <c r="L1002" t="s">
        <v>1281</v>
      </c>
      <c r="M1002" t="s">
        <v>29</v>
      </c>
      <c r="N1002" t="s">
        <v>53</v>
      </c>
      <c r="O1002" t="s">
        <v>1282</v>
      </c>
      <c r="P1002">
        <v>54.92</v>
      </c>
      <c r="Q1002">
        <v>5</v>
      </c>
      <c r="R1002">
        <v>10.984</v>
      </c>
      <c r="S1002" t="s">
        <v>90</v>
      </c>
    </row>
    <row r="1003" spans="1:19" x14ac:dyDescent="0.35">
      <c r="A1003" t="s">
        <v>2947</v>
      </c>
      <c r="B1003" s="1">
        <v>42349</v>
      </c>
      <c r="C1003" s="1">
        <v>42354</v>
      </c>
      <c r="D1003" t="s">
        <v>37</v>
      </c>
      <c r="E1003" t="s">
        <v>1265</v>
      </c>
      <c r="F1003" t="s">
        <v>1266</v>
      </c>
      <c r="G1003" t="s">
        <v>23</v>
      </c>
      <c r="H1003" t="s">
        <v>24</v>
      </c>
      <c r="I1003" t="s">
        <v>345</v>
      </c>
      <c r="J1003" t="s">
        <v>172</v>
      </c>
      <c r="K1003" t="s">
        <v>51</v>
      </c>
      <c r="L1003" t="s">
        <v>1891</v>
      </c>
      <c r="M1003" t="s">
        <v>29</v>
      </c>
      <c r="N1003" t="s">
        <v>43</v>
      </c>
      <c r="O1003" t="s">
        <v>1892</v>
      </c>
      <c r="P1003">
        <v>364.95</v>
      </c>
      <c r="Q1003">
        <v>5</v>
      </c>
      <c r="R1003">
        <v>-248.166</v>
      </c>
      <c r="S1003" t="s">
        <v>90</v>
      </c>
    </row>
    <row r="1004" spans="1:19" x14ac:dyDescent="0.35">
      <c r="A1004" t="s">
        <v>2948</v>
      </c>
      <c r="B1004" s="1">
        <v>42079</v>
      </c>
      <c r="C1004" s="1">
        <v>42086</v>
      </c>
      <c r="D1004" t="s">
        <v>37</v>
      </c>
      <c r="E1004" t="s">
        <v>2949</v>
      </c>
      <c r="F1004" t="s">
        <v>2950</v>
      </c>
      <c r="G1004" t="s">
        <v>84</v>
      </c>
      <c r="H1004" t="s">
        <v>24</v>
      </c>
      <c r="I1004" t="s">
        <v>49</v>
      </c>
      <c r="J1004" t="s">
        <v>50</v>
      </c>
      <c r="K1004" t="s">
        <v>51</v>
      </c>
      <c r="L1004" t="s">
        <v>2681</v>
      </c>
      <c r="M1004" t="s">
        <v>29</v>
      </c>
      <c r="N1004" t="s">
        <v>53</v>
      </c>
      <c r="O1004" t="s">
        <v>2682</v>
      </c>
      <c r="P1004">
        <v>43.13</v>
      </c>
      <c r="Q1004">
        <v>1</v>
      </c>
      <c r="R1004">
        <v>18.114599999999999</v>
      </c>
      <c r="S1004" t="s">
        <v>187</v>
      </c>
    </row>
    <row r="1005" spans="1:19" x14ac:dyDescent="0.35">
      <c r="A1005" t="s">
        <v>2951</v>
      </c>
      <c r="B1005" s="1">
        <v>42504</v>
      </c>
      <c r="C1005" s="1">
        <v>42509</v>
      </c>
      <c r="D1005" t="s">
        <v>37</v>
      </c>
      <c r="E1005" t="s">
        <v>418</v>
      </c>
      <c r="F1005" t="s">
        <v>419</v>
      </c>
      <c r="G1005" t="s">
        <v>84</v>
      </c>
      <c r="H1005" t="s">
        <v>24</v>
      </c>
      <c r="I1005" t="s">
        <v>597</v>
      </c>
      <c r="J1005" t="s">
        <v>41</v>
      </c>
      <c r="K1005" t="s">
        <v>27</v>
      </c>
      <c r="L1005" t="s">
        <v>2605</v>
      </c>
      <c r="M1005" t="s">
        <v>29</v>
      </c>
      <c r="N1005" t="s">
        <v>53</v>
      </c>
      <c r="O1005" t="s">
        <v>2606</v>
      </c>
      <c r="P1005">
        <v>30.192</v>
      </c>
      <c r="Q1005">
        <v>3</v>
      </c>
      <c r="R1005">
        <v>8.3027999999999995</v>
      </c>
      <c r="S1005" t="s">
        <v>153</v>
      </c>
    </row>
    <row r="1006" spans="1:19" x14ac:dyDescent="0.35">
      <c r="A1006" t="s">
        <v>2952</v>
      </c>
      <c r="B1006" s="1">
        <v>42929</v>
      </c>
      <c r="C1006" s="1">
        <v>42933</v>
      </c>
      <c r="D1006" t="s">
        <v>20</v>
      </c>
      <c r="E1006" t="s">
        <v>2624</v>
      </c>
      <c r="F1006" t="s">
        <v>2625</v>
      </c>
      <c r="G1006" t="s">
        <v>23</v>
      </c>
      <c r="H1006" t="s">
        <v>24</v>
      </c>
      <c r="I1006" t="s">
        <v>61</v>
      </c>
      <c r="J1006" t="s">
        <v>62</v>
      </c>
      <c r="K1006" t="s">
        <v>63</v>
      </c>
      <c r="L1006" t="s">
        <v>1825</v>
      </c>
      <c r="M1006" t="s">
        <v>29</v>
      </c>
      <c r="N1006" t="s">
        <v>53</v>
      </c>
      <c r="O1006" t="s">
        <v>1826</v>
      </c>
      <c r="P1006">
        <v>91.007999999999996</v>
      </c>
      <c r="Q1006">
        <v>9</v>
      </c>
      <c r="R1006">
        <v>19.339200000000002</v>
      </c>
      <c r="S1006" t="s">
        <v>66</v>
      </c>
    </row>
    <row r="1007" spans="1:19" x14ac:dyDescent="0.35">
      <c r="A1007" t="s">
        <v>2953</v>
      </c>
      <c r="B1007" s="1">
        <v>42688</v>
      </c>
      <c r="C1007" s="1">
        <v>42693</v>
      </c>
      <c r="D1007" t="s">
        <v>20</v>
      </c>
      <c r="E1007" t="s">
        <v>2954</v>
      </c>
      <c r="F1007" t="s">
        <v>2955</v>
      </c>
      <c r="G1007" t="s">
        <v>23</v>
      </c>
      <c r="H1007" t="s">
        <v>24</v>
      </c>
      <c r="I1007" t="s">
        <v>61</v>
      </c>
      <c r="J1007" t="s">
        <v>62</v>
      </c>
      <c r="K1007" t="s">
        <v>63</v>
      </c>
      <c r="L1007" t="s">
        <v>412</v>
      </c>
      <c r="M1007" t="s">
        <v>29</v>
      </c>
      <c r="N1007" t="s">
        <v>34</v>
      </c>
      <c r="O1007" t="s">
        <v>413</v>
      </c>
      <c r="P1007">
        <v>380.05799999999999</v>
      </c>
      <c r="Q1007">
        <v>3</v>
      </c>
      <c r="R1007">
        <v>-21.717600000000001</v>
      </c>
      <c r="S1007" t="s">
        <v>32</v>
      </c>
    </row>
    <row r="1008" spans="1:19" x14ac:dyDescent="0.35">
      <c r="A1008" t="s">
        <v>2953</v>
      </c>
      <c r="B1008" s="1">
        <v>42688</v>
      </c>
      <c r="C1008" s="1">
        <v>42693</v>
      </c>
      <c r="D1008" t="s">
        <v>20</v>
      </c>
      <c r="E1008" t="s">
        <v>2954</v>
      </c>
      <c r="F1008" t="s">
        <v>2955</v>
      </c>
      <c r="G1008" t="s">
        <v>23</v>
      </c>
      <c r="H1008" t="s">
        <v>24</v>
      </c>
      <c r="I1008" t="s">
        <v>61</v>
      </c>
      <c r="J1008" t="s">
        <v>62</v>
      </c>
      <c r="K1008" t="s">
        <v>63</v>
      </c>
      <c r="L1008" t="s">
        <v>2956</v>
      </c>
      <c r="M1008" t="s">
        <v>29</v>
      </c>
      <c r="N1008" t="s">
        <v>53</v>
      </c>
      <c r="O1008" t="s">
        <v>2957</v>
      </c>
      <c r="P1008">
        <v>48.576000000000001</v>
      </c>
      <c r="Q1008">
        <v>3</v>
      </c>
      <c r="R1008">
        <v>9.7151999999999994</v>
      </c>
      <c r="S1008" t="s">
        <v>32</v>
      </c>
    </row>
    <row r="1009" spans="1:19" x14ac:dyDescent="0.35">
      <c r="A1009" t="s">
        <v>2958</v>
      </c>
      <c r="B1009" s="1">
        <v>42695</v>
      </c>
      <c r="C1009" s="1">
        <v>42700</v>
      </c>
      <c r="D1009" t="s">
        <v>37</v>
      </c>
      <c r="E1009" t="s">
        <v>1350</v>
      </c>
      <c r="F1009" t="s">
        <v>1351</v>
      </c>
      <c r="G1009" t="s">
        <v>23</v>
      </c>
      <c r="H1009" t="s">
        <v>24</v>
      </c>
      <c r="I1009" t="s">
        <v>339</v>
      </c>
      <c r="J1009" t="s">
        <v>223</v>
      </c>
      <c r="K1009" t="s">
        <v>63</v>
      </c>
      <c r="L1009" t="s">
        <v>243</v>
      </c>
      <c r="M1009" t="s">
        <v>29</v>
      </c>
      <c r="N1009" t="s">
        <v>34</v>
      </c>
      <c r="O1009" t="s">
        <v>244</v>
      </c>
      <c r="P1009">
        <v>127.554</v>
      </c>
      <c r="Q1009">
        <v>3</v>
      </c>
      <c r="R1009">
        <v>-9.1110000000000007</v>
      </c>
      <c r="S1009" t="s">
        <v>32</v>
      </c>
    </row>
    <row r="1010" spans="1:19" x14ac:dyDescent="0.35">
      <c r="A1010" t="s">
        <v>2958</v>
      </c>
      <c r="B1010" s="1">
        <v>42695</v>
      </c>
      <c r="C1010" s="1">
        <v>42700</v>
      </c>
      <c r="D1010" t="s">
        <v>37</v>
      </c>
      <c r="E1010" t="s">
        <v>1350</v>
      </c>
      <c r="F1010" t="s">
        <v>1351</v>
      </c>
      <c r="G1010" t="s">
        <v>23</v>
      </c>
      <c r="H1010" t="s">
        <v>24</v>
      </c>
      <c r="I1010" t="s">
        <v>339</v>
      </c>
      <c r="J1010" t="s">
        <v>223</v>
      </c>
      <c r="K1010" t="s">
        <v>63</v>
      </c>
      <c r="L1010" t="s">
        <v>2046</v>
      </c>
      <c r="M1010" t="s">
        <v>29</v>
      </c>
      <c r="N1010" t="s">
        <v>53</v>
      </c>
      <c r="O1010" t="s">
        <v>2047</v>
      </c>
      <c r="P1010">
        <v>77.951999999999998</v>
      </c>
      <c r="Q1010">
        <v>3</v>
      </c>
      <c r="R1010">
        <v>15.590400000000001</v>
      </c>
      <c r="S1010" t="s">
        <v>32</v>
      </c>
    </row>
    <row r="1011" spans="1:19" x14ac:dyDescent="0.35">
      <c r="A1011" t="s">
        <v>2959</v>
      </c>
      <c r="B1011" s="1">
        <v>43059</v>
      </c>
      <c r="C1011" s="1">
        <v>43064</v>
      </c>
      <c r="D1011" t="s">
        <v>37</v>
      </c>
      <c r="E1011" t="s">
        <v>892</v>
      </c>
      <c r="F1011" t="s">
        <v>893</v>
      </c>
      <c r="G1011" t="s">
        <v>94</v>
      </c>
      <c r="H1011" t="s">
        <v>24</v>
      </c>
      <c r="I1011" t="s">
        <v>25</v>
      </c>
      <c r="J1011" t="s">
        <v>26</v>
      </c>
      <c r="K1011" t="s">
        <v>27</v>
      </c>
      <c r="L1011" t="s">
        <v>166</v>
      </c>
      <c r="M1011" t="s">
        <v>29</v>
      </c>
      <c r="N1011" t="s">
        <v>53</v>
      </c>
      <c r="O1011" t="s">
        <v>167</v>
      </c>
      <c r="P1011">
        <v>27.58</v>
      </c>
      <c r="Q1011">
        <v>2</v>
      </c>
      <c r="R1011">
        <v>11.583600000000001</v>
      </c>
      <c r="S1011" t="s">
        <v>32</v>
      </c>
    </row>
    <row r="1012" spans="1:19" x14ac:dyDescent="0.35">
      <c r="A1012" t="s">
        <v>2960</v>
      </c>
      <c r="B1012" s="1">
        <v>41890</v>
      </c>
      <c r="C1012" s="1">
        <v>41896</v>
      </c>
      <c r="D1012" t="s">
        <v>37</v>
      </c>
      <c r="E1012" t="s">
        <v>1394</v>
      </c>
      <c r="F1012" t="s">
        <v>1395</v>
      </c>
      <c r="G1012" t="s">
        <v>23</v>
      </c>
      <c r="H1012" t="s">
        <v>24</v>
      </c>
      <c r="I1012" t="s">
        <v>2961</v>
      </c>
      <c r="J1012" t="s">
        <v>184</v>
      </c>
      <c r="K1012" t="s">
        <v>51</v>
      </c>
      <c r="L1012" t="s">
        <v>33</v>
      </c>
      <c r="M1012" t="s">
        <v>29</v>
      </c>
      <c r="N1012" t="s">
        <v>34</v>
      </c>
      <c r="O1012" t="s">
        <v>35</v>
      </c>
      <c r="P1012">
        <v>975.92</v>
      </c>
      <c r="Q1012">
        <v>5</v>
      </c>
      <c r="R1012">
        <v>121.99</v>
      </c>
      <c r="S1012" t="s">
        <v>72</v>
      </c>
    </row>
    <row r="1013" spans="1:19" x14ac:dyDescent="0.35">
      <c r="A1013" t="s">
        <v>2962</v>
      </c>
      <c r="B1013" s="1">
        <v>41985</v>
      </c>
      <c r="C1013" s="1">
        <v>41988</v>
      </c>
      <c r="D1013" t="s">
        <v>20</v>
      </c>
      <c r="E1013" t="s">
        <v>318</v>
      </c>
      <c r="F1013" t="s">
        <v>319</v>
      </c>
      <c r="G1013" t="s">
        <v>23</v>
      </c>
      <c r="H1013" t="s">
        <v>24</v>
      </c>
      <c r="I1013" t="s">
        <v>1461</v>
      </c>
      <c r="J1013" t="s">
        <v>50</v>
      </c>
      <c r="K1013" t="s">
        <v>51</v>
      </c>
      <c r="L1013" t="s">
        <v>1302</v>
      </c>
      <c r="M1013" t="s">
        <v>29</v>
      </c>
      <c r="N1013" t="s">
        <v>53</v>
      </c>
      <c r="O1013" t="s">
        <v>1303</v>
      </c>
      <c r="P1013">
        <v>12.54</v>
      </c>
      <c r="Q1013">
        <v>3</v>
      </c>
      <c r="R1013">
        <v>4.5144000000000002</v>
      </c>
      <c r="S1013" t="s">
        <v>90</v>
      </c>
    </row>
    <row r="1014" spans="1:19" x14ac:dyDescent="0.35">
      <c r="A1014" t="s">
        <v>2962</v>
      </c>
      <c r="B1014" s="1">
        <v>41985</v>
      </c>
      <c r="C1014" s="1">
        <v>41988</v>
      </c>
      <c r="D1014" t="s">
        <v>20</v>
      </c>
      <c r="E1014" t="s">
        <v>318</v>
      </c>
      <c r="F1014" t="s">
        <v>319</v>
      </c>
      <c r="G1014" t="s">
        <v>23</v>
      </c>
      <c r="H1014" t="s">
        <v>24</v>
      </c>
      <c r="I1014" t="s">
        <v>1461</v>
      </c>
      <c r="J1014" t="s">
        <v>50</v>
      </c>
      <c r="K1014" t="s">
        <v>51</v>
      </c>
      <c r="L1014" t="s">
        <v>105</v>
      </c>
      <c r="M1014" t="s">
        <v>29</v>
      </c>
      <c r="N1014" t="s">
        <v>53</v>
      </c>
      <c r="O1014" t="s">
        <v>106</v>
      </c>
      <c r="P1014">
        <v>9.24</v>
      </c>
      <c r="Q1014">
        <v>3</v>
      </c>
      <c r="R1014">
        <v>4.4352</v>
      </c>
      <c r="S1014" t="s">
        <v>90</v>
      </c>
    </row>
    <row r="1015" spans="1:19" x14ac:dyDescent="0.35">
      <c r="A1015" t="s">
        <v>2963</v>
      </c>
      <c r="B1015" s="1">
        <v>42017</v>
      </c>
      <c r="C1015" s="1">
        <v>42021</v>
      </c>
      <c r="D1015" t="s">
        <v>37</v>
      </c>
      <c r="E1015" t="s">
        <v>455</v>
      </c>
      <c r="F1015" t="s">
        <v>456</v>
      </c>
      <c r="G1015" t="s">
        <v>23</v>
      </c>
      <c r="H1015" t="s">
        <v>24</v>
      </c>
      <c r="I1015" t="s">
        <v>49</v>
      </c>
      <c r="J1015" t="s">
        <v>50</v>
      </c>
      <c r="K1015" t="s">
        <v>51</v>
      </c>
      <c r="L1015" t="s">
        <v>355</v>
      </c>
      <c r="M1015" t="s">
        <v>29</v>
      </c>
      <c r="N1015" t="s">
        <v>53</v>
      </c>
      <c r="O1015" t="s">
        <v>356</v>
      </c>
      <c r="P1015">
        <v>77.599999999999994</v>
      </c>
      <c r="Q1015">
        <v>4</v>
      </c>
      <c r="R1015">
        <v>38.024000000000001</v>
      </c>
      <c r="S1015" t="s">
        <v>161</v>
      </c>
    </row>
    <row r="1016" spans="1:19" x14ac:dyDescent="0.35">
      <c r="A1016" t="s">
        <v>2963</v>
      </c>
      <c r="B1016" s="1">
        <v>42017</v>
      </c>
      <c r="C1016" s="1">
        <v>42021</v>
      </c>
      <c r="D1016" t="s">
        <v>37</v>
      </c>
      <c r="E1016" t="s">
        <v>455</v>
      </c>
      <c r="F1016" t="s">
        <v>456</v>
      </c>
      <c r="G1016" t="s">
        <v>23</v>
      </c>
      <c r="H1016" t="s">
        <v>24</v>
      </c>
      <c r="I1016" t="s">
        <v>49</v>
      </c>
      <c r="J1016" t="s">
        <v>50</v>
      </c>
      <c r="K1016" t="s">
        <v>51</v>
      </c>
      <c r="L1016" t="s">
        <v>2964</v>
      </c>
      <c r="M1016" t="s">
        <v>29</v>
      </c>
      <c r="N1016" t="s">
        <v>53</v>
      </c>
      <c r="O1016" t="s">
        <v>2965</v>
      </c>
      <c r="P1016">
        <v>464.85</v>
      </c>
      <c r="Q1016">
        <v>9</v>
      </c>
      <c r="R1016">
        <v>92.97</v>
      </c>
      <c r="S1016" t="s">
        <v>161</v>
      </c>
    </row>
    <row r="1017" spans="1:19" x14ac:dyDescent="0.35">
      <c r="A1017" t="s">
        <v>2966</v>
      </c>
      <c r="B1017" s="1">
        <v>43052</v>
      </c>
      <c r="C1017" s="1">
        <v>43057</v>
      </c>
      <c r="D1017" t="s">
        <v>37</v>
      </c>
      <c r="E1017" t="s">
        <v>2339</v>
      </c>
      <c r="F1017" t="s">
        <v>2340</v>
      </c>
      <c r="G1017" t="s">
        <v>23</v>
      </c>
      <c r="H1017" t="s">
        <v>24</v>
      </c>
      <c r="I1017" t="s">
        <v>183</v>
      </c>
      <c r="J1017" t="s">
        <v>184</v>
      </c>
      <c r="K1017" t="s">
        <v>51</v>
      </c>
      <c r="L1017" t="s">
        <v>550</v>
      </c>
      <c r="M1017" t="s">
        <v>29</v>
      </c>
      <c r="N1017" t="s">
        <v>34</v>
      </c>
      <c r="O1017" t="s">
        <v>551</v>
      </c>
      <c r="P1017">
        <v>2404.7040000000002</v>
      </c>
      <c r="Q1017">
        <v>6</v>
      </c>
      <c r="R1017">
        <v>150.29400000000001</v>
      </c>
      <c r="S1017" t="s">
        <v>32</v>
      </c>
    </row>
    <row r="1018" spans="1:19" x14ac:dyDescent="0.35">
      <c r="A1018" t="s">
        <v>2967</v>
      </c>
      <c r="B1018" s="1">
        <v>43041</v>
      </c>
      <c r="C1018" s="1">
        <v>43044</v>
      </c>
      <c r="D1018" t="s">
        <v>20</v>
      </c>
      <c r="E1018" t="s">
        <v>2968</v>
      </c>
      <c r="F1018" t="s">
        <v>2969</v>
      </c>
      <c r="G1018" t="s">
        <v>84</v>
      </c>
      <c r="H1018" t="s">
        <v>24</v>
      </c>
      <c r="I1018" t="s">
        <v>25</v>
      </c>
      <c r="J1018" t="s">
        <v>26</v>
      </c>
      <c r="K1018" t="s">
        <v>27</v>
      </c>
      <c r="L1018" t="s">
        <v>33</v>
      </c>
      <c r="M1018" t="s">
        <v>29</v>
      </c>
      <c r="N1018" t="s">
        <v>34</v>
      </c>
      <c r="O1018" t="s">
        <v>35</v>
      </c>
      <c r="P1018">
        <v>975.92</v>
      </c>
      <c r="Q1018">
        <v>4</v>
      </c>
      <c r="R1018">
        <v>292.77600000000001</v>
      </c>
      <c r="S1018" t="s">
        <v>32</v>
      </c>
    </row>
    <row r="1019" spans="1:19" x14ac:dyDescent="0.35">
      <c r="A1019" t="s">
        <v>2970</v>
      </c>
      <c r="B1019" s="1">
        <v>42702</v>
      </c>
      <c r="C1019" s="1">
        <v>42705</v>
      </c>
      <c r="D1019" t="s">
        <v>20</v>
      </c>
      <c r="E1019" t="s">
        <v>1703</v>
      </c>
      <c r="F1019" t="s">
        <v>1704</v>
      </c>
      <c r="G1019" t="s">
        <v>84</v>
      </c>
      <c r="H1019" t="s">
        <v>24</v>
      </c>
      <c r="I1019" t="s">
        <v>2971</v>
      </c>
      <c r="J1019" t="s">
        <v>658</v>
      </c>
      <c r="K1019" t="s">
        <v>27</v>
      </c>
      <c r="L1019" t="s">
        <v>290</v>
      </c>
      <c r="M1019" t="s">
        <v>29</v>
      </c>
      <c r="N1019" t="s">
        <v>34</v>
      </c>
      <c r="O1019" t="s">
        <v>291</v>
      </c>
      <c r="P1019">
        <v>182.67</v>
      </c>
      <c r="Q1019">
        <v>3</v>
      </c>
      <c r="R1019">
        <v>52.974299999999999</v>
      </c>
      <c r="S1019" t="s">
        <v>32</v>
      </c>
    </row>
    <row r="1020" spans="1:19" x14ac:dyDescent="0.35">
      <c r="A1020" t="s">
        <v>2972</v>
      </c>
      <c r="B1020" s="1">
        <v>41927</v>
      </c>
      <c r="C1020" s="1">
        <v>41929</v>
      </c>
      <c r="D1020" t="s">
        <v>81</v>
      </c>
      <c r="E1020" t="s">
        <v>2973</v>
      </c>
      <c r="F1020" t="s">
        <v>2974</v>
      </c>
      <c r="G1020" t="s">
        <v>23</v>
      </c>
      <c r="H1020" t="s">
        <v>24</v>
      </c>
      <c r="I1020" t="s">
        <v>2975</v>
      </c>
      <c r="J1020" t="s">
        <v>223</v>
      </c>
      <c r="K1020" t="s">
        <v>63</v>
      </c>
      <c r="L1020" t="s">
        <v>2035</v>
      </c>
      <c r="M1020" t="s">
        <v>29</v>
      </c>
      <c r="N1020" t="s">
        <v>34</v>
      </c>
      <c r="O1020" t="s">
        <v>2036</v>
      </c>
      <c r="P1020">
        <v>183.37200000000001</v>
      </c>
      <c r="Q1020">
        <v>2</v>
      </c>
      <c r="R1020">
        <v>-7.8587999999999996</v>
      </c>
      <c r="S1020" t="s">
        <v>45</v>
      </c>
    </row>
    <row r="1021" spans="1:19" x14ac:dyDescent="0.35">
      <c r="A1021" t="s">
        <v>2976</v>
      </c>
      <c r="B1021" s="1">
        <v>41974</v>
      </c>
      <c r="C1021" s="1">
        <v>41976</v>
      </c>
      <c r="D1021" t="s">
        <v>20</v>
      </c>
      <c r="E1021" t="s">
        <v>560</v>
      </c>
      <c r="F1021" t="s">
        <v>561</v>
      </c>
      <c r="G1021" t="s">
        <v>84</v>
      </c>
      <c r="H1021" t="s">
        <v>24</v>
      </c>
      <c r="I1021" t="s">
        <v>95</v>
      </c>
      <c r="J1021" t="s">
        <v>86</v>
      </c>
      <c r="K1021" t="s">
        <v>87</v>
      </c>
      <c r="L1021" t="s">
        <v>786</v>
      </c>
      <c r="M1021" t="s">
        <v>29</v>
      </c>
      <c r="N1021" t="s">
        <v>34</v>
      </c>
      <c r="O1021" t="s">
        <v>787</v>
      </c>
      <c r="P1021">
        <v>674.05799999999999</v>
      </c>
      <c r="Q1021">
        <v>3</v>
      </c>
      <c r="R1021">
        <v>-19.258800000000001</v>
      </c>
      <c r="S1021" t="s">
        <v>90</v>
      </c>
    </row>
    <row r="1022" spans="1:19" x14ac:dyDescent="0.35">
      <c r="A1022" t="s">
        <v>2977</v>
      </c>
      <c r="B1022" s="1">
        <v>43017</v>
      </c>
      <c r="C1022" s="1">
        <v>43019</v>
      </c>
      <c r="D1022" t="s">
        <v>20</v>
      </c>
      <c r="E1022" t="s">
        <v>1291</v>
      </c>
      <c r="F1022" t="s">
        <v>1292</v>
      </c>
      <c r="G1022" t="s">
        <v>23</v>
      </c>
      <c r="H1022" t="s">
        <v>24</v>
      </c>
      <c r="I1022" t="s">
        <v>2978</v>
      </c>
      <c r="J1022" t="s">
        <v>86</v>
      </c>
      <c r="K1022" t="s">
        <v>87</v>
      </c>
      <c r="L1022" t="s">
        <v>2979</v>
      </c>
      <c r="M1022" t="s">
        <v>29</v>
      </c>
      <c r="N1022" t="s">
        <v>34</v>
      </c>
      <c r="O1022" t="s">
        <v>2980</v>
      </c>
      <c r="P1022">
        <v>254.05799999999999</v>
      </c>
      <c r="Q1022">
        <v>3</v>
      </c>
      <c r="R1022">
        <v>-32.6646</v>
      </c>
      <c r="S1022" t="s">
        <v>45</v>
      </c>
    </row>
    <row r="1023" spans="1:19" x14ac:dyDescent="0.35">
      <c r="A1023" t="s">
        <v>2981</v>
      </c>
      <c r="B1023" s="1">
        <v>42371</v>
      </c>
      <c r="C1023" s="1">
        <v>42376</v>
      </c>
      <c r="D1023" t="s">
        <v>37</v>
      </c>
      <c r="E1023" t="s">
        <v>1819</v>
      </c>
      <c r="F1023" t="s">
        <v>1820</v>
      </c>
      <c r="G1023" t="s">
        <v>84</v>
      </c>
      <c r="H1023" t="s">
        <v>24</v>
      </c>
      <c r="I1023" t="s">
        <v>2982</v>
      </c>
      <c r="J1023" t="s">
        <v>1080</v>
      </c>
      <c r="K1023" t="s">
        <v>63</v>
      </c>
      <c r="L1023" t="s">
        <v>340</v>
      </c>
      <c r="M1023" t="s">
        <v>29</v>
      </c>
      <c r="N1023" t="s">
        <v>30</v>
      </c>
      <c r="O1023" t="s">
        <v>341</v>
      </c>
      <c r="P1023">
        <v>173.94</v>
      </c>
      <c r="Q1023">
        <v>3</v>
      </c>
      <c r="R1023">
        <v>38.266800000000003</v>
      </c>
      <c r="S1023" t="s">
        <v>161</v>
      </c>
    </row>
    <row r="1024" spans="1:19" x14ac:dyDescent="0.35">
      <c r="A1024" t="s">
        <v>2983</v>
      </c>
      <c r="B1024" s="1">
        <v>43027</v>
      </c>
      <c r="C1024" s="1">
        <v>43031</v>
      </c>
      <c r="D1024" t="s">
        <v>37</v>
      </c>
      <c r="E1024" t="s">
        <v>988</v>
      </c>
      <c r="F1024" t="s">
        <v>989</v>
      </c>
      <c r="G1024" t="s">
        <v>23</v>
      </c>
      <c r="H1024" t="s">
        <v>24</v>
      </c>
      <c r="I1024" t="s">
        <v>125</v>
      </c>
      <c r="J1024" t="s">
        <v>126</v>
      </c>
      <c r="K1024" t="s">
        <v>87</v>
      </c>
      <c r="L1024" t="s">
        <v>1225</v>
      </c>
      <c r="M1024" t="s">
        <v>29</v>
      </c>
      <c r="N1024" t="s">
        <v>43</v>
      </c>
      <c r="O1024" t="s">
        <v>1226</v>
      </c>
      <c r="P1024">
        <v>91.275000000000006</v>
      </c>
      <c r="Q1024">
        <v>1</v>
      </c>
      <c r="R1024">
        <v>-67.543499999999995</v>
      </c>
      <c r="S1024" t="s">
        <v>45</v>
      </c>
    </row>
    <row r="1025" spans="1:19" x14ac:dyDescent="0.35">
      <c r="A1025" t="s">
        <v>2984</v>
      </c>
      <c r="B1025" s="1">
        <v>43070</v>
      </c>
      <c r="C1025" s="1">
        <v>43075</v>
      </c>
      <c r="D1025" t="s">
        <v>37</v>
      </c>
      <c r="E1025" t="s">
        <v>196</v>
      </c>
      <c r="F1025" t="s">
        <v>197</v>
      </c>
      <c r="G1025" t="s">
        <v>94</v>
      </c>
      <c r="H1025" t="s">
        <v>24</v>
      </c>
      <c r="I1025" t="s">
        <v>1571</v>
      </c>
      <c r="J1025" t="s">
        <v>421</v>
      </c>
      <c r="K1025" t="s">
        <v>63</v>
      </c>
      <c r="L1025" t="s">
        <v>1576</v>
      </c>
      <c r="M1025" t="s">
        <v>29</v>
      </c>
      <c r="N1025" t="s">
        <v>34</v>
      </c>
      <c r="O1025" t="s">
        <v>1577</v>
      </c>
      <c r="P1025">
        <v>897.15</v>
      </c>
      <c r="Q1025">
        <v>3</v>
      </c>
      <c r="R1025">
        <v>251.202</v>
      </c>
      <c r="S1025" t="s">
        <v>90</v>
      </c>
    </row>
    <row r="1026" spans="1:19" x14ac:dyDescent="0.35">
      <c r="A1026" t="s">
        <v>2985</v>
      </c>
      <c r="B1026" s="1">
        <v>41652</v>
      </c>
      <c r="C1026" s="1">
        <v>41657</v>
      </c>
      <c r="D1026" t="s">
        <v>37</v>
      </c>
      <c r="E1026" t="s">
        <v>1051</v>
      </c>
      <c r="F1026" t="s">
        <v>1052</v>
      </c>
      <c r="G1026" t="s">
        <v>23</v>
      </c>
      <c r="H1026" t="s">
        <v>24</v>
      </c>
      <c r="I1026" t="s">
        <v>320</v>
      </c>
      <c r="J1026" t="s">
        <v>50</v>
      </c>
      <c r="K1026" t="s">
        <v>51</v>
      </c>
      <c r="L1026" t="s">
        <v>1627</v>
      </c>
      <c r="M1026" t="s">
        <v>29</v>
      </c>
      <c r="N1026" t="s">
        <v>30</v>
      </c>
      <c r="O1026" t="s">
        <v>1628</v>
      </c>
      <c r="P1026">
        <v>333.99900000000002</v>
      </c>
      <c r="Q1026">
        <v>3</v>
      </c>
      <c r="R1026">
        <v>3.9293999999999998</v>
      </c>
      <c r="S1026" t="s">
        <v>161</v>
      </c>
    </row>
    <row r="1027" spans="1:19" x14ac:dyDescent="0.35">
      <c r="A1027" t="s">
        <v>2986</v>
      </c>
      <c r="B1027" s="1">
        <v>42041</v>
      </c>
      <c r="C1027" s="1">
        <v>42048</v>
      </c>
      <c r="D1027" t="s">
        <v>37</v>
      </c>
      <c r="E1027" t="s">
        <v>1741</v>
      </c>
      <c r="F1027" t="s">
        <v>1742</v>
      </c>
      <c r="G1027" t="s">
        <v>23</v>
      </c>
      <c r="H1027" t="s">
        <v>24</v>
      </c>
      <c r="I1027" t="s">
        <v>191</v>
      </c>
      <c r="J1027" t="s">
        <v>192</v>
      </c>
      <c r="K1027" t="s">
        <v>63</v>
      </c>
      <c r="L1027" t="s">
        <v>1132</v>
      </c>
      <c r="M1027" t="s">
        <v>29</v>
      </c>
      <c r="N1027" t="s">
        <v>34</v>
      </c>
      <c r="O1027" t="s">
        <v>1133</v>
      </c>
      <c r="P1027">
        <v>1268.82</v>
      </c>
      <c r="Q1027">
        <v>9</v>
      </c>
      <c r="R1027">
        <v>266.4522</v>
      </c>
      <c r="S1027" t="s">
        <v>289</v>
      </c>
    </row>
    <row r="1028" spans="1:19" x14ac:dyDescent="0.35">
      <c r="A1028" t="s">
        <v>2986</v>
      </c>
      <c r="B1028" s="1">
        <v>42041</v>
      </c>
      <c r="C1028" s="1">
        <v>42048</v>
      </c>
      <c r="D1028" t="s">
        <v>37</v>
      </c>
      <c r="E1028" t="s">
        <v>1741</v>
      </c>
      <c r="F1028" t="s">
        <v>1742</v>
      </c>
      <c r="G1028" t="s">
        <v>23</v>
      </c>
      <c r="H1028" t="s">
        <v>24</v>
      </c>
      <c r="I1028" t="s">
        <v>191</v>
      </c>
      <c r="J1028" t="s">
        <v>192</v>
      </c>
      <c r="K1028" t="s">
        <v>63</v>
      </c>
      <c r="L1028" t="s">
        <v>2411</v>
      </c>
      <c r="M1028" t="s">
        <v>29</v>
      </c>
      <c r="N1028" t="s">
        <v>30</v>
      </c>
      <c r="O1028" t="s">
        <v>2412</v>
      </c>
      <c r="P1028">
        <v>283.92</v>
      </c>
      <c r="Q1028">
        <v>4</v>
      </c>
      <c r="R1028">
        <v>82.336799999999997</v>
      </c>
      <c r="S1028" t="s">
        <v>289</v>
      </c>
    </row>
    <row r="1029" spans="1:19" x14ac:dyDescent="0.35">
      <c r="A1029" t="s">
        <v>2987</v>
      </c>
      <c r="B1029" s="1">
        <v>43066</v>
      </c>
      <c r="C1029" s="1">
        <v>43071</v>
      </c>
      <c r="D1029" t="s">
        <v>37</v>
      </c>
      <c r="E1029" t="s">
        <v>590</v>
      </c>
      <c r="F1029" t="s">
        <v>591</v>
      </c>
      <c r="G1029" t="s">
        <v>23</v>
      </c>
      <c r="H1029" t="s">
        <v>24</v>
      </c>
      <c r="I1029" t="s">
        <v>49</v>
      </c>
      <c r="J1029" t="s">
        <v>50</v>
      </c>
      <c r="K1029" t="s">
        <v>51</v>
      </c>
      <c r="L1029" t="s">
        <v>668</v>
      </c>
      <c r="M1029" t="s">
        <v>29</v>
      </c>
      <c r="N1029" t="s">
        <v>53</v>
      </c>
      <c r="O1029" t="s">
        <v>669</v>
      </c>
      <c r="P1029">
        <v>18.84</v>
      </c>
      <c r="Q1029">
        <v>3</v>
      </c>
      <c r="R1029">
        <v>6.0288000000000004</v>
      </c>
      <c r="S1029" t="s">
        <v>32</v>
      </c>
    </row>
    <row r="1030" spans="1:19" x14ac:dyDescent="0.35">
      <c r="A1030" t="s">
        <v>2988</v>
      </c>
      <c r="B1030" s="1">
        <v>41799</v>
      </c>
      <c r="C1030" s="1">
        <v>41803</v>
      </c>
      <c r="D1030" t="s">
        <v>20</v>
      </c>
      <c r="E1030" t="s">
        <v>378</v>
      </c>
      <c r="F1030" t="s">
        <v>379</v>
      </c>
      <c r="G1030" t="s">
        <v>84</v>
      </c>
      <c r="H1030" t="s">
        <v>24</v>
      </c>
      <c r="I1030" t="s">
        <v>1330</v>
      </c>
      <c r="J1030" t="s">
        <v>1331</v>
      </c>
      <c r="K1030" t="s">
        <v>51</v>
      </c>
      <c r="L1030" t="s">
        <v>2174</v>
      </c>
      <c r="M1030" t="s">
        <v>29</v>
      </c>
      <c r="N1030" t="s">
        <v>53</v>
      </c>
      <c r="O1030" t="s">
        <v>2175</v>
      </c>
      <c r="P1030">
        <v>37.4</v>
      </c>
      <c r="Q1030">
        <v>2</v>
      </c>
      <c r="R1030">
        <v>14.212</v>
      </c>
      <c r="S1030" t="s">
        <v>55</v>
      </c>
    </row>
    <row r="1031" spans="1:19" x14ac:dyDescent="0.35">
      <c r="A1031" t="s">
        <v>2989</v>
      </c>
      <c r="B1031" s="1">
        <v>41705</v>
      </c>
      <c r="C1031" s="1">
        <v>41706</v>
      </c>
      <c r="D1031" t="s">
        <v>81</v>
      </c>
      <c r="E1031" t="s">
        <v>2990</v>
      </c>
      <c r="F1031" t="s">
        <v>2991</v>
      </c>
      <c r="G1031" t="s">
        <v>23</v>
      </c>
      <c r="H1031" t="s">
        <v>24</v>
      </c>
      <c r="I1031" t="s">
        <v>183</v>
      </c>
      <c r="J1031" t="s">
        <v>184</v>
      </c>
      <c r="K1031" t="s">
        <v>51</v>
      </c>
      <c r="L1031" t="s">
        <v>290</v>
      </c>
      <c r="M1031" t="s">
        <v>29</v>
      </c>
      <c r="N1031" t="s">
        <v>34</v>
      </c>
      <c r="O1031" t="s">
        <v>291</v>
      </c>
      <c r="P1031">
        <v>48.712000000000003</v>
      </c>
      <c r="Q1031">
        <v>1</v>
      </c>
      <c r="R1031">
        <v>5.4801000000000002</v>
      </c>
      <c r="S1031" t="s">
        <v>187</v>
      </c>
    </row>
    <row r="1032" spans="1:19" x14ac:dyDescent="0.35">
      <c r="A1032" t="s">
        <v>2992</v>
      </c>
      <c r="B1032" s="1">
        <v>42218</v>
      </c>
      <c r="C1032" s="1">
        <v>42221</v>
      </c>
      <c r="D1032" t="s">
        <v>20</v>
      </c>
      <c r="E1032" t="s">
        <v>1850</v>
      </c>
      <c r="F1032" t="s">
        <v>1851</v>
      </c>
      <c r="G1032" t="s">
        <v>94</v>
      </c>
      <c r="H1032" t="s">
        <v>24</v>
      </c>
      <c r="I1032" t="s">
        <v>1635</v>
      </c>
      <c r="J1032" t="s">
        <v>1636</v>
      </c>
      <c r="K1032" t="s">
        <v>63</v>
      </c>
      <c r="L1032" t="s">
        <v>1155</v>
      </c>
      <c r="M1032" t="s">
        <v>29</v>
      </c>
      <c r="N1032" t="s">
        <v>34</v>
      </c>
      <c r="O1032" t="s">
        <v>1156</v>
      </c>
      <c r="P1032">
        <v>110.98</v>
      </c>
      <c r="Q1032">
        <v>1</v>
      </c>
      <c r="R1032">
        <v>15.5372</v>
      </c>
      <c r="S1032" t="s">
        <v>245</v>
      </c>
    </row>
    <row r="1033" spans="1:19" x14ac:dyDescent="0.35">
      <c r="A1033" t="s">
        <v>2993</v>
      </c>
      <c r="B1033" s="1">
        <v>42680</v>
      </c>
      <c r="C1033" s="1">
        <v>42683</v>
      </c>
      <c r="D1033" t="s">
        <v>81</v>
      </c>
      <c r="E1033" t="s">
        <v>343</v>
      </c>
      <c r="F1033" t="s">
        <v>344</v>
      </c>
      <c r="G1033" t="s">
        <v>84</v>
      </c>
      <c r="H1033" t="s">
        <v>24</v>
      </c>
      <c r="I1033" t="s">
        <v>597</v>
      </c>
      <c r="J1033" t="s">
        <v>41</v>
      </c>
      <c r="K1033" t="s">
        <v>27</v>
      </c>
      <c r="L1033" t="s">
        <v>134</v>
      </c>
      <c r="M1033" t="s">
        <v>29</v>
      </c>
      <c r="N1033" t="s">
        <v>34</v>
      </c>
      <c r="O1033" t="s">
        <v>135</v>
      </c>
      <c r="P1033">
        <v>207.98400000000001</v>
      </c>
      <c r="Q1033">
        <v>2</v>
      </c>
      <c r="R1033">
        <v>-28.597799999999999</v>
      </c>
      <c r="S1033" t="s">
        <v>32</v>
      </c>
    </row>
    <row r="1034" spans="1:19" x14ac:dyDescent="0.35">
      <c r="A1034" t="s">
        <v>2993</v>
      </c>
      <c r="B1034" s="1">
        <v>42680</v>
      </c>
      <c r="C1034" s="1">
        <v>42683</v>
      </c>
      <c r="D1034" t="s">
        <v>81</v>
      </c>
      <c r="E1034" t="s">
        <v>343</v>
      </c>
      <c r="F1034" t="s">
        <v>344</v>
      </c>
      <c r="G1034" t="s">
        <v>84</v>
      </c>
      <c r="H1034" t="s">
        <v>24</v>
      </c>
      <c r="I1034" t="s">
        <v>597</v>
      </c>
      <c r="J1034" t="s">
        <v>41</v>
      </c>
      <c r="K1034" t="s">
        <v>27</v>
      </c>
      <c r="L1034" t="s">
        <v>821</v>
      </c>
      <c r="M1034" t="s">
        <v>29</v>
      </c>
      <c r="N1034" t="s">
        <v>53</v>
      </c>
      <c r="O1034" t="s">
        <v>822</v>
      </c>
      <c r="P1034">
        <v>35.567999999999998</v>
      </c>
      <c r="Q1034">
        <v>2</v>
      </c>
      <c r="R1034">
        <v>5.7797999999999998</v>
      </c>
      <c r="S1034" t="s">
        <v>32</v>
      </c>
    </row>
    <row r="1035" spans="1:19" x14ac:dyDescent="0.35">
      <c r="A1035" t="s">
        <v>2994</v>
      </c>
      <c r="B1035" s="1">
        <v>42484</v>
      </c>
      <c r="C1035" s="1">
        <v>42488</v>
      </c>
      <c r="D1035" t="s">
        <v>37</v>
      </c>
      <c r="E1035" t="s">
        <v>2995</v>
      </c>
      <c r="F1035" t="s">
        <v>2996</v>
      </c>
      <c r="G1035" t="s">
        <v>94</v>
      </c>
      <c r="H1035" t="s">
        <v>24</v>
      </c>
      <c r="I1035" t="s">
        <v>345</v>
      </c>
      <c r="J1035" t="s">
        <v>172</v>
      </c>
      <c r="K1035" t="s">
        <v>51</v>
      </c>
      <c r="L1035" t="s">
        <v>238</v>
      </c>
      <c r="M1035" t="s">
        <v>29</v>
      </c>
      <c r="N1035" t="s">
        <v>34</v>
      </c>
      <c r="O1035" t="s">
        <v>239</v>
      </c>
      <c r="P1035">
        <v>1325.76</v>
      </c>
      <c r="Q1035">
        <v>6</v>
      </c>
      <c r="R1035">
        <v>149.148</v>
      </c>
      <c r="S1035" t="s">
        <v>107</v>
      </c>
    </row>
    <row r="1036" spans="1:19" x14ac:dyDescent="0.35">
      <c r="A1036" t="s">
        <v>2997</v>
      </c>
      <c r="B1036" s="1">
        <v>42356</v>
      </c>
      <c r="C1036" s="1">
        <v>42363</v>
      </c>
      <c r="D1036" t="s">
        <v>37</v>
      </c>
      <c r="E1036" t="s">
        <v>2998</v>
      </c>
      <c r="F1036" t="s">
        <v>2999</v>
      </c>
      <c r="G1036" t="s">
        <v>84</v>
      </c>
      <c r="H1036" t="s">
        <v>24</v>
      </c>
      <c r="I1036" t="s">
        <v>132</v>
      </c>
      <c r="J1036" t="s">
        <v>133</v>
      </c>
      <c r="K1036" t="s">
        <v>27</v>
      </c>
      <c r="L1036" t="s">
        <v>652</v>
      </c>
      <c r="M1036" t="s">
        <v>29</v>
      </c>
      <c r="N1036" t="s">
        <v>53</v>
      </c>
      <c r="O1036" t="s">
        <v>653</v>
      </c>
      <c r="P1036">
        <v>20.32</v>
      </c>
      <c r="Q1036">
        <v>5</v>
      </c>
      <c r="R1036">
        <v>3.556</v>
      </c>
      <c r="S1036" t="s">
        <v>90</v>
      </c>
    </row>
    <row r="1037" spans="1:19" x14ac:dyDescent="0.35">
      <c r="A1037" t="s">
        <v>3000</v>
      </c>
      <c r="B1037" s="1">
        <v>42866</v>
      </c>
      <c r="C1037" s="1">
        <v>42868</v>
      </c>
      <c r="D1037" t="s">
        <v>81</v>
      </c>
      <c r="E1037" t="s">
        <v>1308</v>
      </c>
      <c r="F1037" t="s">
        <v>1309</v>
      </c>
      <c r="G1037" t="s">
        <v>84</v>
      </c>
      <c r="H1037" t="s">
        <v>24</v>
      </c>
      <c r="I1037" t="s">
        <v>510</v>
      </c>
      <c r="J1037" t="s">
        <v>511</v>
      </c>
      <c r="K1037" t="s">
        <v>51</v>
      </c>
      <c r="L1037" t="s">
        <v>1127</v>
      </c>
      <c r="M1037" t="s">
        <v>29</v>
      </c>
      <c r="N1037" t="s">
        <v>30</v>
      </c>
      <c r="O1037" t="s">
        <v>1128</v>
      </c>
      <c r="P1037">
        <v>209.97900000000001</v>
      </c>
      <c r="Q1037">
        <v>7</v>
      </c>
      <c r="R1037">
        <v>-356.96429999999998</v>
      </c>
      <c r="S1037" t="s">
        <v>153</v>
      </c>
    </row>
    <row r="1038" spans="1:19" x14ac:dyDescent="0.35">
      <c r="A1038" t="s">
        <v>3001</v>
      </c>
      <c r="B1038" s="1">
        <v>41967</v>
      </c>
      <c r="C1038" s="1">
        <v>41972</v>
      </c>
      <c r="D1038" t="s">
        <v>37</v>
      </c>
      <c r="E1038" t="s">
        <v>2366</v>
      </c>
      <c r="F1038" t="s">
        <v>2367</v>
      </c>
      <c r="G1038" t="s">
        <v>23</v>
      </c>
      <c r="H1038" t="s">
        <v>24</v>
      </c>
      <c r="I1038" t="s">
        <v>2522</v>
      </c>
      <c r="J1038" t="s">
        <v>223</v>
      </c>
      <c r="K1038" t="s">
        <v>63</v>
      </c>
      <c r="L1038" t="s">
        <v>263</v>
      </c>
      <c r="M1038" t="s">
        <v>29</v>
      </c>
      <c r="N1038" t="s">
        <v>53</v>
      </c>
      <c r="O1038" t="s">
        <v>264</v>
      </c>
      <c r="P1038">
        <v>35.167999999999999</v>
      </c>
      <c r="Q1038">
        <v>7</v>
      </c>
      <c r="R1038">
        <v>9.6712000000000007</v>
      </c>
      <c r="S1038" t="s">
        <v>32</v>
      </c>
    </row>
    <row r="1039" spans="1:19" x14ac:dyDescent="0.35">
      <c r="A1039" t="s">
        <v>3002</v>
      </c>
      <c r="B1039" s="1">
        <v>41958</v>
      </c>
      <c r="C1039" s="1">
        <v>41961</v>
      </c>
      <c r="D1039" t="s">
        <v>81</v>
      </c>
      <c r="E1039" t="s">
        <v>3003</v>
      </c>
      <c r="F1039" t="s">
        <v>3004</v>
      </c>
      <c r="G1039" t="s">
        <v>23</v>
      </c>
      <c r="H1039" t="s">
        <v>24</v>
      </c>
      <c r="I1039" t="s">
        <v>49</v>
      </c>
      <c r="J1039" t="s">
        <v>50</v>
      </c>
      <c r="K1039" t="s">
        <v>51</v>
      </c>
      <c r="L1039" t="s">
        <v>311</v>
      </c>
      <c r="M1039" t="s">
        <v>29</v>
      </c>
      <c r="N1039" t="s">
        <v>53</v>
      </c>
      <c r="O1039" t="s">
        <v>312</v>
      </c>
      <c r="P1039">
        <v>10.11</v>
      </c>
      <c r="Q1039">
        <v>3</v>
      </c>
      <c r="R1039">
        <v>3.2351999999999999</v>
      </c>
      <c r="S1039" t="s">
        <v>32</v>
      </c>
    </row>
    <row r="1040" spans="1:19" x14ac:dyDescent="0.35">
      <c r="A1040" t="s">
        <v>3005</v>
      </c>
      <c r="B1040" s="1">
        <v>42722</v>
      </c>
      <c r="C1040" s="1">
        <v>42728</v>
      </c>
      <c r="D1040" t="s">
        <v>37</v>
      </c>
      <c r="E1040" t="s">
        <v>528</v>
      </c>
      <c r="F1040" t="s">
        <v>529</v>
      </c>
      <c r="G1040" t="s">
        <v>23</v>
      </c>
      <c r="H1040" t="s">
        <v>24</v>
      </c>
      <c r="I1040" t="s">
        <v>630</v>
      </c>
      <c r="J1040" t="s">
        <v>50</v>
      </c>
      <c r="K1040" t="s">
        <v>51</v>
      </c>
      <c r="L1040" t="s">
        <v>2650</v>
      </c>
      <c r="M1040" t="s">
        <v>29</v>
      </c>
      <c r="N1040" t="s">
        <v>53</v>
      </c>
      <c r="O1040" t="s">
        <v>2651</v>
      </c>
      <c r="P1040">
        <v>39.92</v>
      </c>
      <c r="Q1040">
        <v>4</v>
      </c>
      <c r="R1040">
        <v>11.1776</v>
      </c>
      <c r="S1040" t="s">
        <v>90</v>
      </c>
    </row>
    <row r="1041" spans="1:19" x14ac:dyDescent="0.35">
      <c r="A1041" t="s">
        <v>3006</v>
      </c>
      <c r="B1041" s="1">
        <v>42945</v>
      </c>
      <c r="C1041" s="1">
        <v>42950</v>
      </c>
      <c r="D1041" t="s">
        <v>37</v>
      </c>
      <c r="E1041" t="s">
        <v>764</v>
      </c>
      <c r="F1041" t="s">
        <v>765</v>
      </c>
      <c r="G1041" t="s">
        <v>23</v>
      </c>
      <c r="H1041" t="s">
        <v>24</v>
      </c>
      <c r="I1041" t="s">
        <v>3007</v>
      </c>
      <c r="J1041" t="s">
        <v>1513</v>
      </c>
      <c r="K1041" t="s">
        <v>87</v>
      </c>
      <c r="L1041" t="s">
        <v>3008</v>
      </c>
      <c r="M1041" t="s">
        <v>29</v>
      </c>
      <c r="N1041" t="s">
        <v>34</v>
      </c>
      <c r="O1041" t="s">
        <v>3009</v>
      </c>
      <c r="P1041">
        <v>302.67</v>
      </c>
      <c r="Q1041">
        <v>3</v>
      </c>
      <c r="R1041">
        <v>72.640799999999999</v>
      </c>
      <c r="S1041" t="s">
        <v>66</v>
      </c>
    </row>
    <row r="1042" spans="1:19" x14ac:dyDescent="0.35">
      <c r="A1042" t="s">
        <v>3010</v>
      </c>
      <c r="B1042" s="1">
        <v>42730</v>
      </c>
      <c r="C1042" s="1">
        <v>42737</v>
      </c>
      <c r="D1042" t="s">
        <v>37</v>
      </c>
      <c r="E1042" t="s">
        <v>1926</v>
      </c>
      <c r="F1042" t="s">
        <v>1927</v>
      </c>
      <c r="G1042" t="s">
        <v>84</v>
      </c>
      <c r="H1042" t="s">
        <v>24</v>
      </c>
      <c r="I1042" t="s">
        <v>1286</v>
      </c>
      <c r="J1042" t="s">
        <v>354</v>
      </c>
      <c r="K1042" t="s">
        <v>63</v>
      </c>
      <c r="L1042" t="s">
        <v>115</v>
      </c>
      <c r="M1042" t="s">
        <v>29</v>
      </c>
      <c r="N1042" t="s">
        <v>34</v>
      </c>
      <c r="O1042" t="s">
        <v>116</v>
      </c>
      <c r="P1042">
        <v>212.94</v>
      </c>
      <c r="Q1042">
        <v>3</v>
      </c>
      <c r="R1042">
        <v>25.552800000000001</v>
      </c>
      <c r="S1042" t="s">
        <v>90</v>
      </c>
    </row>
    <row r="1043" spans="1:19" x14ac:dyDescent="0.35">
      <c r="A1043" t="s">
        <v>3011</v>
      </c>
      <c r="B1043" s="1">
        <v>42225</v>
      </c>
      <c r="C1043" s="1">
        <v>42229</v>
      </c>
      <c r="D1043" t="s">
        <v>20</v>
      </c>
      <c r="E1043" t="s">
        <v>3012</v>
      </c>
      <c r="F1043" t="s">
        <v>3013</v>
      </c>
      <c r="G1043" t="s">
        <v>94</v>
      </c>
      <c r="H1043" t="s">
        <v>24</v>
      </c>
      <c r="I1043" t="s">
        <v>896</v>
      </c>
      <c r="J1043" t="s">
        <v>230</v>
      </c>
      <c r="K1043" t="s">
        <v>87</v>
      </c>
      <c r="L1043" t="s">
        <v>2795</v>
      </c>
      <c r="M1043" t="s">
        <v>29</v>
      </c>
      <c r="N1043" t="s">
        <v>30</v>
      </c>
      <c r="O1043" t="s">
        <v>2796</v>
      </c>
      <c r="P1043">
        <v>687.4</v>
      </c>
      <c r="Q1043">
        <v>5</v>
      </c>
      <c r="R1043">
        <v>48.118000000000002</v>
      </c>
      <c r="S1043" t="s">
        <v>245</v>
      </c>
    </row>
    <row r="1044" spans="1:19" x14ac:dyDescent="0.35">
      <c r="A1044" t="s">
        <v>3014</v>
      </c>
      <c r="B1044" s="1">
        <v>41735</v>
      </c>
      <c r="C1044" s="1">
        <v>41741</v>
      </c>
      <c r="D1044" t="s">
        <v>37</v>
      </c>
      <c r="E1044" t="s">
        <v>1829</v>
      </c>
      <c r="F1044" t="s">
        <v>1830</v>
      </c>
      <c r="G1044" t="s">
        <v>84</v>
      </c>
      <c r="H1044" t="s">
        <v>24</v>
      </c>
      <c r="I1044" t="s">
        <v>183</v>
      </c>
      <c r="J1044" t="s">
        <v>184</v>
      </c>
      <c r="K1044" t="s">
        <v>51</v>
      </c>
      <c r="L1044" t="s">
        <v>690</v>
      </c>
      <c r="M1044" t="s">
        <v>29</v>
      </c>
      <c r="N1044" t="s">
        <v>43</v>
      </c>
      <c r="O1044" t="s">
        <v>691</v>
      </c>
      <c r="P1044">
        <v>653.54999999999995</v>
      </c>
      <c r="Q1044">
        <v>3</v>
      </c>
      <c r="R1044">
        <v>111.1035</v>
      </c>
      <c r="S1044" t="s">
        <v>107</v>
      </c>
    </row>
    <row r="1045" spans="1:19" x14ac:dyDescent="0.35">
      <c r="A1045" t="s">
        <v>3015</v>
      </c>
      <c r="B1045" s="1">
        <v>42196</v>
      </c>
      <c r="C1045" s="1">
        <v>42197</v>
      </c>
      <c r="D1045" t="s">
        <v>81</v>
      </c>
      <c r="E1045" t="s">
        <v>1308</v>
      </c>
      <c r="F1045" t="s">
        <v>1309</v>
      </c>
      <c r="G1045" t="s">
        <v>84</v>
      </c>
      <c r="H1045" t="s">
        <v>24</v>
      </c>
      <c r="I1045" t="s">
        <v>191</v>
      </c>
      <c r="J1045" t="s">
        <v>192</v>
      </c>
      <c r="K1045" t="s">
        <v>63</v>
      </c>
      <c r="L1045" t="s">
        <v>898</v>
      </c>
      <c r="M1045" t="s">
        <v>29</v>
      </c>
      <c r="N1045" t="s">
        <v>43</v>
      </c>
      <c r="O1045" t="s">
        <v>899</v>
      </c>
      <c r="P1045">
        <v>199.83600000000001</v>
      </c>
      <c r="Q1045">
        <v>4</v>
      </c>
      <c r="R1045">
        <v>-37.112400000000001</v>
      </c>
      <c r="S1045" t="s">
        <v>66</v>
      </c>
    </row>
    <row r="1046" spans="1:19" x14ac:dyDescent="0.35">
      <c r="A1046" t="s">
        <v>3016</v>
      </c>
      <c r="B1046" s="1">
        <v>42684</v>
      </c>
      <c r="C1046" s="1">
        <v>42687</v>
      </c>
      <c r="D1046" t="s">
        <v>20</v>
      </c>
      <c r="E1046" t="s">
        <v>1325</v>
      </c>
      <c r="F1046" t="s">
        <v>1326</v>
      </c>
      <c r="G1046" t="s">
        <v>23</v>
      </c>
      <c r="H1046" t="s">
        <v>24</v>
      </c>
      <c r="I1046" t="s">
        <v>49</v>
      </c>
      <c r="J1046" t="s">
        <v>50</v>
      </c>
      <c r="K1046" t="s">
        <v>51</v>
      </c>
      <c r="L1046" t="s">
        <v>870</v>
      </c>
      <c r="M1046" t="s">
        <v>29</v>
      </c>
      <c r="N1046" t="s">
        <v>53</v>
      </c>
      <c r="O1046" t="s">
        <v>871</v>
      </c>
      <c r="P1046">
        <v>467.46</v>
      </c>
      <c r="Q1046">
        <v>9</v>
      </c>
      <c r="R1046">
        <v>191.65860000000001</v>
      </c>
      <c r="S1046" t="s">
        <v>32</v>
      </c>
    </row>
    <row r="1047" spans="1:19" x14ac:dyDescent="0.35">
      <c r="A1047" t="s">
        <v>3017</v>
      </c>
      <c r="B1047" s="1">
        <v>42007</v>
      </c>
      <c r="C1047" s="1">
        <v>42012</v>
      </c>
      <c r="D1047" t="s">
        <v>20</v>
      </c>
      <c r="E1047" t="s">
        <v>3018</v>
      </c>
      <c r="F1047" t="s">
        <v>3019</v>
      </c>
      <c r="G1047" t="s">
        <v>23</v>
      </c>
      <c r="H1047" t="s">
        <v>24</v>
      </c>
      <c r="I1047" t="s">
        <v>1730</v>
      </c>
      <c r="J1047" t="s">
        <v>86</v>
      </c>
      <c r="K1047" t="s">
        <v>87</v>
      </c>
      <c r="L1047" t="s">
        <v>727</v>
      </c>
      <c r="M1047" t="s">
        <v>29</v>
      </c>
      <c r="N1047" t="s">
        <v>30</v>
      </c>
      <c r="O1047" t="s">
        <v>728</v>
      </c>
      <c r="P1047">
        <v>1352.3976</v>
      </c>
      <c r="Q1047">
        <v>9</v>
      </c>
      <c r="R1047">
        <v>-437.54039999999998</v>
      </c>
      <c r="S1047" t="s">
        <v>161</v>
      </c>
    </row>
    <row r="1048" spans="1:19" x14ac:dyDescent="0.35">
      <c r="A1048" t="s">
        <v>3020</v>
      </c>
      <c r="B1048" s="1">
        <v>42132</v>
      </c>
      <c r="C1048" s="1">
        <v>42136</v>
      </c>
      <c r="D1048" t="s">
        <v>37</v>
      </c>
      <c r="E1048" t="s">
        <v>924</v>
      </c>
      <c r="F1048" t="s">
        <v>925</v>
      </c>
      <c r="G1048" t="s">
        <v>23</v>
      </c>
      <c r="H1048" t="s">
        <v>24</v>
      </c>
      <c r="I1048" t="s">
        <v>157</v>
      </c>
      <c r="J1048" t="s">
        <v>158</v>
      </c>
      <c r="K1048" t="s">
        <v>87</v>
      </c>
      <c r="L1048" t="s">
        <v>587</v>
      </c>
      <c r="M1048" t="s">
        <v>29</v>
      </c>
      <c r="N1048" t="s">
        <v>53</v>
      </c>
      <c r="O1048" t="s">
        <v>588</v>
      </c>
      <c r="P1048">
        <v>123.96</v>
      </c>
      <c r="Q1048">
        <v>3</v>
      </c>
      <c r="R1048">
        <v>11.1564</v>
      </c>
      <c r="S1048" t="s">
        <v>153</v>
      </c>
    </row>
    <row r="1049" spans="1:19" x14ac:dyDescent="0.35">
      <c r="A1049" t="s">
        <v>3021</v>
      </c>
      <c r="B1049" s="1">
        <v>43069</v>
      </c>
      <c r="C1049" s="1">
        <v>43076</v>
      </c>
      <c r="D1049" t="s">
        <v>37</v>
      </c>
      <c r="E1049" t="s">
        <v>2127</v>
      </c>
      <c r="F1049" t="s">
        <v>2128</v>
      </c>
      <c r="G1049" t="s">
        <v>23</v>
      </c>
      <c r="H1049" t="s">
        <v>24</v>
      </c>
      <c r="I1049" t="s">
        <v>3022</v>
      </c>
      <c r="J1049" t="s">
        <v>1027</v>
      </c>
      <c r="K1049" t="s">
        <v>27</v>
      </c>
      <c r="L1049" t="s">
        <v>512</v>
      </c>
      <c r="M1049" t="s">
        <v>29</v>
      </c>
      <c r="N1049" t="s">
        <v>43</v>
      </c>
      <c r="O1049" t="s">
        <v>513</v>
      </c>
      <c r="P1049">
        <v>1781.682</v>
      </c>
      <c r="Q1049">
        <v>7</v>
      </c>
      <c r="R1049">
        <v>-653.28340000000003</v>
      </c>
      <c r="S1049" t="s">
        <v>32</v>
      </c>
    </row>
    <row r="1050" spans="1:19" x14ac:dyDescent="0.35">
      <c r="A1050" t="s">
        <v>3023</v>
      </c>
      <c r="B1050" s="1">
        <v>41859</v>
      </c>
      <c r="C1050" s="1">
        <v>41863</v>
      </c>
      <c r="D1050" t="s">
        <v>37</v>
      </c>
      <c r="E1050" t="s">
        <v>3024</v>
      </c>
      <c r="F1050" t="s">
        <v>3025</v>
      </c>
      <c r="G1050" t="s">
        <v>94</v>
      </c>
      <c r="H1050" t="s">
        <v>24</v>
      </c>
      <c r="I1050" t="s">
        <v>766</v>
      </c>
      <c r="J1050" t="s">
        <v>281</v>
      </c>
      <c r="K1050" t="s">
        <v>87</v>
      </c>
      <c r="L1050" t="s">
        <v>1442</v>
      </c>
      <c r="M1050" t="s">
        <v>29</v>
      </c>
      <c r="N1050" t="s">
        <v>53</v>
      </c>
      <c r="O1050" t="s">
        <v>1443</v>
      </c>
      <c r="P1050">
        <v>53.88</v>
      </c>
      <c r="Q1050">
        <v>6</v>
      </c>
      <c r="R1050">
        <v>22.6296</v>
      </c>
      <c r="S1050" t="s">
        <v>245</v>
      </c>
    </row>
    <row r="1051" spans="1:19" x14ac:dyDescent="0.35">
      <c r="A1051" t="s">
        <v>3026</v>
      </c>
      <c r="B1051" s="1">
        <v>41749</v>
      </c>
      <c r="C1051" s="1">
        <v>41751</v>
      </c>
      <c r="D1051" t="s">
        <v>20</v>
      </c>
      <c r="E1051" t="s">
        <v>730</v>
      </c>
      <c r="F1051" t="s">
        <v>731</v>
      </c>
      <c r="G1051" t="s">
        <v>23</v>
      </c>
      <c r="H1051" t="s">
        <v>24</v>
      </c>
      <c r="I1051" t="s">
        <v>95</v>
      </c>
      <c r="J1051" t="s">
        <v>86</v>
      </c>
      <c r="K1051" t="s">
        <v>87</v>
      </c>
      <c r="L1051" t="s">
        <v>296</v>
      </c>
      <c r="M1051" t="s">
        <v>29</v>
      </c>
      <c r="N1051" t="s">
        <v>43</v>
      </c>
      <c r="O1051" t="s">
        <v>297</v>
      </c>
      <c r="P1051">
        <v>744.1</v>
      </c>
      <c r="Q1051">
        <v>5</v>
      </c>
      <c r="R1051">
        <v>-95.67</v>
      </c>
      <c r="S1051" t="s">
        <v>107</v>
      </c>
    </row>
    <row r="1052" spans="1:19" x14ac:dyDescent="0.35">
      <c r="A1052" t="s">
        <v>3026</v>
      </c>
      <c r="B1052" s="1">
        <v>41749</v>
      </c>
      <c r="C1052" s="1">
        <v>41751</v>
      </c>
      <c r="D1052" t="s">
        <v>20</v>
      </c>
      <c r="E1052" t="s">
        <v>730</v>
      </c>
      <c r="F1052" t="s">
        <v>731</v>
      </c>
      <c r="G1052" t="s">
        <v>23</v>
      </c>
      <c r="H1052" t="s">
        <v>24</v>
      </c>
      <c r="I1052" t="s">
        <v>95</v>
      </c>
      <c r="J1052" t="s">
        <v>86</v>
      </c>
      <c r="K1052" t="s">
        <v>87</v>
      </c>
      <c r="L1052" t="s">
        <v>2822</v>
      </c>
      <c r="M1052" t="s">
        <v>29</v>
      </c>
      <c r="N1052" t="s">
        <v>43</v>
      </c>
      <c r="O1052" t="s">
        <v>2823</v>
      </c>
      <c r="P1052">
        <v>401.59</v>
      </c>
      <c r="Q1052">
        <v>2</v>
      </c>
      <c r="R1052">
        <v>-131.95099999999999</v>
      </c>
      <c r="S1052" t="s">
        <v>107</v>
      </c>
    </row>
    <row r="1053" spans="1:19" x14ac:dyDescent="0.35">
      <c r="A1053" t="s">
        <v>3027</v>
      </c>
      <c r="B1053" s="1">
        <v>43064</v>
      </c>
      <c r="C1053" s="1">
        <v>43068</v>
      </c>
      <c r="D1053" t="s">
        <v>37</v>
      </c>
      <c r="E1053" t="s">
        <v>3028</v>
      </c>
      <c r="F1053" t="s">
        <v>3029</v>
      </c>
      <c r="G1053" t="s">
        <v>23</v>
      </c>
      <c r="H1053" t="s">
        <v>24</v>
      </c>
      <c r="I1053" t="s">
        <v>320</v>
      </c>
      <c r="J1053" t="s">
        <v>50</v>
      </c>
      <c r="K1053" t="s">
        <v>51</v>
      </c>
      <c r="L1053" t="s">
        <v>1686</v>
      </c>
      <c r="M1053" t="s">
        <v>29</v>
      </c>
      <c r="N1053" t="s">
        <v>30</v>
      </c>
      <c r="O1053" t="s">
        <v>1905</v>
      </c>
      <c r="P1053">
        <v>359.49900000000002</v>
      </c>
      <c r="Q1053">
        <v>3</v>
      </c>
      <c r="R1053">
        <v>-29.605799999999999</v>
      </c>
      <c r="S1053" t="s">
        <v>32</v>
      </c>
    </row>
    <row r="1054" spans="1:19" x14ac:dyDescent="0.35">
      <c r="A1054" t="s">
        <v>3030</v>
      </c>
      <c r="B1054" s="1">
        <v>41979</v>
      </c>
      <c r="C1054" s="1">
        <v>41983</v>
      </c>
      <c r="D1054" t="s">
        <v>37</v>
      </c>
      <c r="E1054" t="s">
        <v>2140</v>
      </c>
      <c r="F1054" t="s">
        <v>2141</v>
      </c>
      <c r="G1054" t="s">
        <v>23</v>
      </c>
      <c r="H1054" t="s">
        <v>24</v>
      </c>
      <c r="I1054" t="s">
        <v>125</v>
      </c>
      <c r="J1054" t="s">
        <v>126</v>
      </c>
      <c r="K1054" t="s">
        <v>87</v>
      </c>
      <c r="L1054" t="s">
        <v>1053</v>
      </c>
      <c r="M1054" t="s">
        <v>29</v>
      </c>
      <c r="N1054" t="s">
        <v>43</v>
      </c>
      <c r="O1054" t="s">
        <v>1054</v>
      </c>
      <c r="P1054">
        <v>214.95</v>
      </c>
      <c r="Q1054">
        <v>5</v>
      </c>
      <c r="R1054">
        <v>-120.372</v>
      </c>
      <c r="S1054" t="s">
        <v>90</v>
      </c>
    </row>
    <row r="1055" spans="1:19" x14ac:dyDescent="0.35">
      <c r="A1055" t="s">
        <v>3030</v>
      </c>
      <c r="B1055" s="1">
        <v>41979</v>
      </c>
      <c r="C1055" s="1">
        <v>41983</v>
      </c>
      <c r="D1055" t="s">
        <v>37</v>
      </c>
      <c r="E1055" t="s">
        <v>2140</v>
      </c>
      <c r="F1055" t="s">
        <v>2141</v>
      </c>
      <c r="G1055" t="s">
        <v>23</v>
      </c>
      <c r="H1055" t="s">
        <v>24</v>
      </c>
      <c r="I1055" t="s">
        <v>125</v>
      </c>
      <c r="J1055" t="s">
        <v>126</v>
      </c>
      <c r="K1055" t="s">
        <v>87</v>
      </c>
      <c r="L1055" t="s">
        <v>1442</v>
      </c>
      <c r="M1055" t="s">
        <v>29</v>
      </c>
      <c r="N1055" t="s">
        <v>53</v>
      </c>
      <c r="O1055" t="s">
        <v>1443</v>
      </c>
      <c r="P1055">
        <v>10.776</v>
      </c>
      <c r="Q1055">
        <v>3</v>
      </c>
      <c r="R1055">
        <v>-4.8491999999999997</v>
      </c>
      <c r="S1055" t="s">
        <v>90</v>
      </c>
    </row>
    <row r="1056" spans="1:19" x14ac:dyDescent="0.35">
      <c r="A1056" t="s">
        <v>3031</v>
      </c>
      <c r="B1056" s="1">
        <v>41987</v>
      </c>
      <c r="C1056" s="1">
        <v>41993</v>
      </c>
      <c r="D1056" t="s">
        <v>37</v>
      </c>
      <c r="E1056" t="s">
        <v>799</v>
      </c>
      <c r="F1056" t="s">
        <v>800</v>
      </c>
      <c r="G1056" t="s">
        <v>23</v>
      </c>
      <c r="H1056" t="s">
        <v>24</v>
      </c>
      <c r="I1056" t="s">
        <v>3032</v>
      </c>
      <c r="J1056" t="s">
        <v>41</v>
      </c>
      <c r="K1056" t="s">
        <v>27</v>
      </c>
      <c r="L1056" t="s">
        <v>1883</v>
      </c>
      <c r="M1056" t="s">
        <v>29</v>
      </c>
      <c r="N1056" t="s">
        <v>34</v>
      </c>
      <c r="O1056" t="s">
        <v>1884</v>
      </c>
      <c r="P1056">
        <v>186.304</v>
      </c>
      <c r="Q1056">
        <v>4</v>
      </c>
      <c r="R1056">
        <v>13.972799999999999</v>
      </c>
      <c r="S1056" t="s">
        <v>90</v>
      </c>
    </row>
    <row r="1057" spans="1:19" x14ac:dyDescent="0.35">
      <c r="A1057" t="s">
        <v>3033</v>
      </c>
      <c r="B1057" s="1">
        <v>42321</v>
      </c>
      <c r="C1057" s="1">
        <v>42321</v>
      </c>
      <c r="D1057" t="s">
        <v>417</v>
      </c>
      <c r="E1057" t="s">
        <v>2899</v>
      </c>
      <c r="F1057" t="s">
        <v>2900</v>
      </c>
      <c r="G1057" t="s">
        <v>23</v>
      </c>
      <c r="H1057" t="s">
        <v>24</v>
      </c>
      <c r="I1057" t="s">
        <v>125</v>
      </c>
      <c r="J1057" t="s">
        <v>126</v>
      </c>
      <c r="K1057" t="s">
        <v>87</v>
      </c>
      <c r="L1057" t="s">
        <v>3034</v>
      </c>
      <c r="M1057" t="s">
        <v>29</v>
      </c>
      <c r="N1057" t="s">
        <v>53</v>
      </c>
      <c r="O1057" t="s">
        <v>3035</v>
      </c>
      <c r="P1057">
        <v>17.495999999999999</v>
      </c>
      <c r="Q1057">
        <v>9</v>
      </c>
      <c r="R1057">
        <v>-7.4358000000000004</v>
      </c>
      <c r="S1057" t="s">
        <v>32</v>
      </c>
    </row>
    <row r="1058" spans="1:19" x14ac:dyDescent="0.35">
      <c r="A1058" t="s">
        <v>3036</v>
      </c>
      <c r="B1058" s="1">
        <v>41896</v>
      </c>
      <c r="C1058" s="1">
        <v>41896</v>
      </c>
      <c r="D1058" t="s">
        <v>417</v>
      </c>
      <c r="E1058" t="s">
        <v>2107</v>
      </c>
      <c r="F1058" t="s">
        <v>2108</v>
      </c>
      <c r="G1058" t="s">
        <v>23</v>
      </c>
      <c r="H1058" t="s">
        <v>24</v>
      </c>
      <c r="I1058" t="s">
        <v>165</v>
      </c>
      <c r="J1058" t="s">
        <v>114</v>
      </c>
      <c r="K1058" t="s">
        <v>63</v>
      </c>
      <c r="L1058" t="s">
        <v>1250</v>
      </c>
      <c r="M1058" t="s">
        <v>29</v>
      </c>
      <c r="N1058" t="s">
        <v>43</v>
      </c>
      <c r="O1058" t="s">
        <v>1054</v>
      </c>
      <c r="P1058">
        <v>464.29199999999997</v>
      </c>
      <c r="Q1058">
        <v>9</v>
      </c>
      <c r="R1058">
        <v>-108.3348</v>
      </c>
      <c r="S1058" t="s">
        <v>72</v>
      </c>
    </row>
    <row r="1059" spans="1:19" x14ac:dyDescent="0.35">
      <c r="A1059" t="s">
        <v>3037</v>
      </c>
      <c r="B1059" s="1">
        <v>43098</v>
      </c>
      <c r="C1059" s="1">
        <v>43105</v>
      </c>
      <c r="D1059" t="s">
        <v>37</v>
      </c>
      <c r="E1059" t="s">
        <v>368</v>
      </c>
      <c r="F1059" t="s">
        <v>369</v>
      </c>
      <c r="G1059" t="s">
        <v>84</v>
      </c>
      <c r="H1059" t="s">
        <v>24</v>
      </c>
      <c r="I1059" t="s">
        <v>3038</v>
      </c>
      <c r="J1059" t="s">
        <v>50</v>
      </c>
      <c r="K1059" t="s">
        <v>51</v>
      </c>
      <c r="L1059" t="s">
        <v>1825</v>
      </c>
      <c r="M1059" t="s">
        <v>29</v>
      </c>
      <c r="N1059" t="s">
        <v>53</v>
      </c>
      <c r="O1059" t="s">
        <v>1826</v>
      </c>
      <c r="P1059">
        <v>101.12</v>
      </c>
      <c r="Q1059">
        <v>8</v>
      </c>
      <c r="R1059">
        <v>37.414400000000001</v>
      </c>
      <c r="S1059" t="s">
        <v>90</v>
      </c>
    </row>
    <row r="1060" spans="1:19" x14ac:dyDescent="0.35">
      <c r="A1060" t="s">
        <v>3039</v>
      </c>
      <c r="B1060" s="1">
        <v>42687</v>
      </c>
      <c r="C1060" s="1">
        <v>42691</v>
      </c>
      <c r="D1060" t="s">
        <v>37</v>
      </c>
      <c r="E1060" t="s">
        <v>3040</v>
      </c>
      <c r="F1060" t="s">
        <v>3041</v>
      </c>
      <c r="G1060" t="s">
        <v>84</v>
      </c>
      <c r="H1060" t="s">
        <v>24</v>
      </c>
      <c r="I1060" t="s">
        <v>3007</v>
      </c>
      <c r="J1060" t="s">
        <v>1513</v>
      </c>
      <c r="K1060" t="s">
        <v>87</v>
      </c>
      <c r="L1060" t="s">
        <v>685</v>
      </c>
      <c r="M1060" t="s">
        <v>29</v>
      </c>
      <c r="N1060" t="s">
        <v>53</v>
      </c>
      <c r="O1060" t="s">
        <v>686</v>
      </c>
      <c r="P1060">
        <v>30.36</v>
      </c>
      <c r="Q1060">
        <v>4</v>
      </c>
      <c r="R1060">
        <v>13.0548</v>
      </c>
      <c r="S1060" t="s">
        <v>32</v>
      </c>
    </row>
    <row r="1061" spans="1:19" x14ac:dyDescent="0.35">
      <c r="A1061" t="s">
        <v>3042</v>
      </c>
      <c r="B1061" s="1">
        <v>42461</v>
      </c>
      <c r="C1061" s="1">
        <v>42465</v>
      </c>
      <c r="D1061" t="s">
        <v>37</v>
      </c>
      <c r="E1061" t="s">
        <v>3043</v>
      </c>
      <c r="F1061" t="s">
        <v>3044</v>
      </c>
      <c r="G1061" t="s">
        <v>23</v>
      </c>
      <c r="H1061" t="s">
        <v>24</v>
      </c>
      <c r="I1061" t="s">
        <v>165</v>
      </c>
      <c r="J1061" t="s">
        <v>114</v>
      </c>
      <c r="K1061" t="s">
        <v>63</v>
      </c>
      <c r="L1061" t="s">
        <v>33</v>
      </c>
      <c r="M1061" t="s">
        <v>29</v>
      </c>
      <c r="N1061" t="s">
        <v>34</v>
      </c>
      <c r="O1061" t="s">
        <v>35</v>
      </c>
      <c r="P1061">
        <v>1317.492</v>
      </c>
      <c r="Q1061">
        <v>6</v>
      </c>
      <c r="R1061">
        <v>292.77600000000001</v>
      </c>
      <c r="S1061" t="s">
        <v>107</v>
      </c>
    </row>
    <row r="1062" spans="1:19" x14ac:dyDescent="0.35">
      <c r="A1062" t="s">
        <v>3045</v>
      </c>
      <c r="B1062" s="1">
        <v>42768</v>
      </c>
      <c r="C1062" s="1">
        <v>42773</v>
      </c>
      <c r="D1062" t="s">
        <v>37</v>
      </c>
      <c r="E1062" t="s">
        <v>2799</v>
      </c>
      <c r="F1062" t="s">
        <v>2800</v>
      </c>
      <c r="G1062" t="s">
        <v>23</v>
      </c>
      <c r="H1062" t="s">
        <v>24</v>
      </c>
      <c r="I1062" t="s">
        <v>49</v>
      </c>
      <c r="J1062" t="s">
        <v>50</v>
      </c>
      <c r="K1062" t="s">
        <v>51</v>
      </c>
      <c r="L1062" t="s">
        <v>598</v>
      </c>
      <c r="M1062" t="s">
        <v>29</v>
      </c>
      <c r="N1062" t="s">
        <v>53</v>
      </c>
      <c r="O1062" t="s">
        <v>599</v>
      </c>
      <c r="P1062">
        <v>86.26</v>
      </c>
      <c r="Q1062">
        <v>2</v>
      </c>
      <c r="R1062">
        <v>29.328399999999998</v>
      </c>
      <c r="S1062" t="s">
        <v>289</v>
      </c>
    </row>
    <row r="1063" spans="1:19" x14ac:dyDescent="0.35">
      <c r="A1063" t="s">
        <v>3046</v>
      </c>
      <c r="B1063" s="1">
        <v>43093</v>
      </c>
      <c r="C1063" s="1">
        <v>43100</v>
      </c>
      <c r="D1063" t="s">
        <v>37</v>
      </c>
      <c r="E1063" t="s">
        <v>3047</v>
      </c>
      <c r="F1063" t="s">
        <v>3048</v>
      </c>
      <c r="G1063" t="s">
        <v>94</v>
      </c>
      <c r="H1063" t="s">
        <v>24</v>
      </c>
      <c r="I1063" t="s">
        <v>3049</v>
      </c>
      <c r="J1063" t="s">
        <v>511</v>
      </c>
      <c r="K1063" t="s">
        <v>51</v>
      </c>
      <c r="L1063" t="s">
        <v>2504</v>
      </c>
      <c r="M1063" t="s">
        <v>29</v>
      </c>
      <c r="N1063" t="s">
        <v>53</v>
      </c>
      <c r="O1063" t="s">
        <v>2505</v>
      </c>
      <c r="P1063">
        <v>8.5440000000000005</v>
      </c>
      <c r="Q1063">
        <v>4</v>
      </c>
      <c r="R1063">
        <v>1.9224000000000001</v>
      </c>
      <c r="S1063" t="s">
        <v>90</v>
      </c>
    </row>
    <row r="1064" spans="1:19" x14ac:dyDescent="0.35">
      <c r="A1064" t="s">
        <v>3046</v>
      </c>
      <c r="B1064" s="1">
        <v>43093</v>
      </c>
      <c r="C1064" s="1">
        <v>43100</v>
      </c>
      <c r="D1064" t="s">
        <v>37</v>
      </c>
      <c r="E1064" t="s">
        <v>3047</v>
      </c>
      <c r="F1064" t="s">
        <v>3048</v>
      </c>
      <c r="G1064" t="s">
        <v>94</v>
      </c>
      <c r="H1064" t="s">
        <v>24</v>
      </c>
      <c r="I1064" t="s">
        <v>3049</v>
      </c>
      <c r="J1064" t="s">
        <v>511</v>
      </c>
      <c r="K1064" t="s">
        <v>51</v>
      </c>
      <c r="L1064" t="s">
        <v>842</v>
      </c>
      <c r="M1064" t="s">
        <v>29</v>
      </c>
      <c r="N1064" t="s">
        <v>34</v>
      </c>
      <c r="O1064" t="s">
        <v>843</v>
      </c>
      <c r="P1064">
        <v>842.37599999999998</v>
      </c>
      <c r="Q1064">
        <v>3</v>
      </c>
      <c r="R1064">
        <v>105.297</v>
      </c>
      <c r="S1064" t="s">
        <v>90</v>
      </c>
    </row>
    <row r="1065" spans="1:19" x14ac:dyDescent="0.35">
      <c r="A1065" t="s">
        <v>3050</v>
      </c>
      <c r="B1065" s="1">
        <v>42223</v>
      </c>
      <c r="C1065" s="1">
        <v>42224</v>
      </c>
      <c r="D1065" t="s">
        <v>81</v>
      </c>
      <c r="E1065" t="s">
        <v>3051</v>
      </c>
      <c r="F1065" t="s">
        <v>3052</v>
      </c>
      <c r="G1065" t="s">
        <v>23</v>
      </c>
      <c r="H1065" t="s">
        <v>24</v>
      </c>
      <c r="I1065" t="s">
        <v>3053</v>
      </c>
      <c r="J1065" t="s">
        <v>556</v>
      </c>
      <c r="K1065" t="s">
        <v>87</v>
      </c>
      <c r="L1065" t="s">
        <v>2187</v>
      </c>
      <c r="M1065" t="s">
        <v>29</v>
      </c>
      <c r="N1065" t="s">
        <v>53</v>
      </c>
      <c r="O1065" t="s">
        <v>2188</v>
      </c>
      <c r="P1065">
        <v>212.94</v>
      </c>
      <c r="Q1065">
        <v>3</v>
      </c>
      <c r="R1065">
        <v>34.070399999999999</v>
      </c>
      <c r="S1065" t="s">
        <v>245</v>
      </c>
    </row>
    <row r="1066" spans="1:19" x14ac:dyDescent="0.35">
      <c r="A1066" t="s">
        <v>3054</v>
      </c>
      <c r="B1066" s="1">
        <v>42916</v>
      </c>
      <c r="C1066" s="1">
        <v>42920</v>
      </c>
      <c r="D1066" t="s">
        <v>20</v>
      </c>
      <c r="E1066" t="s">
        <v>2590</v>
      </c>
      <c r="F1066" t="s">
        <v>2591</v>
      </c>
      <c r="G1066" t="s">
        <v>94</v>
      </c>
      <c r="H1066" t="s">
        <v>24</v>
      </c>
      <c r="I1066" t="s">
        <v>125</v>
      </c>
      <c r="J1066" t="s">
        <v>126</v>
      </c>
      <c r="K1066" t="s">
        <v>87</v>
      </c>
      <c r="L1066" t="s">
        <v>2721</v>
      </c>
      <c r="M1066" t="s">
        <v>29</v>
      </c>
      <c r="N1066" t="s">
        <v>34</v>
      </c>
      <c r="O1066" t="s">
        <v>2722</v>
      </c>
      <c r="P1066">
        <v>569.05799999999999</v>
      </c>
      <c r="Q1066">
        <v>3</v>
      </c>
      <c r="R1066">
        <v>-178.8468</v>
      </c>
      <c r="S1066" t="s">
        <v>55</v>
      </c>
    </row>
    <row r="1067" spans="1:19" x14ac:dyDescent="0.35">
      <c r="A1067" t="s">
        <v>3054</v>
      </c>
      <c r="B1067" s="1">
        <v>42916</v>
      </c>
      <c r="C1067" s="1">
        <v>42920</v>
      </c>
      <c r="D1067" t="s">
        <v>20</v>
      </c>
      <c r="E1067" t="s">
        <v>2590</v>
      </c>
      <c r="F1067" t="s">
        <v>2591</v>
      </c>
      <c r="G1067" t="s">
        <v>94</v>
      </c>
      <c r="H1067" t="s">
        <v>24</v>
      </c>
      <c r="I1067" t="s">
        <v>125</v>
      </c>
      <c r="J1067" t="s">
        <v>126</v>
      </c>
      <c r="K1067" t="s">
        <v>87</v>
      </c>
      <c r="L1067" t="s">
        <v>159</v>
      </c>
      <c r="M1067" t="s">
        <v>29</v>
      </c>
      <c r="N1067" t="s">
        <v>53</v>
      </c>
      <c r="O1067" t="s">
        <v>160</v>
      </c>
      <c r="P1067">
        <v>14.224</v>
      </c>
      <c r="Q1067">
        <v>2</v>
      </c>
      <c r="R1067">
        <v>-10.3124</v>
      </c>
      <c r="S1067" t="s">
        <v>55</v>
      </c>
    </row>
    <row r="1068" spans="1:19" x14ac:dyDescent="0.35">
      <c r="A1068" t="s">
        <v>3055</v>
      </c>
      <c r="B1068" s="1">
        <v>41850</v>
      </c>
      <c r="C1068" s="1">
        <v>41856</v>
      </c>
      <c r="D1068" t="s">
        <v>37</v>
      </c>
      <c r="E1068" t="s">
        <v>3040</v>
      </c>
      <c r="F1068" t="s">
        <v>3041</v>
      </c>
      <c r="G1068" t="s">
        <v>84</v>
      </c>
      <c r="H1068" t="s">
        <v>24</v>
      </c>
      <c r="I1068" t="s">
        <v>183</v>
      </c>
      <c r="J1068" t="s">
        <v>184</v>
      </c>
      <c r="K1068" t="s">
        <v>51</v>
      </c>
      <c r="L1068" t="s">
        <v>2391</v>
      </c>
      <c r="M1068" t="s">
        <v>29</v>
      </c>
      <c r="N1068" t="s">
        <v>30</v>
      </c>
      <c r="O1068" t="s">
        <v>2392</v>
      </c>
      <c r="P1068">
        <v>1367.84</v>
      </c>
      <c r="Q1068">
        <v>8</v>
      </c>
      <c r="R1068">
        <v>259.88959999999997</v>
      </c>
      <c r="S1068" t="s">
        <v>66</v>
      </c>
    </row>
    <row r="1069" spans="1:19" x14ac:dyDescent="0.35">
      <c r="A1069" t="s">
        <v>3056</v>
      </c>
      <c r="B1069" s="1">
        <v>42692</v>
      </c>
      <c r="C1069" s="1">
        <v>42697</v>
      </c>
      <c r="D1069" t="s">
        <v>20</v>
      </c>
      <c r="E1069" t="s">
        <v>3057</v>
      </c>
      <c r="F1069" t="s">
        <v>3058</v>
      </c>
      <c r="G1069" t="s">
        <v>23</v>
      </c>
      <c r="H1069" t="s">
        <v>24</v>
      </c>
      <c r="I1069" t="s">
        <v>3059</v>
      </c>
      <c r="J1069" t="s">
        <v>281</v>
      </c>
      <c r="K1069" t="s">
        <v>87</v>
      </c>
      <c r="L1069" t="s">
        <v>151</v>
      </c>
      <c r="M1069" t="s">
        <v>29</v>
      </c>
      <c r="N1069" t="s">
        <v>34</v>
      </c>
      <c r="O1069" t="s">
        <v>152</v>
      </c>
      <c r="P1069">
        <v>301.95999999999998</v>
      </c>
      <c r="Q1069">
        <v>2</v>
      </c>
      <c r="R1069">
        <v>33.215600000000002</v>
      </c>
      <c r="S1069" t="s">
        <v>32</v>
      </c>
    </row>
    <row r="1070" spans="1:19" x14ac:dyDescent="0.35">
      <c r="A1070" t="s">
        <v>3060</v>
      </c>
      <c r="B1070" s="1">
        <v>42191</v>
      </c>
      <c r="C1070" s="1">
        <v>42196</v>
      </c>
      <c r="D1070" t="s">
        <v>37</v>
      </c>
      <c r="E1070" t="s">
        <v>2350</v>
      </c>
      <c r="F1070" t="s">
        <v>2351</v>
      </c>
      <c r="G1070" t="s">
        <v>23</v>
      </c>
      <c r="H1070" t="s">
        <v>24</v>
      </c>
      <c r="I1070" t="s">
        <v>1176</v>
      </c>
      <c r="J1070" t="s">
        <v>50</v>
      </c>
      <c r="K1070" t="s">
        <v>51</v>
      </c>
      <c r="L1070" t="s">
        <v>115</v>
      </c>
      <c r="M1070" t="s">
        <v>29</v>
      </c>
      <c r="N1070" t="s">
        <v>34</v>
      </c>
      <c r="O1070" t="s">
        <v>116</v>
      </c>
      <c r="P1070">
        <v>170.352</v>
      </c>
      <c r="Q1070">
        <v>3</v>
      </c>
      <c r="R1070">
        <v>-17.0352</v>
      </c>
      <c r="S1070" t="s">
        <v>66</v>
      </c>
    </row>
    <row r="1071" spans="1:19" x14ac:dyDescent="0.35">
      <c r="A1071" t="s">
        <v>3061</v>
      </c>
      <c r="B1071" s="1">
        <v>41953</v>
      </c>
      <c r="C1071" s="1">
        <v>41959</v>
      </c>
      <c r="D1071" t="s">
        <v>37</v>
      </c>
      <c r="E1071" t="s">
        <v>2467</v>
      </c>
      <c r="F1071" t="s">
        <v>2468</v>
      </c>
      <c r="G1071" t="s">
        <v>23</v>
      </c>
      <c r="H1071" t="s">
        <v>24</v>
      </c>
      <c r="I1071" t="s">
        <v>3062</v>
      </c>
      <c r="J1071" t="s">
        <v>281</v>
      </c>
      <c r="K1071" t="s">
        <v>87</v>
      </c>
      <c r="L1071" t="s">
        <v>616</v>
      </c>
      <c r="M1071" t="s">
        <v>29</v>
      </c>
      <c r="N1071" t="s">
        <v>34</v>
      </c>
      <c r="O1071" t="s">
        <v>617</v>
      </c>
      <c r="P1071">
        <v>563.94000000000005</v>
      </c>
      <c r="Q1071">
        <v>3</v>
      </c>
      <c r="R1071">
        <v>112.788</v>
      </c>
      <c r="S1071" t="s">
        <v>32</v>
      </c>
    </row>
    <row r="1072" spans="1:19" x14ac:dyDescent="0.35">
      <c r="A1072" t="s">
        <v>3063</v>
      </c>
      <c r="B1072" s="1">
        <v>42517</v>
      </c>
      <c r="C1072" s="1">
        <v>42519</v>
      </c>
      <c r="D1072" t="s">
        <v>20</v>
      </c>
      <c r="E1072" t="s">
        <v>975</v>
      </c>
      <c r="F1072" t="s">
        <v>976</v>
      </c>
      <c r="G1072" t="s">
        <v>84</v>
      </c>
      <c r="H1072" t="s">
        <v>24</v>
      </c>
      <c r="I1072" t="s">
        <v>280</v>
      </c>
      <c r="J1072" t="s">
        <v>281</v>
      </c>
      <c r="K1072" t="s">
        <v>87</v>
      </c>
      <c r="L1072" t="s">
        <v>592</v>
      </c>
      <c r="M1072" t="s">
        <v>29</v>
      </c>
      <c r="N1072" t="s">
        <v>34</v>
      </c>
      <c r="O1072" t="s">
        <v>593</v>
      </c>
      <c r="P1072">
        <v>3504.9</v>
      </c>
      <c r="Q1072">
        <v>5</v>
      </c>
      <c r="R1072">
        <v>700.98</v>
      </c>
      <c r="S1072" t="s">
        <v>153</v>
      </c>
    </row>
    <row r="1073" spans="1:19" x14ac:dyDescent="0.35">
      <c r="A1073" t="s">
        <v>3064</v>
      </c>
      <c r="B1073" s="1">
        <v>43027</v>
      </c>
      <c r="C1073" s="1">
        <v>43032</v>
      </c>
      <c r="D1073" t="s">
        <v>37</v>
      </c>
      <c r="E1073" t="s">
        <v>1222</v>
      </c>
      <c r="F1073" t="s">
        <v>1223</v>
      </c>
      <c r="G1073" t="s">
        <v>23</v>
      </c>
      <c r="H1073" t="s">
        <v>24</v>
      </c>
      <c r="I1073" t="s">
        <v>3065</v>
      </c>
      <c r="J1073" t="s">
        <v>86</v>
      </c>
      <c r="K1073" t="s">
        <v>87</v>
      </c>
      <c r="L1073" t="s">
        <v>2711</v>
      </c>
      <c r="M1073" t="s">
        <v>29</v>
      </c>
      <c r="N1073" t="s">
        <v>30</v>
      </c>
      <c r="O1073" t="s">
        <v>2712</v>
      </c>
      <c r="P1073">
        <v>328.39920000000001</v>
      </c>
      <c r="Q1073">
        <v>3</v>
      </c>
      <c r="R1073">
        <v>-91.758600000000001</v>
      </c>
      <c r="S1073" t="s">
        <v>45</v>
      </c>
    </row>
    <row r="1074" spans="1:19" x14ac:dyDescent="0.35">
      <c r="A1074" t="s">
        <v>3066</v>
      </c>
      <c r="B1074" s="1">
        <v>42107</v>
      </c>
      <c r="C1074" s="1">
        <v>42113</v>
      </c>
      <c r="D1074" t="s">
        <v>37</v>
      </c>
      <c r="E1074" t="s">
        <v>1017</v>
      </c>
      <c r="F1074" t="s">
        <v>1018</v>
      </c>
      <c r="G1074" t="s">
        <v>84</v>
      </c>
      <c r="H1074" t="s">
        <v>24</v>
      </c>
      <c r="I1074" t="s">
        <v>49</v>
      </c>
      <c r="J1074" t="s">
        <v>50</v>
      </c>
      <c r="K1074" t="s">
        <v>51</v>
      </c>
      <c r="L1074" t="s">
        <v>1533</v>
      </c>
      <c r="M1074" t="s">
        <v>29</v>
      </c>
      <c r="N1074" t="s">
        <v>53</v>
      </c>
      <c r="O1074" t="s">
        <v>1534</v>
      </c>
      <c r="P1074">
        <v>37.68</v>
      </c>
      <c r="Q1074">
        <v>2</v>
      </c>
      <c r="R1074">
        <v>15.8256</v>
      </c>
      <c r="S1074" t="s">
        <v>107</v>
      </c>
    </row>
    <row r="1075" spans="1:19" x14ac:dyDescent="0.35">
      <c r="A1075" t="s">
        <v>3067</v>
      </c>
      <c r="B1075" s="1">
        <v>42260</v>
      </c>
      <c r="C1075" s="1">
        <v>42265</v>
      </c>
      <c r="D1075" t="s">
        <v>37</v>
      </c>
      <c r="E1075" t="s">
        <v>834</v>
      </c>
      <c r="F1075" t="s">
        <v>835</v>
      </c>
      <c r="G1075" t="s">
        <v>23</v>
      </c>
      <c r="H1075" t="s">
        <v>24</v>
      </c>
      <c r="I1075" t="s">
        <v>339</v>
      </c>
      <c r="J1075" t="s">
        <v>104</v>
      </c>
      <c r="K1075" t="s">
        <v>87</v>
      </c>
      <c r="L1075" t="s">
        <v>470</v>
      </c>
      <c r="M1075" t="s">
        <v>29</v>
      </c>
      <c r="N1075" t="s">
        <v>34</v>
      </c>
      <c r="O1075" t="s">
        <v>471</v>
      </c>
      <c r="P1075">
        <v>1516.2</v>
      </c>
      <c r="Q1075">
        <v>7</v>
      </c>
      <c r="R1075">
        <v>394.21199999999999</v>
      </c>
      <c r="S1075" t="s">
        <v>72</v>
      </c>
    </row>
    <row r="1076" spans="1:19" x14ac:dyDescent="0.35">
      <c r="A1076" t="s">
        <v>3068</v>
      </c>
      <c r="B1076" s="1">
        <v>41971</v>
      </c>
      <c r="C1076" s="1">
        <v>41974</v>
      </c>
      <c r="D1076" t="s">
        <v>20</v>
      </c>
      <c r="E1076" t="s">
        <v>3069</v>
      </c>
      <c r="F1076" t="s">
        <v>3070</v>
      </c>
      <c r="G1076" t="s">
        <v>84</v>
      </c>
      <c r="H1076" t="s">
        <v>24</v>
      </c>
      <c r="I1076" t="s">
        <v>149</v>
      </c>
      <c r="J1076" t="s">
        <v>150</v>
      </c>
      <c r="K1076" t="s">
        <v>27</v>
      </c>
      <c r="L1076" t="s">
        <v>210</v>
      </c>
      <c r="M1076" t="s">
        <v>29</v>
      </c>
      <c r="N1076" t="s">
        <v>53</v>
      </c>
      <c r="O1076" t="s">
        <v>211</v>
      </c>
      <c r="P1076">
        <v>397.6</v>
      </c>
      <c r="Q1076">
        <v>5</v>
      </c>
      <c r="R1076">
        <v>43.735999999999997</v>
      </c>
      <c r="S1076" t="s">
        <v>32</v>
      </c>
    </row>
    <row r="1077" spans="1:19" x14ac:dyDescent="0.35">
      <c r="A1077" t="s">
        <v>3071</v>
      </c>
      <c r="B1077" s="1">
        <v>42231</v>
      </c>
      <c r="C1077" s="1">
        <v>42235</v>
      </c>
      <c r="D1077" t="s">
        <v>37</v>
      </c>
      <c r="E1077" t="s">
        <v>3072</v>
      </c>
      <c r="F1077" t="s">
        <v>3073</v>
      </c>
      <c r="G1077" t="s">
        <v>23</v>
      </c>
      <c r="H1077" t="s">
        <v>24</v>
      </c>
      <c r="I1077" t="s">
        <v>1461</v>
      </c>
      <c r="J1077" t="s">
        <v>50</v>
      </c>
      <c r="K1077" t="s">
        <v>51</v>
      </c>
      <c r="L1077" t="s">
        <v>1195</v>
      </c>
      <c r="M1077" t="s">
        <v>29</v>
      </c>
      <c r="N1077" t="s">
        <v>53</v>
      </c>
      <c r="O1077" t="s">
        <v>1196</v>
      </c>
      <c r="P1077">
        <v>104.23</v>
      </c>
      <c r="Q1077">
        <v>7</v>
      </c>
      <c r="R1077">
        <v>28.142099999999999</v>
      </c>
      <c r="S1077" t="s">
        <v>245</v>
      </c>
    </row>
    <row r="1078" spans="1:19" x14ac:dyDescent="0.35">
      <c r="A1078" t="s">
        <v>3074</v>
      </c>
      <c r="B1078" s="1">
        <v>42979</v>
      </c>
      <c r="C1078" s="1">
        <v>42979</v>
      </c>
      <c r="D1078" t="s">
        <v>417</v>
      </c>
      <c r="E1078" t="s">
        <v>609</v>
      </c>
      <c r="F1078" t="s">
        <v>610</v>
      </c>
      <c r="G1078" t="s">
        <v>23</v>
      </c>
      <c r="H1078" t="s">
        <v>24</v>
      </c>
      <c r="I1078" t="s">
        <v>280</v>
      </c>
      <c r="J1078" t="s">
        <v>281</v>
      </c>
      <c r="K1078" t="s">
        <v>87</v>
      </c>
      <c r="L1078" t="s">
        <v>2185</v>
      </c>
      <c r="M1078" t="s">
        <v>29</v>
      </c>
      <c r="N1078" t="s">
        <v>34</v>
      </c>
      <c r="O1078" t="s">
        <v>2186</v>
      </c>
      <c r="P1078">
        <v>498.26</v>
      </c>
      <c r="Q1078">
        <v>7</v>
      </c>
      <c r="R1078">
        <v>134.53020000000001</v>
      </c>
      <c r="S1078" t="s">
        <v>72</v>
      </c>
    </row>
    <row r="1079" spans="1:19" x14ac:dyDescent="0.35">
      <c r="A1079" t="s">
        <v>3075</v>
      </c>
      <c r="B1079" s="1">
        <v>41804</v>
      </c>
      <c r="C1079" s="1">
        <v>41810</v>
      </c>
      <c r="D1079" t="s">
        <v>37</v>
      </c>
      <c r="E1079" t="s">
        <v>3076</v>
      </c>
      <c r="F1079" t="s">
        <v>3077</v>
      </c>
      <c r="G1079" t="s">
        <v>94</v>
      </c>
      <c r="H1079" t="s">
        <v>24</v>
      </c>
      <c r="I1079" t="s">
        <v>280</v>
      </c>
      <c r="J1079" t="s">
        <v>281</v>
      </c>
      <c r="K1079" t="s">
        <v>87</v>
      </c>
      <c r="L1079" t="s">
        <v>2703</v>
      </c>
      <c r="M1079" t="s">
        <v>29</v>
      </c>
      <c r="N1079" t="s">
        <v>30</v>
      </c>
      <c r="O1079" t="s">
        <v>2704</v>
      </c>
      <c r="P1079">
        <v>212.94</v>
      </c>
      <c r="Q1079">
        <v>3</v>
      </c>
      <c r="R1079">
        <v>57.4938</v>
      </c>
      <c r="S1079" t="s">
        <v>55</v>
      </c>
    </row>
    <row r="1080" spans="1:19" x14ac:dyDescent="0.35">
      <c r="A1080" t="s">
        <v>3078</v>
      </c>
      <c r="B1080" s="1">
        <v>42542</v>
      </c>
      <c r="C1080" s="1">
        <v>42547</v>
      </c>
      <c r="D1080" t="s">
        <v>37</v>
      </c>
      <c r="E1080" t="s">
        <v>1616</v>
      </c>
      <c r="F1080" t="s">
        <v>1617</v>
      </c>
      <c r="G1080" t="s">
        <v>23</v>
      </c>
      <c r="H1080" t="s">
        <v>24</v>
      </c>
      <c r="I1080" t="s">
        <v>165</v>
      </c>
      <c r="J1080" t="s">
        <v>114</v>
      </c>
      <c r="K1080" t="s">
        <v>63</v>
      </c>
      <c r="L1080" t="s">
        <v>727</v>
      </c>
      <c r="M1080" t="s">
        <v>29</v>
      </c>
      <c r="N1080" t="s">
        <v>30</v>
      </c>
      <c r="O1080" t="s">
        <v>728</v>
      </c>
      <c r="P1080">
        <v>353.56799999999998</v>
      </c>
      <c r="Q1080">
        <v>2</v>
      </c>
      <c r="R1080">
        <v>-44.195999999999998</v>
      </c>
      <c r="S1080" t="s">
        <v>55</v>
      </c>
    </row>
    <row r="1081" spans="1:19" x14ac:dyDescent="0.35">
      <c r="A1081" t="s">
        <v>3079</v>
      </c>
      <c r="B1081" s="1">
        <v>42813</v>
      </c>
      <c r="C1081" s="1">
        <v>42816</v>
      </c>
      <c r="D1081" t="s">
        <v>20</v>
      </c>
      <c r="E1081" t="s">
        <v>810</v>
      </c>
      <c r="F1081" t="s">
        <v>811</v>
      </c>
      <c r="G1081" t="s">
        <v>23</v>
      </c>
      <c r="H1081" t="s">
        <v>24</v>
      </c>
      <c r="I1081" t="s">
        <v>1124</v>
      </c>
      <c r="J1081" t="s">
        <v>50</v>
      </c>
      <c r="K1081" t="s">
        <v>51</v>
      </c>
      <c r="L1081" t="s">
        <v>775</v>
      </c>
      <c r="M1081" t="s">
        <v>29</v>
      </c>
      <c r="N1081" t="s">
        <v>43</v>
      </c>
      <c r="O1081" t="s">
        <v>776</v>
      </c>
      <c r="P1081">
        <v>697.16</v>
      </c>
      <c r="Q1081">
        <v>5</v>
      </c>
      <c r="R1081">
        <v>8.7144999999999992</v>
      </c>
      <c r="S1081" t="s">
        <v>187</v>
      </c>
    </row>
    <row r="1082" spans="1:19" x14ac:dyDescent="0.35">
      <c r="A1082" t="s">
        <v>3079</v>
      </c>
      <c r="B1082" s="1">
        <v>42813</v>
      </c>
      <c r="C1082" s="1">
        <v>42816</v>
      </c>
      <c r="D1082" t="s">
        <v>20</v>
      </c>
      <c r="E1082" t="s">
        <v>810</v>
      </c>
      <c r="F1082" t="s">
        <v>811</v>
      </c>
      <c r="G1082" t="s">
        <v>23</v>
      </c>
      <c r="H1082" t="s">
        <v>24</v>
      </c>
      <c r="I1082" t="s">
        <v>1124</v>
      </c>
      <c r="J1082" t="s">
        <v>50</v>
      </c>
      <c r="K1082" t="s">
        <v>51</v>
      </c>
      <c r="L1082" t="s">
        <v>2101</v>
      </c>
      <c r="M1082" t="s">
        <v>29</v>
      </c>
      <c r="N1082" t="s">
        <v>53</v>
      </c>
      <c r="O1082" t="s">
        <v>2102</v>
      </c>
      <c r="P1082">
        <v>30.93</v>
      </c>
      <c r="Q1082">
        <v>1</v>
      </c>
      <c r="R1082">
        <v>12.6813</v>
      </c>
      <c r="S1082" t="s">
        <v>187</v>
      </c>
    </row>
    <row r="1083" spans="1:19" x14ac:dyDescent="0.35">
      <c r="A1083" t="s">
        <v>3080</v>
      </c>
      <c r="B1083" s="1">
        <v>41930</v>
      </c>
      <c r="C1083" s="1">
        <v>41934</v>
      </c>
      <c r="D1083" t="s">
        <v>37</v>
      </c>
      <c r="E1083" t="s">
        <v>2155</v>
      </c>
      <c r="F1083" t="s">
        <v>2156</v>
      </c>
      <c r="G1083" t="s">
        <v>84</v>
      </c>
      <c r="H1083" t="s">
        <v>24</v>
      </c>
      <c r="I1083" t="s">
        <v>3081</v>
      </c>
      <c r="J1083" t="s">
        <v>1049</v>
      </c>
      <c r="K1083" t="s">
        <v>27</v>
      </c>
      <c r="L1083" t="s">
        <v>3008</v>
      </c>
      <c r="M1083" t="s">
        <v>29</v>
      </c>
      <c r="N1083" t="s">
        <v>34</v>
      </c>
      <c r="O1083" t="s">
        <v>3009</v>
      </c>
      <c r="P1083">
        <v>605.34</v>
      </c>
      <c r="Q1083">
        <v>6</v>
      </c>
      <c r="R1083">
        <v>145.2816</v>
      </c>
      <c r="S1083" t="s">
        <v>45</v>
      </c>
    </row>
    <row r="1084" spans="1:19" x14ac:dyDescent="0.35">
      <c r="A1084" t="s">
        <v>3082</v>
      </c>
      <c r="B1084" s="1">
        <v>42969</v>
      </c>
      <c r="C1084" s="1">
        <v>42970</v>
      </c>
      <c r="D1084" t="s">
        <v>81</v>
      </c>
      <c r="E1084" t="s">
        <v>3083</v>
      </c>
      <c r="F1084" t="s">
        <v>3084</v>
      </c>
      <c r="G1084" t="s">
        <v>23</v>
      </c>
      <c r="H1084" t="s">
        <v>24</v>
      </c>
      <c r="I1084" t="s">
        <v>320</v>
      </c>
      <c r="J1084" t="s">
        <v>50</v>
      </c>
      <c r="K1084" t="s">
        <v>51</v>
      </c>
      <c r="L1084" t="s">
        <v>185</v>
      </c>
      <c r="M1084" t="s">
        <v>29</v>
      </c>
      <c r="N1084" t="s">
        <v>43</v>
      </c>
      <c r="O1084" t="s">
        <v>186</v>
      </c>
      <c r="P1084">
        <v>210.00800000000001</v>
      </c>
      <c r="Q1084">
        <v>1</v>
      </c>
      <c r="R1084">
        <v>2.6251000000000002</v>
      </c>
      <c r="S1084" t="s">
        <v>245</v>
      </c>
    </row>
    <row r="1085" spans="1:19" x14ac:dyDescent="0.35">
      <c r="A1085" t="s">
        <v>3085</v>
      </c>
      <c r="B1085" s="1">
        <v>41902</v>
      </c>
      <c r="C1085" s="1">
        <v>41906</v>
      </c>
      <c r="D1085" t="s">
        <v>37</v>
      </c>
      <c r="E1085" t="s">
        <v>2633</v>
      </c>
      <c r="F1085" t="s">
        <v>2634</v>
      </c>
      <c r="G1085" t="s">
        <v>23</v>
      </c>
      <c r="H1085" t="s">
        <v>24</v>
      </c>
      <c r="I1085" t="s">
        <v>149</v>
      </c>
      <c r="J1085" t="s">
        <v>1080</v>
      </c>
      <c r="K1085" t="s">
        <v>63</v>
      </c>
      <c r="L1085" t="s">
        <v>1076</v>
      </c>
      <c r="M1085" t="s">
        <v>29</v>
      </c>
      <c r="N1085" t="s">
        <v>53</v>
      </c>
      <c r="O1085" t="s">
        <v>1077</v>
      </c>
      <c r="P1085">
        <v>164.22</v>
      </c>
      <c r="Q1085">
        <v>3</v>
      </c>
      <c r="R1085">
        <v>50.908200000000001</v>
      </c>
      <c r="S1085" t="s">
        <v>72</v>
      </c>
    </row>
    <row r="1086" spans="1:19" x14ac:dyDescent="0.35">
      <c r="A1086" t="s">
        <v>3085</v>
      </c>
      <c r="B1086" s="1">
        <v>41902</v>
      </c>
      <c r="C1086" s="1">
        <v>41906</v>
      </c>
      <c r="D1086" t="s">
        <v>37</v>
      </c>
      <c r="E1086" t="s">
        <v>2633</v>
      </c>
      <c r="F1086" t="s">
        <v>2634</v>
      </c>
      <c r="G1086" t="s">
        <v>23</v>
      </c>
      <c r="H1086" t="s">
        <v>24</v>
      </c>
      <c r="I1086" t="s">
        <v>149</v>
      </c>
      <c r="J1086" t="s">
        <v>1080</v>
      </c>
      <c r="K1086" t="s">
        <v>63</v>
      </c>
      <c r="L1086" t="s">
        <v>533</v>
      </c>
      <c r="M1086" t="s">
        <v>29</v>
      </c>
      <c r="N1086" t="s">
        <v>30</v>
      </c>
      <c r="O1086" t="s">
        <v>534</v>
      </c>
      <c r="P1086">
        <v>362.94</v>
      </c>
      <c r="Q1086">
        <v>3</v>
      </c>
      <c r="R1086">
        <v>36.293999999999997</v>
      </c>
      <c r="S1086" t="s">
        <v>72</v>
      </c>
    </row>
    <row r="1087" spans="1:19" x14ac:dyDescent="0.35">
      <c r="A1087" t="s">
        <v>3086</v>
      </c>
      <c r="B1087" s="1">
        <v>42584</v>
      </c>
      <c r="C1087" s="1">
        <v>42586</v>
      </c>
      <c r="D1087" t="s">
        <v>20</v>
      </c>
      <c r="E1087" t="s">
        <v>1847</v>
      </c>
      <c r="F1087" t="s">
        <v>1848</v>
      </c>
      <c r="G1087" t="s">
        <v>84</v>
      </c>
      <c r="H1087" t="s">
        <v>24</v>
      </c>
      <c r="I1087" t="s">
        <v>49</v>
      </c>
      <c r="J1087" t="s">
        <v>50</v>
      </c>
      <c r="K1087" t="s">
        <v>51</v>
      </c>
      <c r="L1087" t="s">
        <v>3087</v>
      </c>
      <c r="M1087" t="s">
        <v>29</v>
      </c>
      <c r="N1087" t="s">
        <v>43</v>
      </c>
      <c r="O1087" t="s">
        <v>3088</v>
      </c>
      <c r="P1087">
        <v>136.464</v>
      </c>
      <c r="Q1087">
        <v>2</v>
      </c>
      <c r="R1087">
        <v>15.3522</v>
      </c>
      <c r="S1087" t="s">
        <v>245</v>
      </c>
    </row>
    <row r="1088" spans="1:19" x14ac:dyDescent="0.35">
      <c r="A1088" t="s">
        <v>3089</v>
      </c>
      <c r="B1088" s="1">
        <v>42068</v>
      </c>
      <c r="C1088" s="1">
        <v>42070</v>
      </c>
      <c r="D1088" t="s">
        <v>20</v>
      </c>
      <c r="E1088" t="s">
        <v>3090</v>
      </c>
      <c r="F1088" t="s">
        <v>3091</v>
      </c>
      <c r="G1088" t="s">
        <v>84</v>
      </c>
      <c r="H1088" t="s">
        <v>24</v>
      </c>
      <c r="I1088" t="s">
        <v>3092</v>
      </c>
      <c r="J1088" t="s">
        <v>62</v>
      </c>
      <c r="K1088" t="s">
        <v>63</v>
      </c>
      <c r="L1088" t="s">
        <v>581</v>
      </c>
      <c r="M1088" t="s">
        <v>29</v>
      </c>
      <c r="N1088" t="s">
        <v>34</v>
      </c>
      <c r="O1088" t="s">
        <v>582</v>
      </c>
      <c r="P1088">
        <v>99.372</v>
      </c>
      <c r="Q1088">
        <v>2</v>
      </c>
      <c r="R1088">
        <v>-7.0979999999999999</v>
      </c>
      <c r="S1088" t="s">
        <v>187</v>
      </c>
    </row>
    <row r="1089" spans="1:19" x14ac:dyDescent="0.35">
      <c r="A1089" t="s">
        <v>3089</v>
      </c>
      <c r="B1089" s="1">
        <v>42068</v>
      </c>
      <c r="C1089" s="1">
        <v>42070</v>
      </c>
      <c r="D1089" t="s">
        <v>20</v>
      </c>
      <c r="E1089" t="s">
        <v>3090</v>
      </c>
      <c r="F1089" t="s">
        <v>3091</v>
      </c>
      <c r="G1089" t="s">
        <v>84</v>
      </c>
      <c r="H1089" t="s">
        <v>24</v>
      </c>
      <c r="I1089" t="s">
        <v>3092</v>
      </c>
      <c r="J1089" t="s">
        <v>62</v>
      </c>
      <c r="K1089" t="s">
        <v>63</v>
      </c>
      <c r="L1089" t="s">
        <v>2272</v>
      </c>
      <c r="M1089" t="s">
        <v>29</v>
      </c>
      <c r="N1089" t="s">
        <v>53</v>
      </c>
      <c r="O1089" t="s">
        <v>2273</v>
      </c>
      <c r="P1089">
        <v>33.567999999999998</v>
      </c>
      <c r="Q1089">
        <v>2</v>
      </c>
      <c r="R1089">
        <v>-5.4547999999999996</v>
      </c>
      <c r="S1089" t="s">
        <v>187</v>
      </c>
    </row>
    <row r="1090" spans="1:19" x14ac:dyDescent="0.35">
      <c r="A1090" t="s">
        <v>3093</v>
      </c>
      <c r="B1090" s="1">
        <v>41889</v>
      </c>
      <c r="C1090" s="1">
        <v>41892</v>
      </c>
      <c r="D1090" t="s">
        <v>81</v>
      </c>
      <c r="E1090" t="s">
        <v>1215</v>
      </c>
      <c r="F1090" t="s">
        <v>1216</v>
      </c>
      <c r="G1090" t="s">
        <v>94</v>
      </c>
      <c r="H1090" t="s">
        <v>24</v>
      </c>
      <c r="I1090" t="s">
        <v>95</v>
      </c>
      <c r="J1090" t="s">
        <v>86</v>
      </c>
      <c r="K1090" t="s">
        <v>87</v>
      </c>
      <c r="L1090" t="s">
        <v>913</v>
      </c>
      <c r="M1090" t="s">
        <v>29</v>
      </c>
      <c r="N1090" t="s">
        <v>43</v>
      </c>
      <c r="O1090" t="s">
        <v>914</v>
      </c>
      <c r="P1090">
        <v>200.79499999999999</v>
      </c>
      <c r="Q1090">
        <v>1</v>
      </c>
      <c r="R1090">
        <v>-22.948</v>
      </c>
      <c r="S1090" t="s">
        <v>72</v>
      </c>
    </row>
    <row r="1091" spans="1:19" x14ac:dyDescent="0.35">
      <c r="A1091" t="s">
        <v>3094</v>
      </c>
      <c r="B1091" s="1">
        <v>42989</v>
      </c>
      <c r="C1091" s="1">
        <v>42989</v>
      </c>
      <c r="D1091" t="s">
        <v>417</v>
      </c>
      <c r="E1091" t="s">
        <v>678</v>
      </c>
      <c r="F1091" t="s">
        <v>679</v>
      </c>
      <c r="G1091" t="s">
        <v>23</v>
      </c>
      <c r="H1091" t="s">
        <v>24</v>
      </c>
      <c r="I1091" t="s">
        <v>320</v>
      </c>
      <c r="J1091" t="s">
        <v>50</v>
      </c>
      <c r="K1091" t="s">
        <v>51</v>
      </c>
      <c r="L1091" t="s">
        <v>141</v>
      </c>
      <c r="M1091" t="s">
        <v>29</v>
      </c>
      <c r="N1091" t="s">
        <v>53</v>
      </c>
      <c r="O1091" t="s">
        <v>142</v>
      </c>
      <c r="P1091">
        <v>32.36</v>
      </c>
      <c r="Q1091">
        <v>4</v>
      </c>
      <c r="R1091">
        <v>11.6496</v>
      </c>
      <c r="S1091" t="s">
        <v>72</v>
      </c>
    </row>
    <row r="1092" spans="1:19" x14ac:dyDescent="0.35">
      <c r="A1092" t="s">
        <v>3095</v>
      </c>
      <c r="B1092" s="1">
        <v>42751</v>
      </c>
      <c r="C1092" s="1">
        <v>42751</v>
      </c>
      <c r="D1092" t="s">
        <v>417</v>
      </c>
      <c r="E1092" t="s">
        <v>2687</v>
      </c>
      <c r="F1092" t="s">
        <v>2688</v>
      </c>
      <c r="G1092" t="s">
        <v>84</v>
      </c>
      <c r="H1092" t="s">
        <v>24</v>
      </c>
      <c r="I1092" t="s">
        <v>49</v>
      </c>
      <c r="J1092" t="s">
        <v>50</v>
      </c>
      <c r="K1092" t="s">
        <v>51</v>
      </c>
      <c r="L1092" t="s">
        <v>52</v>
      </c>
      <c r="M1092" t="s">
        <v>29</v>
      </c>
      <c r="N1092" t="s">
        <v>53</v>
      </c>
      <c r="O1092" t="s">
        <v>54</v>
      </c>
      <c r="P1092">
        <v>27.92</v>
      </c>
      <c r="Q1092">
        <v>4</v>
      </c>
      <c r="R1092">
        <v>8.0968</v>
      </c>
      <c r="S1092" t="s">
        <v>161</v>
      </c>
    </row>
    <row r="1093" spans="1:19" x14ac:dyDescent="0.35">
      <c r="A1093" t="s">
        <v>3095</v>
      </c>
      <c r="B1093" s="1">
        <v>42751</v>
      </c>
      <c r="C1093" s="1">
        <v>42751</v>
      </c>
      <c r="D1093" t="s">
        <v>417</v>
      </c>
      <c r="E1093" t="s">
        <v>2687</v>
      </c>
      <c r="F1093" t="s">
        <v>2688</v>
      </c>
      <c r="G1093" t="s">
        <v>84</v>
      </c>
      <c r="H1093" t="s">
        <v>24</v>
      </c>
      <c r="I1093" t="s">
        <v>49</v>
      </c>
      <c r="J1093" t="s">
        <v>50</v>
      </c>
      <c r="K1093" t="s">
        <v>51</v>
      </c>
      <c r="L1093" t="s">
        <v>898</v>
      </c>
      <c r="M1093" t="s">
        <v>29</v>
      </c>
      <c r="N1093" t="s">
        <v>43</v>
      </c>
      <c r="O1093" t="s">
        <v>899</v>
      </c>
      <c r="P1093">
        <v>399.67200000000003</v>
      </c>
      <c r="Q1093">
        <v>7</v>
      </c>
      <c r="R1093">
        <v>-14.9877</v>
      </c>
      <c r="S1093" t="s">
        <v>161</v>
      </c>
    </row>
    <row r="1094" spans="1:19" x14ac:dyDescent="0.35">
      <c r="A1094" t="s">
        <v>3096</v>
      </c>
      <c r="B1094" s="1">
        <v>42315</v>
      </c>
      <c r="C1094" s="1">
        <v>42317</v>
      </c>
      <c r="D1094" t="s">
        <v>20</v>
      </c>
      <c r="E1094" t="s">
        <v>2908</v>
      </c>
      <c r="F1094" t="s">
        <v>2909</v>
      </c>
      <c r="G1094" t="s">
        <v>23</v>
      </c>
      <c r="H1094" t="s">
        <v>24</v>
      </c>
      <c r="I1094" t="s">
        <v>3022</v>
      </c>
      <c r="J1094" t="s">
        <v>3097</v>
      </c>
      <c r="K1094" t="s">
        <v>63</v>
      </c>
      <c r="L1094" t="s">
        <v>571</v>
      </c>
      <c r="M1094" t="s">
        <v>29</v>
      </c>
      <c r="N1094" t="s">
        <v>34</v>
      </c>
      <c r="O1094" t="s">
        <v>572</v>
      </c>
      <c r="P1094">
        <v>715.2</v>
      </c>
      <c r="Q1094">
        <v>3</v>
      </c>
      <c r="R1094">
        <v>178.8</v>
      </c>
      <c r="S1094" t="s">
        <v>32</v>
      </c>
    </row>
    <row r="1095" spans="1:19" x14ac:dyDescent="0.35">
      <c r="A1095" t="s">
        <v>3098</v>
      </c>
      <c r="B1095" s="1">
        <v>41895</v>
      </c>
      <c r="C1095" s="1">
        <v>41899</v>
      </c>
      <c r="D1095" t="s">
        <v>37</v>
      </c>
      <c r="E1095" t="s">
        <v>1811</v>
      </c>
      <c r="F1095" t="s">
        <v>1812</v>
      </c>
      <c r="G1095" t="s">
        <v>94</v>
      </c>
      <c r="H1095" t="s">
        <v>24</v>
      </c>
      <c r="I1095" t="s">
        <v>2539</v>
      </c>
      <c r="J1095" t="s">
        <v>86</v>
      </c>
      <c r="K1095" t="s">
        <v>87</v>
      </c>
      <c r="L1095" t="s">
        <v>247</v>
      </c>
      <c r="M1095" t="s">
        <v>29</v>
      </c>
      <c r="N1095" t="s">
        <v>34</v>
      </c>
      <c r="O1095" t="s">
        <v>248</v>
      </c>
      <c r="P1095">
        <v>340.11599999999999</v>
      </c>
      <c r="Q1095">
        <v>6</v>
      </c>
      <c r="R1095">
        <v>-9.7175999999999991</v>
      </c>
      <c r="S1095" t="s">
        <v>72</v>
      </c>
    </row>
    <row r="1096" spans="1:19" x14ac:dyDescent="0.35">
      <c r="A1096" t="s">
        <v>3099</v>
      </c>
      <c r="B1096" s="1">
        <v>42252</v>
      </c>
      <c r="C1096" s="1">
        <v>42257</v>
      </c>
      <c r="D1096" t="s">
        <v>37</v>
      </c>
      <c r="E1096" t="s">
        <v>2608</v>
      </c>
      <c r="F1096" t="s">
        <v>2609</v>
      </c>
      <c r="G1096" t="s">
        <v>84</v>
      </c>
      <c r="H1096" t="s">
        <v>24</v>
      </c>
      <c r="I1096" t="s">
        <v>885</v>
      </c>
      <c r="J1096" t="s">
        <v>158</v>
      </c>
      <c r="K1096" t="s">
        <v>87</v>
      </c>
      <c r="L1096" t="s">
        <v>105</v>
      </c>
      <c r="M1096" t="s">
        <v>29</v>
      </c>
      <c r="N1096" t="s">
        <v>53</v>
      </c>
      <c r="O1096" t="s">
        <v>106</v>
      </c>
      <c r="P1096">
        <v>6.16</v>
      </c>
      <c r="Q1096">
        <v>2</v>
      </c>
      <c r="R1096">
        <v>2.9567999999999999</v>
      </c>
      <c r="S1096" t="s">
        <v>72</v>
      </c>
    </row>
    <row r="1097" spans="1:19" x14ac:dyDescent="0.35">
      <c r="A1097" t="s">
        <v>3100</v>
      </c>
      <c r="B1097" s="1">
        <v>42860</v>
      </c>
      <c r="C1097" s="1">
        <v>42861</v>
      </c>
      <c r="D1097" t="s">
        <v>81</v>
      </c>
      <c r="E1097" t="s">
        <v>2177</v>
      </c>
      <c r="F1097" t="s">
        <v>2178</v>
      </c>
      <c r="G1097" t="s">
        <v>23</v>
      </c>
      <c r="H1097" t="s">
        <v>24</v>
      </c>
      <c r="I1097" t="s">
        <v>856</v>
      </c>
      <c r="J1097" t="s">
        <v>172</v>
      </c>
      <c r="K1097" t="s">
        <v>51</v>
      </c>
      <c r="L1097" t="s">
        <v>1127</v>
      </c>
      <c r="M1097" t="s">
        <v>29</v>
      </c>
      <c r="N1097" t="s">
        <v>30</v>
      </c>
      <c r="O1097" t="s">
        <v>1128</v>
      </c>
      <c r="P1097">
        <v>89.991</v>
      </c>
      <c r="Q1097">
        <v>3</v>
      </c>
      <c r="R1097">
        <v>-152.9847</v>
      </c>
      <c r="S1097" t="s">
        <v>153</v>
      </c>
    </row>
    <row r="1098" spans="1:19" x14ac:dyDescent="0.35">
      <c r="A1098" t="s">
        <v>3101</v>
      </c>
      <c r="B1098" s="1">
        <v>41890</v>
      </c>
      <c r="C1098" s="1">
        <v>41897</v>
      </c>
      <c r="D1098" t="s">
        <v>37</v>
      </c>
      <c r="E1098" t="s">
        <v>1206</v>
      </c>
      <c r="F1098" t="s">
        <v>1207</v>
      </c>
      <c r="G1098" t="s">
        <v>23</v>
      </c>
      <c r="H1098" t="s">
        <v>24</v>
      </c>
      <c r="I1098" t="s">
        <v>95</v>
      </c>
      <c r="J1098" t="s">
        <v>86</v>
      </c>
      <c r="K1098" t="s">
        <v>87</v>
      </c>
      <c r="L1098" t="s">
        <v>238</v>
      </c>
      <c r="M1098" t="s">
        <v>29</v>
      </c>
      <c r="N1098" t="s">
        <v>34</v>
      </c>
      <c r="O1098" t="s">
        <v>239</v>
      </c>
      <c r="P1098">
        <v>966.7</v>
      </c>
      <c r="Q1098">
        <v>5</v>
      </c>
      <c r="R1098">
        <v>-13.81</v>
      </c>
      <c r="S1098" t="s">
        <v>72</v>
      </c>
    </row>
    <row r="1099" spans="1:19" x14ac:dyDescent="0.35">
      <c r="A1099" t="s">
        <v>3102</v>
      </c>
      <c r="B1099" s="1">
        <v>42364</v>
      </c>
      <c r="C1099" s="1">
        <v>42368</v>
      </c>
      <c r="D1099" t="s">
        <v>37</v>
      </c>
      <c r="E1099" t="s">
        <v>1363</v>
      </c>
      <c r="F1099" t="s">
        <v>1364</v>
      </c>
      <c r="G1099" t="s">
        <v>23</v>
      </c>
      <c r="H1099" t="s">
        <v>24</v>
      </c>
      <c r="I1099" t="s">
        <v>268</v>
      </c>
      <c r="J1099" t="s">
        <v>223</v>
      </c>
      <c r="K1099" t="s">
        <v>63</v>
      </c>
      <c r="L1099" t="s">
        <v>1053</v>
      </c>
      <c r="M1099" t="s">
        <v>29</v>
      </c>
      <c r="N1099" t="s">
        <v>43</v>
      </c>
      <c r="O1099" t="s">
        <v>1054</v>
      </c>
      <c r="P1099">
        <v>51.588000000000001</v>
      </c>
      <c r="Q1099">
        <v>1</v>
      </c>
      <c r="R1099">
        <v>-15.4764</v>
      </c>
      <c r="S1099" t="s">
        <v>90</v>
      </c>
    </row>
    <row r="1100" spans="1:19" x14ac:dyDescent="0.35">
      <c r="A1100" t="s">
        <v>3103</v>
      </c>
      <c r="B1100" s="1">
        <v>42943</v>
      </c>
      <c r="C1100" s="1">
        <v>42947</v>
      </c>
      <c r="D1100" t="s">
        <v>37</v>
      </c>
      <c r="E1100" t="s">
        <v>3083</v>
      </c>
      <c r="F1100" t="s">
        <v>3084</v>
      </c>
      <c r="G1100" t="s">
        <v>23</v>
      </c>
      <c r="H1100" t="s">
        <v>24</v>
      </c>
      <c r="I1100" t="s">
        <v>1024</v>
      </c>
      <c r="J1100" t="s">
        <v>114</v>
      </c>
      <c r="K1100" t="s">
        <v>63</v>
      </c>
      <c r="L1100" t="s">
        <v>1195</v>
      </c>
      <c r="M1100" t="s">
        <v>29</v>
      </c>
      <c r="N1100" t="s">
        <v>53</v>
      </c>
      <c r="O1100" t="s">
        <v>1196</v>
      </c>
      <c r="P1100">
        <v>14.89</v>
      </c>
      <c r="Q1100">
        <v>1</v>
      </c>
      <c r="R1100">
        <v>4.0202999999999998</v>
      </c>
      <c r="S1100" t="s">
        <v>66</v>
      </c>
    </row>
    <row r="1101" spans="1:19" x14ac:dyDescent="0.35">
      <c r="A1101" t="s">
        <v>3104</v>
      </c>
      <c r="B1101" s="1">
        <v>42520</v>
      </c>
      <c r="C1101" s="1">
        <v>42524</v>
      </c>
      <c r="D1101" t="s">
        <v>37</v>
      </c>
      <c r="E1101" t="s">
        <v>2567</v>
      </c>
      <c r="F1101" t="s">
        <v>2568</v>
      </c>
      <c r="G1101" t="s">
        <v>84</v>
      </c>
      <c r="H1101" t="s">
        <v>24</v>
      </c>
      <c r="I1101" t="s">
        <v>869</v>
      </c>
      <c r="J1101" t="s">
        <v>707</v>
      </c>
      <c r="K1101" t="s">
        <v>27</v>
      </c>
      <c r="L1101" t="s">
        <v>1874</v>
      </c>
      <c r="M1101" t="s">
        <v>29</v>
      </c>
      <c r="N1101" t="s">
        <v>43</v>
      </c>
      <c r="O1101" t="s">
        <v>1875</v>
      </c>
      <c r="P1101">
        <v>2275.5</v>
      </c>
      <c r="Q1101">
        <v>10</v>
      </c>
      <c r="R1101">
        <v>386.83499999999998</v>
      </c>
      <c r="S1101" t="s">
        <v>153</v>
      </c>
    </row>
    <row r="1102" spans="1:19" x14ac:dyDescent="0.35">
      <c r="A1102" t="s">
        <v>3105</v>
      </c>
      <c r="B1102" s="1">
        <v>41959</v>
      </c>
      <c r="C1102" s="1">
        <v>41963</v>
      </c>
      <c r="D1102" t="s">
        <v>37</v>
      </c>
      <c r="E1102" t="s">
        <v>3106</v>
      </c>
      <c r="F1102" t="s">
        <v>3107</v>
      </c>
      <c r="G1102" t="s">
        <v>23</v>
      </c>
      <c r="H1102" t="s">
        <v>24</v>
      </c>
      <c r="I1102" t="s">
        <v>504</v>
      </c>
      <c r="J1102" t="s">
        <v>126</v>
      </c>
      <c r="K1102" t="s">
        <v>87</v>
      </c>
      <c r="L1102" t="s">
        <v>1999</v>
      </c>
      <c r="M1102" t="s">
        <v>29</v>
      </c>
      <c r="N1102" t="s">
        <v>34</v>
      </c>
      <c r="O1102" t="s">
        <v>2000</v>
      </c>
      <c r="P1102">
        <v>37.295999999999999</v>
      </c>
      <c r="Q1102">
        <v>2</v>
      </c>
      <c r="R1102">
        <v>-1.0656000000000001</v>
      </c>
      <c r="S1102" t="s">
        <v>32</v>
      </c>
    </row>
    <row r="1103" spans="1:19" x14ac:dyDescent="0.35">
      <c r="A1103" t="s">
        <v>3108</v>
      </c>
      <c r="B1103" s="1">
        <v>41903</v>
      </c>
      <c r="C1103" s="1">
        <v>41905</v>
      </c>
      <c r="D1103" t="s">
        <v>81</v>
      </c>
      <c r="E1103" t="s">
        <v>515</v>
      </c>
      <c r="F1103" t="s">
        <v>516</v>
      </c>
      <c r="G1103" t="s">
        <v>94</v>
      </c>
      <c r="H1103" t="s">
        <v>24</v>
      </c>
      <c r="I1103" t="s">
        <v>3109</v>
      </c>
      <c r="J1103" t="s">
        <v>86</v>
      </c>
      <c r="K1103" t="s">
        <v>87</v>
      </c>
      <c r="L1103" t="s">
        <v>2131</v>
      </c>
      <c r="M1103" t="s">
        <v>29</v>
      </c>
      <c r="N1103" t="s">
        <v>53</v>
      </c>
      <c r="O1103" t="s">
        <v>2132</v>
      </c>
      <c r="P1103">
        <v>8.5440000000000005</v>
      </c>
      <c r="Q1103">
        <v>2</v>
      </c>
      <c r="R1103">
        <v>-7.476</v>
      </c>
      <c r="S1103" t="s">
        <v>72</v>
      </c>
    </row>
    <row r="1104" spans="1:19" x14ac:dyDescent="0.35">
      <c r="A1104" t="s">
        <v>3110</v>
      </c>
      <c r="B1104" s="1">
        <v>42421</v>
      </c>
      <c r="C1104" s="1">
        <v>42426</v>
      </c>
      <c r="D1104" t="s">
        <v>37</v>
      </c>
      <c r="E1104" t="s">
        <v>789</v>
      </c>
      <c r="F1104" t="s">
        <v>790</v>
      </c>
      <c r="G1104" t="s">
        <v>84</v>
      </c>
      <c r="H1104" t="s">
        <v>24</v>
      </c>
      <c r="I1104" t="s">
        <v>752</v>
      </c>
      <c r="J1104" t="s">
        <v>114</v>
      </c>
      <c r="K1104" t="s">
        <v>63</v>
      </c>
      <c r="L1104" t="s">
        <v>166</v>
      </c>
      <c r="M1104" t="s">
        <v>29</v>
      </c>
      <c r="N1104" t="s">
        <v>53</v>
      </c>
      <c r="O1104" t="s">
        <v>167</v>
      </c>
      <c r="P1104">
        <v>68.95</v>
      </c>
      <c r="Q1104">
        <v>5</v>
      </c>
      <c r="R1104">
        <v>28.959</v>
      </c>
      <c r="S1104" t="s">
        <v>289</v>
      </c>
    </row>
    <row r="1105" spans="1:19" x14ac:dyDescent="0.35">
      <c r="A1105" t="s">
        <v>3111</v>
      </c>
      <c r="B1105" s="1">
        <v>43058</v>
      </c>
      <c r="C1105" s="1">
        <v>43060</v>
      </c>
      <c r="D1105" t="s">
        <v>81</v>
      </c>
      <c r="E1105" t="s">
        <v>2562</v>
      </c>
      <c r="F1105" t="s">
        <v>2563</v>
      </c>
      <c r="G1105" t="s">
        <v>23</v>
      </c>
      <c r="H1105" t="s">
        <v>24</v>
      </c>
      <c r="I1105" t="s">
        <v>95</v>
      </c>
      <c r="J1105" t="s">
        <v>86</v>
      </c>
      <c r="K1105" t="s">
        <v>87</v>
      </c>
      <c r="L1105" t="s">
        <v>1608</v>
      </c>
      <c r="M1105" t="s">
        <v>29</v>
      </c>
      <c r="N1105" t="s">
        <v>34</v>
      </c>
      <c r="O1105" t="s">
        <v>1609</v>
      </c>
      <c r="P1105">
        <v>191.05799999999999</v>
      </c>
      <c r="Q1105">
        <v>3</v>
      </c>
      <c r="R1105">
        <v>-46.399799999999999</v>
      </c>
      <c r="S1105" t="s">
        <v>32</v>
      </c>
    </row>
    <row r="1106" spans="1:19" x14ac:dyDescent="0.35">
      <c r="A1106" t="s">
        <v>3112</v>
      </c>
      <c r="B1106" s="1">
        <v>42855</v>
      </c>
      <c r="C1106" s="1">
        <v>42860</v>
      </c>
      <c r="D1106" t="s">
        <v>37</v>
      </c>
      <c r="E1106" t="s">
        <v>389</v>
      </c>
      <c r="F1106" t="s">
        <v>390</v>
      </c>
      <c r="G1106" t="s">
        <v>84</v>
      </c>
      <c r="H1106" t="s">
        <v>24</v>
      </c>
      <c r="I1106" t="s">
        <v>320</v>
      </c>
      <c r="J1106" t="s">
        <v>50</v>
      </c>
      <c r="K1106" t="s">
        <v>51</v>
      </c>
      <c r="L1106" t="s">
        <v>747</v>
      </c>
      <c r="M1106" t="s">
        <v>29</v>
      </c>
      <c r="N1106" t="s">
        <v>53</v>
      </c>
      <c r="O1106" t="s">
        <v>748</v>
      </c>
      <c r="P1106">
        <v>64.959999999999994</v>
      </c>
      <c r="Q1106">
        <v>2</v>
      </c>
      <c r="R1106">
        <v>21.436800000000002</v>
      </c>
      <c r="S1106" t="s">
        <v>107</v>
      </c>
    </row>
    <row r="1107" spans="1:19" x14ac:dyDescent="0.35">
      <c r="A1107" t="s">
        <v>3113</v>
      </c>
      <c r="B1107" s="1">
        <v>42492</v>
      </c>
      <c r="C1107" s="1">
        <v>42498</v>
      </c>
      <c r="D1107" t="s">
        <v>37</v>
      </c>
      <c r="E1107" t="s">
        <v>2039</v>
      </c>
      <c r="F1107" t="s">
        <v>2040</v>
      </c>
      <c r="G1107" t="s">
        <v>23</v>
      </c>
      <c r="H1107" t="s">
        <v>24</v>
      </c>
      <c r="I1107" t="s">
        <v>2560</v>
      </c>
      <c r="J1107" t="s">
        <v>1027</v>
      </c>
      <c r="K1107" t="s">
        <v>27</v>
      </c>
      <c r="L1107" t="s">
        <v>994</v>
      </c>
      <c r="M1107" t="s">
        <v>29</v>
      </c>
      <c r="N1107" t="s">
        <v>34</v>
      </c>
      <c r="O1107" t="s">
        <v>995</v>
      </c>
      <c r="P1107">
        <v>187.05600000000001</v>
      </c>
      <c r="Q1107">
        <v>9</v>
      </c>
      <c r="R1107">
        <v>11.691000000000001</v>
      </c>
      <c r="S1107" t="s">
        <v>153</v>
      </c>
    </row>
    <row r="1108" spans="1:19" x14ac:dyDescent="0.35">
      <c r="A1108" t="s">
        <v>3114</v>
      </c>
      <c r="B1108" s="1">
        <v>43010</v>
      </c>
      <c r="C1108" s="1">
        <v>43013</v>
      </c>
      <c r="D1108" t="s">
        <v>81</v>
      </c>
      <c r="E1108" t="s">
        <v>2422</v>
      </c>
      <c r="F1108" t="s">
        <v>2423</v>
      </c>
      <c r="G1108" t="s">
        <v>94</v>
      </c>
      <c r="H1108" t="s">
        <v>24</v>
      </c>
      <c r="I1108" t="s">
        <v>3115</v>
      </c>
      <c r="J1108" t="s">
        <v>133</v>
      </c>
      <c r="K1108" t="s">
        <v>27</v>
      </c>
      <c r="L1108" t="s">
        <v>1709</v>
      </c>
      <c r="M1108" t="s">
        <v>29</v>
      </c>
      <c r="N1108" t="s">
        <v>53</v>
      </c>
      <c r="O1108" t="s">
        <v>1710</v>
      </c>
      <c r="P1108">
        <v>11.808</v>
      </c>
      <c r="Q1108">
        <v>2</v>
      </c>
      <c r="R1108">
        <v>1.3284</v>
      </c>
      <c r="S1108" t="s">
        <v>45</v>
      </c>
    </row>
    <row r="1109" spans="1:19" x14ac:dyDescent="0.35">
      <c r="A1109" t="s">
        <v>3114</v>
      </c>
      <c r="B1109" s="1">
        <v>43010</v>
      </c>
      <c r="C1109" s="1">
        <v>43013</v>
      </c>
      <c r="D1109" t="s">
        <v>81</v>
      </c>
      <c r="E1109" t="s">
        <v>2422</v>
      </c>
      <c r="F1109" t="s">
        <v>2423</v>
      </c>
      <c r="G1109" t="s">
        <v>94</v>
      </c>
      <c r="H1109" t="s">
        <v>24</v>
      </c>
      <c r="I1109" t="s">
        <v>3115</v>
      </c>
      <c r="J1109" t="s">
        <v>133</v>
      </c>
      <c r="K1109" t="s">
        <v>27</v>
      </c>
      <c r="L1109" t="s">
        <v>542</v>
      </c>
      <c r="M1109" t="s">
        <v>29</v>
      </c>
      <c r="N1109" t="s">
        <v>53</v>
      </c>
      <c r="O1109" t="s">
        <v>3116</v>
      </c>
      <c r="P1109">
        <v>9.6560000000000006</v>
      </c>
      <c r="Q1109">
        <v>1</v>
      </c>
      <c r="R1109">
        <v>1.5690999999999999</v>
      </c>
      <c r="S1109" t="s">
        <v>45</v>
      </c>
    </row>
    <row r="1110" spans="1:19" x14ac:dyDescent="0.35">
      <c r="A1110" t="s">
        <v>3114</v>
      </c>
      <c r="B1110" s="1">
        <v>43010</v>
      </c>
      <c r="C1110" s="1">
        <v>43013</v>
      </c>
      <c r="D1110" t="s">
        <v>81</v>
      </c>
      <c r="E1110" t="s">
        <v>2422</v>
      </c>
      <c r="F1110" t="s">
        <v>2423</v>
      </c>
      <c r="G1110" t="s">
        <v>94</v>
      </c>
      <c r="H1110" t="s">
        <v>24</v>
      </c>
      <c r="I1110" t="s">
        <v>3115</v>
      </c>
      <c r="J1110" t="s">
        <v>133</v>
      </c>
      <c r="K1110" t="s">
        <v>27</v>
      </c>
      <c r="L1110" t="s">
        <v>742</v>
      </c>
      <c r="M1110" t="s">
        <v>29</v>
      </c>
      <c r="N1110" t="s">
        <v>43</v>
      </c>
      <c r="O1110" t="s">
        <v>743</v>
      </c>
      <c r="P1110">
        <v>2314.116</v>
      </c>
      <c r="Q1110">
        <v>7</v>
      </c>
      <c r="R1110">
        <v>-1002.7836</v>
      </c>
      <c r="S1110" t="s">
        <v>45</v>
      </c>
    </row>
    <row r="1111" spans="1:19" x14ac:dyDescent="0.35">
      <c r="A1111" t="s">
        <v>3114</v>
      </c>
      <c r="B1111" s="1">
        <v>43010</v>
      </c>
      <c r="C1111" s="1">
        <v>43013</v>
      </c>
      <c r="D1111" t="s">
        <v>81</v>
      </c>
      <c r="E1111" t="s">
        <v>2422</v>
      </c>
      <c r="F1111" t="s">
        <v>2423</v>
      </c>
      <c r="G1111" t="s">
        <v>94</v>
      </c>
      <c r="H1111" t="s">
        <v>24</v>
      </c>
      <c r="I1111" t="s">
        <v>3115</v>
      </c>
      <c r="J1111" t="s">
        <v>133</v>
      </c>
      <c r="K1111" t="s">
        <v>27</v>
      </c>
      <c r="L1111" t="s">
        <v>1119</v>
      </c>
      <c r="M1111" t="s">
        <v>29</v>
      </c>
      <c r="N1111" t="s">
        <v>53</v>
      </c>
      <c r="O1111" t="s">
        <v>1120</v>
      </c>
      <c r="P1111">
        <v>19.760000000000002</v>
      </c>
      <c r="Q1111">
        <v>2</v>
      </c>
      <c r="R1111">
        <v>5.9279999999999999</v>
      </c>
      <c r="S1111" t="s">
        <v>45</v>
      </c>
    </row>
    <row r="1112" spans="1:19" x14ac:dyDescent="0.35">
      <c r="A1112" t="s">
        <v>3117</v>
      </c>
      <c r="B1112" s="1">
        <v>42342</v>
      </c>
      <c r="C1112" s="1">
        <v>42347</v>
      </c>
      <c r="D1112" t="s">
        <v>37</v>
      </c>
      <c r="E1112" t="s">
        <v>938</v>
      </c>
      <c r="F1112" t="s">
        <v>939</v>
      </c>
      <c r="G1112" t="s">
        <v>23</v>
      </c>
      <c r="H1112" t="s">
        <v>24</v>
      </c>
      <c r="I1112" t="s">
        <v>2051</v>
      </c>
      <c r="J1112" t="s">
        <v>50</v>
      </c>
      <c r="K1112" t="s">
        <v>51</v>
      </c>
      <c r="L1112" t="s">
        <v>1302</v>
      </c>
      <c r="M1112" t="s">
        <v>29</v>
      </c>
      <c r="N1112" t="s">
        <v>53</v>
      </c>
      <c r="O1112" t="s">
        <v>1303</v>
      </c>
      <c r="P1112">
        <v>25.08</v>
      </c>
      <c r="Q1112">
        <v>6</v>
      </c>
      <c r="R1112">
        <v>9.0288000000000004</v>
      </c>
      <c r="S1112" t="s">
        <v>90</v>
      </c>
    </row>
    <row r="1113" spans="1:19" x14ac:dyDescent="0.35">
      <c r="A1113" t="s">
        <v>3118</v>
      </c>
      <c r="B1113" s="1">
        <v>42617</v>
      </c>
      <c r="C1113" s="1">
        <v>42621</v>
      </c>
      <c r="D1113" t="s">
        <v>37</v>
      </c>
      <c r="E1113" t="s">
        <v>3119</v>
      </c>
      <c r="F1113" t="s">
        <v>3120</v>
      </c>
      <c r="G1113" t="s">
        <v>23</v>
      </c>
      <c r="H1113" t="s">
        <v>24</v>
      </c>
      <c r="I1113" t="s">
        <v>165</v>
      </c>
      <c r="J1113" t="s">
        <v>114</v>
      </c>
      <c r="K1113" t="s">
        <v>63</v>
      </c>
      <c r="L1113" t="s">
        <v>1746</v>
      </c>
      <c r="M1113" t="s">
        <v>29</v>
      </c>
      <c r="N1113" t="s">
        <v>53</v>
      </c>
      <c r="O1113" t="s">
        <v>1747</v>
      </c>
      <c r="P1113">
        <v>63.94</v>
      </c>
      <c r="Q1113">
        <v>1</v>
      </c>
      <c r="R1113">
        <v>24.936599999999999</v>
      </c>
      <c r="S1113" t="s">
        <v>72</v>
      </c>
    </row>
    <row r="1114" spans="1:19" x14ac:dyDescent="0.35">
      <c r="A1114" t="s">
        <v>3121</v>
      </c>
      <c r="B1114" s="1">
        <v>41877</v>
      </c>
      <c r="C1114" s="1">
        <v>41883</v>
      </c>
      <c r="D1114" t="s">
        <v>37</v>
      </c>
      <c r="E1114" t="s">
        <v>155</v>
      </c>
      <c r="F1114" t="s">
        <v>156</v>
      </c>
      <c r="G1114" t="s">
        <v>23</v>
      </c>
      <c r="H1114" t="s">
        <v>24</v>
      </c>
      <c r="I1114" t="s">
        <v>222</v>
      </c>
      <c r="J1114" t="s">
        <v>192</v>
      </c>
      <c r="K1114" t="s">
        <v>63</v>
      </c>
      <c r="L1114" t="s">
        <v>2504</v>
      </c>
      <c r="M1114" t="s">
        <v>29</v>
      </c>
      <c r="N1114" t="s">
        <v>53</v>
      </c>
      <c r="O1114" t="s">
        <v>2505</v>
      </c>
      <c r="P1114">
        <v>10.68</v>
      </c>
      <c r="Q1114">
        <v>4</v>
      </c>
      <c r="R1114">
        <v>4.0583999999999998</v>
      </c>
      <c r="S1114" t="s">
        <v>245</v>
      </c>
    </row>
    <row r="1115" spans="1:19" x14ac:dyDescent="0.35">
      <c r="A1115" t="s">
        <v>3122</v>
      </c>
      <c r="B1115" s="1">
        <v>41772</v>
      </c>
      <c r="C1115" s="1">
        <v>41778</v>
      </c>
      <c r="D1115" t="s">
        <v>37</v>
      </c>
      <c r="E1115" t="s">
        <v>2362</v>
      </c>
      <c r="F1115" t="s">
        <v>2363</v>
      </c>
      <c r="G1115" t="s">
        <v>84</v>
      </c>
      <c r="H1115" t="s">
        <v>24</v>
      </c>
      <c r="I1115" t="s">
        <v>49</v>
      </c>
      <c r="J1115" t="s">
        <v>50</v>
      </c>
      <c r="K1115" t="s">
        <v>51</v>
      </c>
      <c r="L1115" t="s">
        <v>1883</v>
      </c>
      <c r="M1115" t="s">
        <v>29</v>
      </c>
      <c r="N1115" t="s">
        <v>34</v>
      </c>
      <c r="O1115" t="s">
        <v>1884</v>
      </c>
      <c r="P1115">
        <v>279.45600000000002</v>
      </c>
      <c r="Q1115">
        <v>6</v>
      </c>
      <c r="R1115">
        <v>20.959199999999999</v>
      </c>
      <c r="S1115" t="s">
        <v>153</v>
      </c>
    </row>
    <row r="1116" spans="1:19" x14ac:dyDescent="0.35">
      <c r="A1116" t="s">
        <v>3123</v>
      </c>
      <c r="B1116" s="1">
        <v>42839</v>
      </c>
      <c r="C1116" s="1">
        <v>42843</v>
      </c>
      <c r="D1116" t="s">
        <v>37</v>
      </c>
      <c r="E1116" t="s">
        <v>1929</v>
      </c>
      <c r="F1116" t="s">
        <v>1930</v>
      </c>
      <c r="G1116" t="s">
        <v>84</v>
      </c>
      <c r="H1116" t="s">
        <v>24</v>
      </c>
      <c r="I1116" t="s">
        <v>1902</v>
      </c>
      <c r="J1116" t="s">
        <v>1027</v>
      </c>
      <c r="K1116" t="s">
        <v>27</v>
      </c>
      <c r="L1116" t="s">
        <v>1166</v>
      </c>
      <c r="M1116" t="s">
        <v>29</v>
      </c>
      <c r="N1116" t="s">
        <v>30</v>
      </c>
      <c r="O1116" t="s">
        <v>1167</v>
      </c>
      <c r="P1116">
        <v>198.27199999999999</v>
      </c>
      <c r="Q1116">
        <v>8</v>
      </c>
      <c r="R1116">
        <v>-32.219200000000001</v>
      </c>
      <c r="S1116" t="s">
        <v>107</v>
      </c>
    </row>
    <row r="1117" spans="1:19" x14ac:dyDescent="0.35">
      <c r="A1117" t="s">
        <v>3124</v>
      </c>
      <c r="B1117" s="1">
        <v>42733</v>
      </c>
      <c r="C1117" s="1">
        <v>42737</v>
      </c>
      <c r="D1117" t="s">
        <v>37</v>
      </c>
      <c r="E1117" t="s">
        <v>815</v>
      </c>
      <c r="F1117" t="s">
        <v>816</v>
      </c>
      <c r="G1117" t="s">
        <v>23</v>
      </c>
      <c r="H1117" t="s">
        <v>24</v>
      </c>
      <c r="I1117" t="s">
        <v>3125</v>
      </c>
      <c r="J1117" t="s">
        <v>3126</v>
      </c>
      <c r="K1117" t="s">
        <v>87</v>
      </c>
      <c r="L1117" t="s">
        <v>2400</v>
      </c>
      <c r="M1117" t="s">
        <v>29</v>
      </c>
      <c r="N1117" t="s">
        <v>53</v>
      </c>
      <c r="O1117" t="s">
        <v>2401</v>
      </c>
      <c r="P1117">
        <v>70.56</v>
      </c>
      <c r="Q1117">
        <v>6</v>
      </c>
      <c r="R1117">
        <v>23.990400000000001</v>
      </c>
      <c r="S1117" t="s">
        <v>90</v>
      </c>
    </row>
    <row r="1118" spans="1:19" x14ac:dyDescent="0.35">
      <c r="A1118" t="s">
        <v>3127</v>
      </c>
      <c r="B1118" s="1">
        <v>42833</v>
      </c>
      <c r="C1118" s="1">
        <v>42837</v>
      </c>
      <c r="D1118" t="s">
        <v>37</v>
      </c>
      <c r="E1118" t="s">
        <v>3128</v>
      </c>
      <c r="F1118" t="s">
        <v>3129</v>
      </c>
      <c r="G1118" t="s">
        <v>84</v>
      </c>
      <c r="H1118" t="s">
        <v>24</v>
      </c>
      <c r="I1118" t="s">
        <v>3130</v>
      </c>
      <c r="J1118" t="s">
        <v>281</v>
      </c>
      <c r="K1118" t="s">
        <v>87</v>
      </c>
      <c r="L1118" t="s">
        <v>1948</v>
      </c>
      <c r="M1118" t="s">
        <v>29</v>
      </c>
      <c r="N1118" t="s">
        <v>53</v>
      </c>
      <c r="O1118" t="s">
        <v>1949</v>
      </c>
      <c r="P1118">
        <v>273.95999999999998</v>
      </c>
      <c r="Q1118">
        <v>2</v>
      </c>
      <c r="R1118">
        <v>71.229600000000005</v>
      </c>
      <c r="S1118" t="s">
        <v>107</v>
      </c>
    </row>
    <row r="1119" spans="1:19" x14ac:dyDescent="0.35">
      <c r="A1119" t="s">
        <v>3127</v>
      </c>
      <c r="B1119" s="1">
        <v>42833</v>
      </c>
      <c r="C1119" s="1">
        <v>42837</v>
      </c>
      <c r="D1119" t="s">
        <v>37</v>
      </c>
      <c r="E1119" t="s">
        <v>3128</v>
      </c>
      <c r="F1119" t="s">
        <v>3129</v>
      </c>
      <c r="G1119" t="s">
        <v>84</v>
      </c>
      <c r="H1119" t="s">
        <v>24</v>
      </c>
      <c r="I1119" t="s">
        <v>3130</v>
      </c>
      <c r="J1119" t="s">
        <v>281</v>
      </c>
      <c r="K1119" t="s">
        <v>87</v>
      </c>
      <c r="L1119" t="s">
        <v>926</v>
      </c>
      <c r="M1119" t="s">
        <v>29</v>
      </c>
      <c r="N1119" t="s">
        <v>53</v>
      </c>
      <c r="O1119" t="s">
        <v>927</v>
      </c>
      <c r="P1119">
        <v>306.89999999999998</v>
      </c>
      <c r="Q1119">
        <v>3</v>
      </c>
      <c r="R1119">
        <v>79.793999999999997</v>
      </c>
      <c r="S1119" t="s">
        <v>107</v>
      </c>
    </row>
    <row r="1120" spans="1:19" x14ac:dyDescent="0.35">
      <c r="A1120" t="s">
        <v>3131</v>
      </c>
      <c r="B1120" s="1">
        <v>42301</v>
      </c>
      <c r="C1120" s="1">
        <v>42307</v>
      </c>
      <c r="D1120" t="s">
        <v>37</v>
      </c>
      <c r="E1120" t="s">
        <v>3132</v>
      </c>
      <c r="F1120" t="s">
        <v>3133</v>
      </c>
      <c r="G1120" t="s">
        <v>84</v>
      </c>
      <c r="H1120" t="s">
        <v>24</v>
      </c>
      <c r="I1120" t="s">
        <v>95</v>
      </c>
      <c r="J1120" t="s">
        <v>86</v>
      </c>
      <c r="K1120" t="s">
        <v>87</v>
      </c>
      <c r="L1120" t="s">
        <v>309</v>
      </c>
      <c r="M1120" t="s">
        <v>29</v>
      </c>
      <c r="N1120" t="s">
        <v>43</v>
      </c>
      <c r="O1120" t="s">
        <v>310</v>
      </c>
      <c r="P1120">
        <v>347.36099999999999</v>
      </c>
      <c r="Q1120">
        <v>7</v>
      </c>
      <c r="R1120">
        <v>-69.472200000000001</v>
      </c>
      <c r="S1120" t="s">
        <v>45</v>
      </c>
    </row>
    <row r="1121" spans="1:19" x14ac:dyDescent="0.35">
      <c r="A1121" t="s">
        <v>3134</v>
      </c>
      <c r="B1121" s="1">
        <v>41962</v>
      </c>
      <c r="C1121" s="1">
        <v>41968</v>
      </c>
      <c r="D1121" t="s">
        <v>37</v>
      </c>
      <c r="E1121" t="s">
        <v>3135</v>
      </c>
      <c r="F1121" t="s">
        <v>3136</v>
      </c>
      <c r="G1121" t="s">
        <v>84</v>
      </c>
      <c r="H1121" t="s">
        <v>24</v>
      </c>
      <c r="I1121" t="s">
        <v>191</v>
      </c>
      <c r="J1121" t="s">
        <v>192</v>
      </c>
      <c r="K1121" t="s">
        <v>63</v>
      </c>
      <c r="L1121" t="s">
        <v>1371</v>
      </c>
      <c r="M1121" t="s">
        <v>29</v>
      </c>
      <c r="N1121" t="s">
        <v>30</v>
      </c>
      <c r="O1121" t="s">
        <v>1372</v>
      </c>
      <c r="P1121">
        <v>1025.8800000000001</v>
      </c>
      <c r="Q1121">
        <v>6</v>
      </c>
      <c r="R1121">
        <v>235.95240000000001</v>
      </c>
      <c r="S1121" t="s">
        <v>32</v>
      </c>
    </row>
    <row r="1122" spans="1:19" x14ac:dyDescent="0.35">
      <c r="A1122" t="s">
        <v>3137</v>
      </c>
      <c r="B1122" s="1">
        <v>42637</v>
      </c>
      <c r="C1122" s="1">
        <v>42637</v>
      </c>
      <c r="D1122" t="s">
        <v>417</v>
      </c>
      <c r="E1122" t="s">
        <v>2372</v>
      </c>
      <c r="F1122" t="s">
        <v>2373</v>
      </c>
      <c r="G1122" t="s">
        <v>84</v>
      </c>
      <c r="H1122" t="s">
        <v>24</v>
      </c>
      <c r="I1122" t="s">
        <v>320</v>
      </c>
      <c r="J1122" t="s">
        <v>50</v>
      </c>
      <c r="K1122" t="s">
        <v>51</v>
      </c>
      <c r="L1122" t="s">
        <v>1825</v>
      </c>
      <c r="M1122" t="s">
        <v>29</v>
      </c>
      <c r="N1122" t="s">
        <v>53</v>
      </c>
      <c r="O1122" t="s">
        <v>1826</v>
      </c>
      <c r="P1122">
        <v>63.2</v>
      </c>
      <c r="Q1122">
        <v>5</v>
      </c>
      <c r="R1122">
        <v>23.384</v>
      </c>
      <c r="S1122" t="s">
        <v>72</v>
      </c>
    </row>
    <row r="1123" spans="1:19" x14ac:dyDescent="0.35">
      <c r="A1123" t="s">
        <v>3138</v>
      </c>
      <c r="B1123" s="1">
        <v>42469</v>
      </c>
      <c r="C1123" s="1">
        <v>42474</v>
      </c>
      <c r="D1123" t="s">
        <v>37</v>
      </c>
      <c r="E1123" t="s">
        <v>2026</v>
      </c>
      <c r="F1123" t="s">
        <v>2027</v>
      </c>
      <c r="G1123" t="s">
        <v>23</v>
      </c>
      <c r="H1123" t="s">
        <v>24</v>
      </c>
      <c r="I1123" t="s">
        <v>49</v>
      </c>
      <c r="J1123" t="s">
        <v>50</v>
      </c>
      <c r="K1123" t="s">
        <v>51</v>
      </c>
      <c r="L1123" t="s">
        <v>28</v>
      </c>
      <c r="M1123" t="s">
        <v>29</v>
      </c>
      <c r="N1123" t="s">
        <v>30</v>
      </c>
      <c r="O1123" t="s">
        <v>31</v>
      </c>
      <c r="P1123">
        <v>556.66499999999996</v>
      </c>
      <c r="Q1123">
        <v>5</v>
      </c>
      <c r="R1123">
        <v>6.5490000000000004</v>
      </c>
      <c r="S1123" t="s">
        <v>107</v>
      </c>
    </row>
    <row r="1124" spans="1:19" x14ac:dyDescent="0.35">
      <c r="A1124" t="s">
        <v>3139</v>
      </c>
      <c r="B1124" s="1">
        <v>42707</v>
      </c>
      <c r="C1124" s="1">
        <v>42710</v>
      </c>
      <c r="D1124" t="s">
        <v>81</v>
      </c>
      <c r="E1124" t="s">
        <v>1300</v>
      </c>
      <c r="F1124" t="s">
        <v>1301</v>
      </c>
      <c r="G1124" t="s">
        <v>23</v>
      </c>
      <c r="H1124" t="s">
        <v>24</v>
      </c>
      <c r="I1124" t="s">
        <v>49</v>
      </c>
      <c r="J1124" t="s">
        <v>50</v>
      </c>
      <c r="K1124" t="s">
        <v>51</v>
      </c>
      <c r="L1124" t="s">
        <v>2639</v>
      </c>
      <c r="M1124" t="s">
        <v>29</v>
      </c>
      <c r="N1124" t="s">
        <v>53</v>
      </c>
      <c r="O1124" t="s">
        <v>2640</v>
      </c>
      <c r="P1124">
        <v>111.9</v>
      </c>
      <c r="Q1124">
        <v>6</v>
      </c>
      <c r="R1124">
        <v>51.473999999999997</v>
      </c>
      <c r="S1124" t="s">
        <v>90</v>
      </c>
    </row>
    <row r="1125" spans="1:19" x14ac:dyDescent="0.35">
      <c r="A1125" t="s">
        <v>3140</v>
      </c>
      <c r="B1125" s="1">
        <v>42535</v>
      </c>
      <c r="C1125" s="1">
        <v>42535</v>
      </c>
      <c r="D1125" t="s">
        <v>417</v>
      </c>
      <c r="E1125" t="s">
        <v>3141</v>
      </c>
      <c r="F1125" t="s">
        <v>3142</v>
      </c>
      <c r="G1125" t="s">
        <v>94</v>
      </c>
      <c r="H1125" t="s">
        <v>24</v>
      </c>
      <c r="I1125" t="s">
        <v>49</v>
      </c>
      <c r="J1125" t="s">
        <v>50</v>
      </c>
      <c r="K1125" t="s">
        <v>51</v>
      </c>
      <c r="L1125" t="s">
        <v>2613</v>
      </c>
      <c r="M1125" t="s">
        <v>29</v>
      </c>
      <c r="N1125" t="s">
        <v>30</v>
      </c>
      <c r="O1125" t="s">
        <v>2614</v>
      </c>
      <c r="P1125">
        <v>599.16499999999996</v>
      </c>
      <c r="Q1125">
        <v>5</v>
      </c>
      <c r="R1125">
        <v>35.244999999999997</v>
      </c>
      <c r="S1125" t="s">
        <v>55</v>
      </c>
    </row>
    <row r="1126" spans="1:19" x14ac:dyDescent="0.35">
      <c r="A1126" t="s">
        <v>3143</v>
      </c>
      <c r="B1126" s="1">
        <v>41887</v>
      </c>
      <c r="C1126" s="1">
        <v>41889</v>
      </c>
      <c r="D1126" t="s">
        <v>81</v>
      </c>
      <c r="E1126" t="s">
        <v>2384</v>
      </c>
      <c r="F1126" t="s">
        <v>2385</v>
      </c>
      <c r="G1126" t="s">
        <v>23</v>
      </c>
      <c r="H1126" t="s">
        <v>24</v>
      </c>
      <c r="I1126" t="s">
        <v>780</v>
      </c>
      <c r="J1126" t="s">
        <v>41</v>
      </c>
      <c r="K1126" t="s">
        <v>27</v>
      </c>
      <c r="L1126" t="s">
        <v>392</v>
      </c>
      <c r="M1126" t="s">
        <v>29</v>
      </c>
      <c r="N1126" t="s">
        <v>53</v>
      </c>
      <c r="O1126" t="s">
        <v>393</v>
      </c>
      <c r="P1126">
        <v>31.984000000000002</v>
      </c>
      <c r="Q1126">
        <v>2</v>
      </c>
      <c r="R1126">
        <v>1.9990000000000001</v>
      </c>
      <c r="S1126" t="s">
        <v>72</v>
      </c>
    </row>
    <row r="1127" spans="1:19" x14ac:dyDescent="0.35">
      <c r="A1127" t="s">
        <v>3144</v>
      </c>
      <c r="B1127" s="1">
        <v>41825</v>
      </c>
      <c r="C1127" s="1">
        <v>41828</v>
      </c>
      <c r="D1127" t="s">
        <v>81</v>
      </c>
      <c r="E1127" t="s">
        <v>3145</v>
      </c>
      <c r="F1127" t="s">
        <v>3146</v>
      </c>
      <c r="G1127" t="s">
        <v>84</v>
      </c>
      <c r="H1127" t="s">
        <v>24</v>
      </c>
      <c r="I1127" t="s">
        <v>3147</v>
      </c>
      <c r="J1127" t="s">
        <v>41</v>
      </c>
      <c r="K1127" t="s">
        <v>27</v>
      </c>
      <c r="L1127" t="s">
        <v>1473</v>
      </c>
      <c r="M1127" t="s">
        <v>29</v>
      </c>
      <c r="N1127" t="s">
        <v>53</v>
      </c>
      <c r="O1127" t="s">
        <v>1474</v>
      </c>
      <c r="P1127">
        <v>19.52</v>
      </c>
      <c r="Q1127">
        <v>2</v>
      </c>
      <c r="R1127">
        <v>5.3680000000000003</v>
      </c>
      <c r="S1127" t="s">
        <v>66</v>
      </c>
    </row>
    <row r="1128" spans="1:19" x14ac:dyDescent="0.35">
      <c r="A1128" t="s">
        <v>3144</v>
      </c>
      <c r="B1128" s="1">
        <v>41825</v>
      </c>
      <c r="C1128" s="1">
        <v>41828</v>
      </c>
      <c r="D1128" t="s">
        <v>81</v>
      </c>
      <c r="E1128" t="s">
        <v>3145</v>
      </c>
      <c r="F1128" t="s">
        <v>3146</v>
      </c>
      <c r="G1128" t="s">
        <v>84</v>
      </c>
      <c r="H1128" t="s">
        <v>24</v>
      </c>
      <c r="I1128" t="s">
        <v>3147</v>
      </c>
      <c r="J1128" t="s">
        <v>41</v>
      </c>
      <c r="K1128" t="s">
        <v>27</v>
      </c>
      <c r="L1128" t="s">
        <v>3148</v>
      </c>
      <c r="M1128" t="s">
        <v>29</v>
      </c>
      <c r="N1128" t="s">
        <v>53</v>
      </c>
      <c r="O1128" t="s">
        <v>3149</v>
      </c>
      <c r="P1128">
        <v>213.21600000000001</v>
      </c>
      <c r="Q1128">
        <v>3</v>
      </c>
      <c r="R1128">
        <v>15.991199999999999</v>
      </c>
      <c r="S1128" t="s">
        <v>66</v>
      </c>
    </row>
    <row r="1129" spans="1:19" x14ac:dyDescent="0.35">
      <c r="A1129" t="s">
        <v>3150</v>
      </c>
      <c r="B1129" s="1">
        <v>41894</v>
      </c>
      <c r="C1129" s="1">
        <v>41901</v>
      </c>
      <c r="D1129" t="s">
        <v>37</v>
      </c>
      <c r="E1129" t="s">
        <v>3151</v>
      </c>
      <c r="F1129" t="s">
        <v>3152</v>
      </c>
      <c r="G1129" t="s">
        <v>94</v>
      </c>
      <c r="H1129" t="s">
        <v>24</v>
      </c>
      <c r="I1129" t="s">
        <v>3153</v>
      </c>
      <c r="J1129" t="s">
        <v>3126</v>
      </c>
      <c r="K1129" t="s">
        <v>87</v>
      </c>
      <c r="L1129" t="s">
        <v>2309</v>
      </c>
      <c r="M1129" t="s">
        <v>29</v>
      </c>
      <c r="N1129" t="s">
        <v>53</v>
      </c>
      <c r="O1129" t="s">
        <v>2310</v>
      </c>
      <c r="P1129">
        <v>40.56</v>
      </c>
      <c r="Q1129">
        <v>2</v>
      </c>
      <c r="R1129">
        <v>12.979200000000001</v>
      </c>
      <c r="S1129" t="s">
        <v>72</v>
      </c>
    </row>
    <row r="1130" spans="1:19" x14ac:dyDescent="0.35">
      <c r="A1130" t="s">
        <v>3154</v>
      </c>
      <c r="B1130" s="1">
        <v>43098</v>
      </c>
      <c r="C1130" s="1">
        <v>43102</v>
      </c>
      <c r="D1130" t="s">
        <v>37</v>
      </c>
      <c r="E1130" t="s">
        <v>255</v>
      </c>
      <c r="F1130" t="s">
        <v>256</v>
      </c>
      <c r="G1130" t="s">
        <v>23</v>
      </c>
      <c r="H1130" t="s">
        <v>24</v>
      </c>
      <c r="I1130" t="s">
        <v>836</v>
      </c>
      <c r="J1130" t="s">
        <v>184</v>
      </c>
      <c r="K1130" t="s">
        <v>51</v>
      </c>
      <c r="L1130" t="s">
        <v>1581</v>
      </c>
      <c r="M1130" t="s">
        <v>29</v>
      </c>
      <c r="N1130" t="s">
        <v>53</v>
      </c>
      <c r="O1130" t="s">
        <v>1582</v>
      </c>
      <c r="P1130">
        <v>68.459999999999994</v>
      </c>
      <c r="Q1130">
        <v>2</v>
      </c>
      <c r="R1130">
        <v>20.538</v>
      </c>
      <c r="S1130" t="s">
        <v>90</v>
      </c>
    </row>
    <row r="1131" spans="1:19" x14ac:dyDescent="0.35">
      <c r="A1131" t="s">
        <v>3155</v>
      </c>
      <c r="B1131" s="1">
        <v>42982</v>
      </c>
      <c r="C1131" s="1">
        <v>42984</v>
      </c>
      <c r="D1131" t="s">
        <v>20</v>
      </c>
      <c r="E1131" t="s">
        <v>482</v>
      </c>
      <c r="F1131" t="s">
        <v>483</v>
      </c>
      <c r="G1131" t="s">
        <v>23</v>
      </c>
      <c r="H1131" t="s">
        <v>24</v>
      </c>
      <c r="I1131" t="s">
        <v>320</v>
      </c>
      <c r="J1131" t="s">
        <v>50</v>
      </c>
      <c r="K1131" t="s">
        <v>51</v>
      </c>
      <c r="L1131" t="s">
        <v>3156</v>
      </c>
      <c r="M1131" t="s">
        <v>29</v>
      </c>
      <c r="N1131" t="s">
        <v>43</v>
      </c>
      <c r="O1131" t="s">
        <v>3157</v>
      </c>
      <c r="P1131">
        <v>1478.2719999999999</v>
      </c>
      <c r="Q1131">
        <v>8</v>
      </c>
      <c r="R1131">
        <v>92.391999999999996</v>
      </c>
      <c r="S1131" t="s">
        <v>72</v>
      </c>
    </row>
    <row r="1132" spans="1:19" x14ac:dyDescent="0.35">
      <c r="A1132" t="s">
        <v>3158</v>
      </c>
      <c r="B1132" s="1">
        <v>43006</v>
      </c>
      <c r="C1132" s="1">
        <v>43012</v>
      </c>
      <c r="D1132" t="s">
        <v>37</v>
      </c>
      <c r="E1132" t="s">
        <v>624</v>
      </c>
      <c r="F1132" t="s">
        <v>625</v>
      </c>
      <c r="G1132" t="s">
        <v>23</v>
      </c>
      <c r="H1132" t="s">
        <v>24</v>
      </c>
      <c r="I1132" t="s">
        <v>49</v>
      </c>
      <c r="J1132" t="s">
        <v>50</v>
      </c>
      <c r="K1132" t="s">
        <v>51</v>
      </c>
      <c r="L1132" t="s">
        <v>105</v>
      </c>
      <c r="M1132" t="s">
        <v>29</v>
      </c>
      <c r="N1132" t="s">
        <v>53</v>
      </c>
      <c r="O1132" t="s">
        <v>106</v>
      </c>
      <c r="P1132">
        <v>9.24</v>
      </c>
      <c r="Q1132">
        <v>3</v>
      </c>
      <c r="R1132">
        <v>4.4352</v>
      </c>
      <c r="S1132" t="s">
        <v>72</v>
      </c>
    </row>
    <row r="1133" spans="1:19" x14ac:dyDescent="0.35">
      <c r="A1133" t="s">
        <v>3159</v>
      </c>
      <c r="B1133" s="1">
        <v>41658</v>
      </c>
      <c r="C1133" s="1">
        <v>41659</v>
      </c>
      <c r="D1133" t="s">
        <v>81</v>
      </c>
      <c r="E1133" t="s">
        <v>2628</v>
      </c>
      <c r="F1133" t="s">
        <v>2629</v>
      </c>
      <c r="G1133" t="s">
        <v>23</v>
      </c>
      <c r="H1133" t="s">
        <v>24</v>
      </c>
      <c r="I1133" t="s">
        <v>1939</v>
      </c>
      <c r="J1133" t="s">
        <v>511</v>
      </c>
      <c r="K1133" t="s">
        <v>51</v>
      </c>
      <c r="L1133" t="s">
        <v>447</v>
      </c>
      <c r="M1133" t="s">
        <v>29</v>
      </c>
      <c r="N1133" t="s">
        <v>30</v>
      </c>
      <c r="O1133" t="s">
        <v>448</v>
      </c>
      <c r="P1133">
        <v>181.47</v>
      </c>
      <c r="Q1133">
        <v>5</v>
      </c>
      <c r="R1133">
        <v>-320.59699999999998</v>
      </c>
      <c r="S1133" t="s">
        <v>161</v>
      </c>
    </row>
    <row r="1134" spans="1:19" x14ac:dyDescent="0.35">
      <c r="A1134" t="s">
        <v>3160</v>
      </c>
      <c r="B1134" s="1">
        <v>42530</v>
      </c>
      <c r="C1134" s="1">
        <v>42535</v>
      </c>
      <c r="D1134" t="s">
        <v>37</v>
      </c>
      <c r="E1134" t="s">
        <v>3161</v>
      </c>
      <c r="F1134" t="s">
        <v>3162</v>
      </c>
      <c r="G1134" t="s">
        <v>23</v>
      </c>
      <c r="H1134" t="s">
        <v>24</v>
      </c>
      <c r="I1134" t="s">
        <v>320</v>
      </c>
      <c r="J1134" t="s">
        <v>50</v>
      </c>
      <c r="K1134" t="s">
        <v>51</v>
      </c>
      <c r="L1134" t="s">
        <v>64</v>
      </c>
      <c r="M1134" t="s">
        <v>29</v>
      </c>
      <c r="N1134" t="s">
        <v>34</v>
      </c>
      <c r="O1134" t="s">
        <v>65</v>
      </c>
      <c r="P1134">
        <v>122.352</v>
      </c>
      <c r="Q1134">
        <v>3</v>
      </c>
      <c r="R1134">
        <v>13.7646</v>
      </c>
      <c r="S1134" t="s">
        <v>55</v>
      </c>
    </row>
    <row r="1135" spans="1:19" x14ac:dyDescent="0.35">
      <c r="A1135" t="s">
        <v>3163</v>
      </c>
      <c r="B1135" s="1">
        <v>41908</v>
      </c>
      <c r="C1135" s="1">
        <v>41909</v>
      </c>
      <c r="D1135" t="s">
        <v>81</v>
      </c>
      <c r="E1135" t="s">
        <v>2262</v>
      </c>
      <c r="F1135" t="s">
        <v>2263</v>
      </c>
      <c r="G1135" t="s">
        <v>94</v>
      </c>
      <c r="H1135" t="s">
        <v>24</v>
      </c>
      <c r="I1135" t="s">
        <v>630</v>
      </c>
      <c r="J1135" t="s">
        <v>50</v>
      </c>
      <c r="K1135" t="s">
        <v>51</v>
      </c>
      <c r="L1135" t="s">
        <v>33</v>
      </c>
      <c r="M1135" t="s">
        <v>29</v>
      </c>
      <c r="N1135" t="s">
        <v>34</v>
      </c>
      <c r="O1135" t="s">
        <v>35</v>
      </c>
      <c r="P1135">
        <v>585.55200000000002</v>
      </c>
      <c r="Q1135">
        <v>3</v>
      </c>
      <c r="R1135">
        <v>73.194000000000003</v>
      </c>
      <c r="S1135" t="s">
        <v>72</v>
      </c>
    </row>
    <row r="1136" spans="1:19" x14ac:dyDescent="0.35">
      <c r="A1136" t="s">
        <v>3164</v>
      </c>
      <c r="B1136" s="1">
        <v>43088</v>
      </c>
      <c r="C1136" s="1">
        <v>43092</v>
      </c>
      <c r="D1136" t="s">
        <v>37</v>
      </c>
      <c r="E1136" t="s">
        <v>2375</v>
      </c>
      <c r="F1136" t="s">
        <v>2376</v>
      </c>
      <c r="G1136" t="s">
        <v>23</v>
      </c>
      <c r="H1136" t="s">
        <v>24</v>
      </c>
      <c r="I1136" t="s">
        <v>549</v>
      </c>
      <c r="J1136" t="s">
        <v>172</v>
      </c>
      <c r="K1136" t="s">
        <v>51</v>
      </c>
      <c r="L1136" t="s">
        <v>2416</v>
      </c>
      <c r="M1136" t="s">
        <v>29</v>
      </c>
      <c r="N1136" t="s">
        <v>53</v>
      </c>
      <c r="O1136" t="s">
        <v>2417</v>
      </c>
      <c r="P1136">
        <v>13.36</v>
      </c>
      <c r="Q1136">
        <v>5</v>
      </c>
      <c r="R1136">
        <v>4.008</v>
      </c>
      <c r="S1136" t="s">
        <v>90</v>
      </c>
    </row>
    <row r="1137" spans="1:19" x14ac:dyDescent="0.35">
      <c r="A1137" t="s">
        <v>3164</v>
      </c>
      <c r="B1137" s="1">
        <v>43088</v>
      </c>
      <c r="C1137" s="1">
        <v>43092</v>
      </c>
      <c r="D1137" t="s">
        <v>37</v>
      </c>
      <c r="E1137" t="s">
        <v>2375</v>
      </c>
      <c r="F1137" t="s">
        <v>2376</v>
      </c>
      <c r="G1137" t="s">
        <v>23</v>
      </c>
      <c r="H1137" t="s">
        <v>24</v>
      </c>
      <c r="I1137" t="s">
        <v>549</v>
      </c>
      <c r="J1137" t="s">
        <v>172</v>
      </c>
      <c r="K1137" t="s">
        <v>51</v>
      </c>
      <c r="L1137" t="s">
        <v>1594</v>
      </c>
      <c r="M1137" t="s">
        <v>29</v>
      </c>
      <c r="N1137" t="s">
        <v>30</v>
      </c>
      <c r="O1137" t="s">
        <v>1595</v>
      </c>
      <c r="P1137">
        <v>102.018</v>
      </c>
      <c r="Q1137">
        <v>7</v>
      </c>
      <c r="R1137">
        <v>-183.63239999999999</v>
      </c>
      <c r="S1137" t="s">
        <v>90</v>
      </c>
    </row>
    <row r="1138" spans="1:19" x14ac:dyDescent="0.35">
      <c r="A1138" t="s">
        <v>3165</v>
      </c>
      <c r="B1138" s="1">
        <v>42765</v>
      </c>
      <c r="C1138" s="1">
        <v>42770</v>
      </c>
      <c r="D1138" t="s">
        <v>37</v>
      </c>
      <c r="E1138" t="s">
        <v>68</v>
      </c>
      <c r="F1138" t="s">
        <v>69</v>
      </c>
      <c r="G1138" t="s">
        <v>23</v>
      </c>
      <c r="H1138" t="s">
        <v>24</v>
      </c>
      <c r="I1138" t="s">
        <v>997</v>
      </c>
      <c r="J1138" t="s">
        <v>41</v>
      </c>
      <c r="K1138" t="s">
        <v>27</v>
      </c>
      <c r="L1138" t="s">
        <v>3166</v>
      </c>
      <c r="M1138" t="s">
        <v>29</v>
      </c>
      <c r="N1138" t="s">
        <v>34</v>
      </c>
      <c r="O1138" t="s">
        <v>3167</v>
      </c>
      <c r="P1138">
        <v>419.13600000000002</v>
      </c>
      <c r="Q1138">
        <v>4</v>
      </c>
      <c r="R1138">
        <v>-68.1096</v>
      </c>
      <c r="S1138" t="s">
        <v>161</v>
      </c>
    </row>
    <row r="1139" spans="1:19" x14ac:dyDescent="0.35">
      <c r="A1139" t="s">
        <v>3168</v>
      </c>
      <c r="B1139" s="1">
        <v>42826</v>
      </c>
      <c r="C1139" s="1">
        <v>42829</v>
      </c>
      <c r="D1139" t="s">
        <v>20</v>
      </c>
      <c r="E1139" t="s">
        <v>1847</v>
      </c>
      <c r="F1139" t="s">
        <v>1848</v>
      </c>
      <c r="G1139" t="s">
        <v>84</v>
      </c>
      <c r="H1139" t="s">
        <v>24</v>
      </c>
      <c r="I1139" t="s">
        <v>597</v>
      </c>
      <c r="J1139" t="s">
        <v>41</v>
      </c>
      <c r="K1139" t="s">
        <v>27</v>
      </c>
      <c r="L1139" t="s">
        <v>1608</v>
      </c>
      <c r="M1139" t="s">
        <v>29</v>
      </c>
      <c r="N1139" t="s">
        <v>34</v>
      </c>
      <c r="O1139" t="s">
        <v>1609</v>
      </c>
      <c r="P1139">
        <v>218.352</v>
      </c>
      <c r="Q1139">
        <v>3</v>
      </c>
      <c r="R1139">
        <v>-19.105799999999999</v>
      </c>
      <c r="S1139" t="s">
        <v>107</v>
      </c>
    </row>
    <row r="1140" spans="1:19" x14ac:dyDescent="0.35">
      <c r="A1140" t="s">
        <v>3169</v>
      </c>
      <c r="B1140" s="1">
        <v>41971</v>
      </c>
      <c r="C1140" s="1">
        <v>41971</v>
      </c>
      <c r="D1140" t="s">
        <v>417</v>
      </c>
      <c r="E1140" t="s">
        <v>2587</v>
      </c>
      <c r="F1140" t="s">
        <v>2588</v>
      </c>
      <c r="G1140" t="s">
        <v>94</v>
      </c>
      <c r="H1140" t="s">
        <v>24</v>
      </c>
      <c r="I1140" t="s">
        <v>320</v>
      </c>
      <c r="J1140" t="s">
        <v>50</v>
      </c>
      <c r="K1140" t="s">
        <v>51</v>
      </c>
      <c r="L1140" t="s">
        <v>1465</v>
      </c>
      <c r="M1140" t="s">
        <v>29</v>
      </c>
      <c r="N1140" t="s">
        <v>30</v>
      </c>
      <c r="O1140" t="s">
        <v>1466</v>
      </c>
      <c r="P1140">
        <v>411.33199999999999</v>
      </c>
      <c r="Q1140">
        <v>4</v>
      </c>
      <c r="R1140">
        <v>-4.8391999999999999</v>
      </c>
      <c r="S1140" t="s">
        <v>32</v>
      </c>
    </row>
    <row r="1141" spans="1:19" x14ac:dyDescent="0.35">
      <c r="A1141" t="s">
        <v>3170</v>
      </c>
      <c r="B1141" s="1">
        <v>42931</v>
      </c>
      <c r="C1141" s="1">
        <v>42934</v>
      </c>
      <c r="D1141" t="s">
        <v>20</v>
      </c>
      <c r="E1141" t="s">
        <v>1432</v>
      </c>
      <c r="F1141" t="s">
        <v>1433</v>
      </c>
      <c r="G1141" t="s">
        <v>23</v>
      </c>
      <c r="H1141" t="s">
        <v>24</v>
      </c>
      <c r="I1141" t="s">
        <v>165</v>
      </c>
      <c r="J1141" t="s">
        <v>114</v>
      </c>
      <c r="K1141" t="s">
        <v>63</v>
      </c>
      <c r="L1141" t="s">
        <v>1738</v>
      </c>
      <c r="M1141" t="s">
        <v>29</v>
      </c>
      <c r="N1141" t="s">
        <v>34</v>
      </c>
      <c r="O1141" t="s">
        <v>1739</v>
      </c>
      <c r="P1141">
        <v>664.14599999999996</v>
      </c>
      <c r="Q1141">
        <v>6</v>
      </c>
      <c r="R1141">
        <v>88.552800000000005</v>
      </c>
      <c r="S1141" t="s">
        <v>66</v>
      </c>
    </row>
    <row r="1142" spans="1:19" x14ac:dyDescent="0.35">
      <c r="A1142" t="s">
        <v>3171</v>
      </c>
      <c r="B1142" s="1">
        <v>43041</v>
      </c>
      <c r="C1142" s="1">
        <v>43045</v>
      </c>
      <c r="D1142" t="s">
        <v>37</v>
      </c>
      <c r="E1142" t="s">
        <v>3172</v>
      </c>
      <c r="F1142" t="s">
        <v>3173</v>
      </c>
      <c r="G1142" t="s">
        <v>84</v>
      </c>
      <c r="H1142" t="s">
        <v>24</v>
      </c>
      <c r="I1142" t="s">
        <v>61</v>
      </c>
      <c r="J1142" t="s">
        <v>62</v>
      </c>
      <c r="K1142" t="s">
        <v>63</v>
      </c>
      <c r="L1142" t="s">
        <v>1971</v>
      </c>
      <c r="M1142" t="s">
        <v>29</v>
      </c>
      <c r="N1142" t="s">
        <v>53</v>
      </c>
      <c r="O1142" t="s">
        <v>1972</v>
      </c>
      <c r="P1142">
        <v>3.3119999999999998</v>
      </c>
      <c r="Q1142">
        <v>1</v>
      </c>
      <c r="R1142">
        <v>0.66239999999999999</v>
      </c>
      <c r="S1142" t="s">
        <v>32</v>
      </c>
    </row>
    <row r="1143" spans="1:19" x14ac:dyDescent="0.35">
      <c r="A1143" t="s">
        <v>3174</v>
      </c>
      <c r="B1143" s="1">
        <v>42285</v>
      </c>
      <c r="C1143" s="1">
        <v>42289</v>
      </c>
      <c r="D1143" t="s">
        <v>37</v>
      </c>
      <c r="E1143" t="s">
        <v>1291</v>
      </c>
      <c r="F1143" t="s">
        <v>1292</v>
      </c>
      <c r="G1143" t="s">
        <v>23</v>
      </c>
      <c r="H1143" t="s">
        <v>24</v>
      </c>
      <c r="I1143" t="s">
        <v>320</v>
      </c>
      <c r="J1143" t="s">
        <v>50</v>
      </c>
      <c r="K1143" t="s">
        <v>51</v>
      </c>
      <c r="L1143" t="s">
        <v>381</v>
      </c>
      <c r="M1143" t="s">
        <v>29</v>
      </c>
      <c r="N1143" t="s">
        <v>53</v>
      </c>
      <c r="O1143" t="s">
        <v>382</v>
      </c>
      <c r="P1143">
        <v>145.9</v>
      </c>
      <c r="Q1143">
        <v>5</v>
      </c>
      <c r="R1143">
        <v>62.737000000000002</v>
      </c>
      <c r="S1143" t="s">
        <v>45</v>
      </c>
    </row>
    <row r="1144" spans="1:19" x14ac:dyDescent="0.35">
      <c r="A1144" t="s">
        <v>3175</v>
      </c>
      <c r="B1144" s="1">
        <v>43073</v>
      </c>
      <c r="C1144" s="1">
        <v>43078</v>
      </c>
      <c r="D1144" t="s">
        <v>37</v>
      </c>
      <c r="E1144" t="s">
        <v>3176</v>
      </c>
      <c r="F1144" t="s">
        <v>3177</v>
      </c>
      <c r="G1144" t="s">
        <v>84</v>
      </c>
      <c r="H1144" t="s">
        <v>24</v>
      </c>
      <c r="I1144" t="s">
        <v>61</v>
      </c>
      <c r="J1144" t="s">
        <v>62</v>
      </c>
      <c r="K1144" t="s">
        <v>63</v>
      </c>
      <c r="L1144" t="s">
        <v>1093</v>
      </c>
      <c r="M1144" t="s">
        <v>29</v>
      </c>
      <c r="N1144" t="s">
        <v>34</v>
      </c>
      <c r="O1144" t="s">
        <v>1094</v>
      </c>
      <c r="P1144">
        <v>239.96</v>
      </c>
      <c r="Q1144">
        <v>10</v>
      </c>
      <c r="R1144">
        <v>-10.284000000000001</v>
      </c>
      <c r="S1144" t="s">
        <v>90</v>
      </c>
    </row>
    <row r="1145" spans="1:19" x14ac:dyDescent="0.35">
      <c r="A1145" t="s">
        <v>3175</v>
      </c>
      <c r="B1145" s="1">
        <v>43073</v>
      </c>
      <c r="C1145" s="1">
        <v>43078</v>
      </c>
      <c r="D1145" t="s">
        <v>37</v>
      </c>
      <c r="E1145" t="s">
        <v>3176</v>
      </c>
      <c r="F1145" t="s">
        <v>3177</v>
      </c>
      <c r="G1145" t="s">
        <v>84</v>
      </c>
      <c r="H1145" t="s">
        <v>24</v>
      </c>
      <c r="I1145" t="s">
        <v>61</v>
      </c>
      <c r="J1145" t="s">
        <v>62</v>
      </c>
      <c r="K1145" t="s">
        <v>63</v>
      </c>
      <c r="L1145" t="s">
        <v>1581</v>
      </c>
      <c r="M1145" t="s">
        <v>29</v>
      </c>
      <c r="N1145" t="s">
        <v>53</v>
      </c>
      <c r="O1145" t="s">
        <v>1582</v>
      </c>
      <c r="P1145">
        <v>54.768000000000001</v>
      </c>
      <c r="Q1145">
        <v>2</v>
      </c>
      <c r="R1145">
        <v>6.8460000000000001</v>
      </c>
      <c r="S1145" t="s">
        <v>90</v>
      </c>
    </row>
    <row r="1146" spans="1:19" x14ac:dyDescent="0.35">
      <c r="A1146" t="s">
        <v>3178</v>
      </c>
      <c r="B1146" s="1">
        <v>42877</v>
      </c>
      <c r="C1146" s="1">
        <v>42881</v>
      </c>
      <c r="D1146" t="s">
        <v>37</v>
      </c>
      <c r="E1146" t="s">
        <v>784</v>
      </c>
      <c r="F1146" t="s">
        <v>785</v>
      </c>
      <c r="G1146" t="s">
        <v>23</v>
      </c>
      <c r="H1146" t="s">
        <v>24</v>
      </c>
      <c r="I1146" t="s">
        <v>125</v>
      </c>
      <c r="J1146" t="s">
        <v>126</v>
      </c>
      <c r="K1146" t="s">
        <v>87</v>
      </c>
      <c r="L1146" t="s">
        <v>134</v>
      </c>
      <c r="M1146" t="s">
        <v>29</v>
      </c>
      <c r="N1146" t="s">
        <v>34</v>
      </c>
      <c r="O1146" t="s">
        <v>135</v>
      </c>
      <c r="P1146">
        <v>181.98599999999999</v>
      </c>
      <c r="Q1146">
        <v>2</v>
      </c>
      <c r="R1146">
        <v>-54.595799999999997</v>
      </c>
      <c r="S1146" t="s">
        <v>153</v>
      </c>
    </row>
    <row r="1147" spans="1:19" x14ac:dyDescent="0.35">
      <c r="A1147" t="s">
        <v>3179</v>
      </c>
      <c r="B1147" s="1">
        <v>42723</v>
      </c>
      <c r="C1147" s="1">
        <v>42729</v>
      </c>
      <c r="D1147" t="s">
        <v>37</v>
      </c>
      <c r="E1147" t="s">
        <v>2855</v>
      </c>
      <c r="F1147" t="s">
        <v>2856</v>
      </c>
      <c r="G1147" t="s">
        <v>84</v>
      </c>
      <c r="H1147" t="s">
        <v>24</v>
      </c>
      <c r="I1147" t="s">
        <v>1213</v>
      </c>
      <c r="J1147" t="s">
        <v>511</v>
      </c>
      <c r="K1147" t="s">
        <v>51</v>
      </c>
      <c r="L1147" t="s">
        <v>3180</v>
      </c>
      <c r="M1147" t="s">
        <v>29</v>
      </c>
      <c r="N1147" t="s">
        <v>43</v>
      </c>
      <c r="O1147" t="s">
        <v>3181</v>
      </c>
      <c r="P1147">
        <v>455.97</v>
      </c>
      <c r="Q1147">
        <v>6</v>
      </c>
      <c r="R1147">
        <v>-218.8656</v>
      </c>
      <c r="S1147" t="s">
        <v>90</v>
      </c>
    </row>
    <row r="1148" spans="1:19" x14ac:dyDescent="0.35">
      <c r="A1148" t="s">
        <v>3182</v>
      </c>
      <c r="B1148" s="1">
        <v>42985</v>
      </c>
      <c r="C1148" s="1">
        <v>42986</v>
      </c>
      <c r="D1148" t="s">
        <v>81</v>
      </c>
      <c r="E1148" t="s">
        <v>2158</v>
      </c>
      <c r="F1148" t="s">
        <v>2159</v>
      </c>
      <c r="G1148" t="s">
        <v>23</v>
      </c>
      <c r="H1148" t="s">
        <v>24</v>
      </c>
      <c r="I1148" t="s">
        <v>3183</v>
      </c>
      <c r="J1148" t="s">
        <v>71</v>
      </c>
      <c r="K1148" t="s">
        <v>51</v>
      </c>
      <c r="L1148" t="s">
        <v>2605</v>
      </c>
      <c r="M1148" t="s">
        <v>29</v>
      </c>
      <c r="N1148" t="s">
        <v>53</v>
      </c>
      <c r="O1148" t="s">
        <v>2606</v>
      </c>
      <c r="P1148">
        <v>25.16</v>
      </c>
      <c r="Q1148">
        <v>2</v>
      </c>
      <c r="R1148">
        <v>10.5672</v>
      </c>
      <c r="S1148" t="s">
        <v>72</v>
      </c>
    </row>
    <row r="1149" spans="1:19" x14ac:dyDescent="0.35">
      <c r="A1149" t="s">
        <v>3184</v>
      </c>
      <c r="B1149" s="1">
        <v>41955</v>
      </c>
      <c r="C1149" s="1">
        <v>41959</v>
      </c>
      <c r="D1149" t="s">
        <v>37</v>
      </c>
      <c r="E1149" t="s">
        <v>3185</v>
      </c>
      <c r="F1149" t="s">
        <v>3186</v>
      </c>
      <c r="G1149" t="s">
        <v>84</v>
      </c>
      <c r="H1149" t="s">
        <v>24</v>
      </c>
      <c r="I1149" t="s">
        <v>95</v>
      </c>
      <c r="J1149" t="s">
        <v>86</v>
      </c>
      <c r="K1149" t="s">
        <v>87</v>
      </c>
      <c r="L1149" t="s">
        <v>1127</v>
      </c>
      <c r="M1149" t="s">
        <v>29</v>
      </c>
      <c r="N1149" t="s">
        <v>30</v>
      </c>
      <c r="O1149" t="s">
        <v>1128</v>
      </c>
      <c r="P1149">
        <v>67.993200000000002</v>
      </c>
      <c r="Q1149">
        <v>1</v>
      </c>
      <c r="R1149">
        <v>-12.998699999999999</v>
      </c>
      <c r="S1149" t="s">
        <v>32</v>
      </c>
    </row>
    <row r="1150" spans="1:19" x14ac:dyDescent="0.35">
      <c r="A1150" t="s">
        <v>3187</v>
      </c>
      <c r="B1150" s="1">
        <v>43010</v>
      </c>
      <c r="C1150" s="1">
        <v>43014</v>
      </c>
      <c r="D1150" t="s">
        <v>20</v>
      </c>
      <c r="E1150" t="s">
        <v>1311</v>
      </c>
      <c r="F1150" t="s">
        <v>1312</v>
      </c>
      <c r="G1150" t="s">
        <v>84</v>
      </c>
      <c r="H1150" t="s">
        <v>24</v>
      </c>
      <c r="I1150" t="s">
        <v>1607</v>
      </c>
      <c r="J1150" t="s">
        <v>1267</v>
      </c>
      <c r="K1150" t="s">
        <v>27</v>
      </c>
      <c r="L1150" t="s">
        <v>2381</v>
      </c>
      <c r="M1150" t="s">
        <v>29</v>
      </c>
      <c r="N1150" t="s">
        <v>53</v>
      </c>
      <c r="O1150" t="s">
        <v>2382</v>
      </c>
      <c r="P1150">
        <v>10.16</v>
      </c>
      <c r="Q1150">
        <v>2</v>
      </c>
      <c r="R1150">
        <v>3.4544000000000001</v>
      </c>
      <c r="S1150" t="s">
        <v>45</v>
      </c>
    </row>
    <row r="1151" spans="1:19" x14ac:dyDescent="0.35">
      <c r="A1151" t="s">
        <v>3188</v>
      </c>
      <c r="B1151" s="1">
        <v>42352</v>
      </c>
      <c r="C1151" s="1">
        <v>42356</v>
      </c>
      <c r="D1151" t="s">
        <v>37</v>
      </c>
      <c r="E1151" t="s">
        <v>2488</v>
      </c>
      <c r="F1151" t="s">
        <v>2489</v>
      </c>
      <c r="G1151" t="s">
        <v>84</v>
      </c>
      <c r="H1151" t="s">
        <v>24</v>
      </c>
      <c r="I1151" t="s">
        <v>468</v>
      </c>
      <c r="J1151" t="s">
        <v>469</v>
      </c>
      <c r="K1151" t="s">
        <v>27</v>
      </c>
      <c r="L1151" t="s">
        <v>2002</v>
      </c>
      <c r="M1151" t="s">
        <v>29</v>
      </c>
      <c r="N1151" t="s">
        <v>53</v>
      </c>
      <c r="O1151" t="s">
        <v>2003</v>
      </c>
      <c r="P1151">
        <v>6.16</v>
      </c>
      <c r="Q1151">
        <v>2</v>
      </c>
      <c r="R1151">
        <v>1.9712000000000001</v>
      </c>
      <c r="S1151" t="s">
        <v>90</v>
      </c>
    </row>
    <row r="1152" spans="1:19" x14ac:dyDescent="0.35">
      <c r="A1152" t="s">
        <v>3189</v>
      </c>
      <c r="B1152" s="1">
        <v>42807</v>
      </c>
      <c r="C1152" s="1">
        <v>42807</v>
      </c>
      <c r="D1152" t="s">
        <v>417</v>
      </c>
      <c r="E1152" t="s">
        <v>3190</v>
      </c>
      <c r="F1152" t="s">
        <v>3191</v>
      </c>
      <c r="G1152" t="s">
        <v>94</v>
      </c>
      <c r="H1152" t="s">
        <v>24</v>
      </c>
      <c r="I1152" t="s">
        <v>125</v>
      </c>
      <c r="J1152" t="s">
        <v>126</v>
      </c>
      <c r="K1152" t="s">
        <v>87</v>
      </c>
      <c r="L1152" t="s">
        <v>2564</v>
      </c>
      <c r="M1152" t="s">
        <v>29</v>
      </c>
      <c r="N1152" t="s">
        <v>34</v>
      </c>
      <c r="O1152" t="s">
        <v>2565</v>
      </c>
      <c r="P1152">
        <v>89.768000000000001</v>
      </c>
      <c r="Q1152">
        <v>1</v>
      </c>
      <c r="R1152">
        <v>-2.5648</v>
      </c>
      <c r="S1152" t="s">
        <v>187</v>
      </c>
    </row>
    <row r="1153" spans="1:19" x14ac:dyDescent="0.35">
      <c r="A1153" t="s">
        <v>3192</v>
      </c>
      <c r="B1153" s="1">
        <v>42716</v>
      </c>
      <c r="C1153" s="1">
        <v>42720</v>
      </c>
      <c r="D1153" t="s">
        <v>37</v>
      </c>
      <c r="E1153" t="s">
        <v>3193</v>
      </c>
      <c r="F1153" t="s">
        <v>3194</v>
      </c>
      <c r="G1153" t="s">
        <v>23</v>
      </c>
      <c r="H1153" t="s">
        <v>24</v>
      </c>
      <c r="I1153" t="s">
        <v>1176</v>
      </c>
      <c r="J1153" t="s">
        <v>50</v>
      </c>
      <c r="K1153" t="s">
        <v>51</v>
      </c>
      <c r="L1153" t="s">
        <v>542</v>
      </c>
      <c r="M1153" t="s">
        <v>29</v>
      </c>
      <c r="N1153" t="s">
        <v>53</v>
      </c>
      <c r="O1153" t="s">
        <v>543</v>
      </c>
      <c r="P1153">
        <v>383.64</v>
      </c>
      <c r="Q1153">
        <v>6</v>
      </c>
      <c r="R1153">
        <v>122.76479999999999</v>
      </c>
      <c r="S1153" t="s">
        <v>90</v>
      </c>
    </row>
    <row r="1154" spans="1:19" x14ac:dyDescent="0.35">
      <c r="A1154" t="s">
        <v>3195</v>
      </c>
      <c r="B1154" s="1">
        <v>42987</v>
      </c>
      <c r="C1154" s="1">
        <v>42992</v>
      </c>
      <c r="D1154" t="s">
        <v>20</v>
      </c>
      <c r="E1154" t="s">
        <v>2406</v>
      </c>
      <c r="F1154" t="s">
        <v>2407</v>
      </c>
      <c r="G1154" t="s">
        <v>23</v>
      </c>
      <c r="H1154" t="s">
        <v>24</v>
      </c>
      <c r="I1154" t="s">
        <v>49</v>
      </c>
      <c r="J1154" t="s">
        <v>50</v>
      </c>
      <c r="K1154" t="s">
        <v>51</v>
      </c>
      <c r="L1154" t="s">
        <v>1647</v>
      </c>
      <c r="M1154" t="s">
        <v>29</v>
      </c>
      <c r="N1154" t="s">
        <v>34</v>
      </c>
      <c r="O1154" t="s">
        <v>1648</v>
      </c>
      <c r="P1154">
        <v>243.92</v>
      </c>
      <c r="Q1154">
        <v>5</v>
      </c>
      <c r="R1154">
        <v>-15.244999999999999</v>
      </c>
      <c r="S1154" t="s">
        <v>72</v>
      </c>
    </row>
    <row r="1155" spans="1:19" x14ac:dyDescent="0.35">
      <c r="A1155" t="s">
        <v>3196</v>
      </c>
      <c r="B1155" s="1">
        <v>43012</v>
      </c>
      <c r="C1155" s="1">
        <v>43016</v>
      </c>
      <c r="D1155" t="s">
        <v>37</v>
      </c>
      <c r="E1155" t="s">
        <v>123</v>
      </c>
      <c r="F1155" t="s">
        <v>124</v>
      </c>
      <c r="G1155" t="s">
        <v>94</v>
      </c>
      <c r="H1155" t="s">
        <v>24</v>
      </c>
      <c r="I1155" t="s">
        <v>2513</v>
      </c>
      <c r="J1155" t="s">
        <v>1080</v>
      </c>
      <c r="K1155" t="s">
        <v>63</v>
      </c>
      <c r="L1155" t="s">
        <v>1112</v>
      </c>
      <c r="M1155" t="s">
        <v>29</v>
      </c>
      <c r="N1155" t="s">
        <v>53</v>
      </c>
      <c r="O1155" t="s">
        <v>1113</v>
      </c>
      <c r="P1155">
        <v>19.98</v>
      </c>
      <c r="Q1155">
        <v>1</v>
      </c>
      <c r="R1155">
        <v>8.5914000000000001</v>
      </c>
      <c r="S1155" t="s">
        <v>45</v>
      </c>
    </row>
    <row r="1156" spans="1:19" x14ac:dyDescent="0.35">
      <c r="A1156" t="s">
        <v>3197</v>
      </c>
      <c r="B1156" s="1">
        <v>41988</v>
      </c>
      <c r="C1156" s="1">
        <v>41992</v>
      </c>
      <c r="D1156" t="s">
        <v>20</v>
      </c>
      <c r="E1156" t="s">
        <v>332</v>
      </c>
      <c r="F1156" t="s">
        <v>333</v>
      </c>
      <c r="G1156" t="s">
        <v>23</v>
      </c>
      <c r="H1156" t="s">
        <v>24</v>
      </c>
      <c r="I1156" t="s">
        <v>630</v>
      </c>
      <c r="J1156" t="s">
        <v>50</v>
      </c>
      <c r="K1156" t="s">
        <v>51</v>
      </c>
      <c r="L1156" t="s">
        <v>2002</v>
      </c>
      <c r="M1156" t="s">
        <v>29</v>
      </c>
      <c r="N1156" t="s">
        <v>53</v>
      </c>
      <c r="O1156" t="s">
        <v>2003</v>
      </c>
      <c r="P1156">
        <v>6.16</v>
      </c>
      <c r="Q1156">
        <v>2</v>
      </c>
      <c r="R1156">
        <v>1.9712000000000001</v>
      </c>
      <c r="S1156" t="s">
        <v>90</v>
      </c>
    </row>
    <row r="1157" spans="1:19" x14ac:dyDescent="0.35">
      <c r="A1157" t="s">
        <v>3198</v>
      </c>
      <c r="B1157" s="1">
        <v>41925</v>
      </c>
      <c r="C1157" s="1">
        <v>41930</v>
      </c>
      <c r="D1157" t="s">
        <v>20</v>
      </c>
      <c r="E1157" t="s">
        <v>1385</v>
      </c>
      <c r="F1157" t="s">
        <v>1386</v>
      </c>
      <c r="G1157" t="s">
        <v>84</v>
      </c>
      <c r="H1157" t="s">
        <v>24</v>
      </c>
      <c r="I1157" t="s">
        <v>2051</v>
      </c>
      <c r="J1157" t="s">
        <v>354</v>
      </c>
      <c r="K1157" t="s">
        <v>63</v>
      </c>
      <c r="L1157" t="s">
        <v>1019</v>
      </c>
      <c r="M1157" t="s">
        <v>29</v>
      </c>
      <c r="N1157" t="s">
        <v>34</v>
      </c>
      <c r="O1157" t="s">
        <v>1020</v>
      </c>
      <c r="P1157">
        <v>245.98</v>
      </c>
      <c r="Q1157">
        <v>2</v>
      </c>
      <c r="R1157">
        <v>27.0578</v>
      </c>
      <c r="S1157" t="s">
        <v>45</v>
      </c>
    </row>
    <row r="1158" spans="1:19" x14ac:dyDescent="0.35">
      <c r="A1158" t="s">
        <v>3199</v>
      </c>
      <c r="B1158" s="1">
        <v>42633</v>
      </c>
      <c r="C1158" s="1">
        <v>42638</v>
      </c>
      <c r="D1158" t="s">
        <v>37</v>
      </c>
      <c r="E1158" t="s">
        <v>1450</v>
      </c>
      <c r="F1158" t="s">
        <v>1451</v>
      </c>
      <c r="G1158" t="s">
        <v>84</v>
      </c>
      <c r="H1158" t="s">
        <v>24</v>
      </c>
      <c r="I1158" t="s">
        <v>2560</v>
      </c>
      <c r="J1158" t="s">
        <v>1027</v>
      </c>
      <c r="K1158" t="s">
        <v>27</v>
      </c>
      <c r="L1158" t="s">
        <v>2131</v>
      </c>
      <c r="M1158" t="s">
        <v>29</v>
      </c>
      <c r="N1158" t="s">
        <v>53</v>
      </c>
      <c r="O1158" t="s">
        <v>2132</v>
      </c>
      <c r="P1158">
        <v>17.088000000000001</v>
      </c>
      <c r="Q1158">
        <v>2</v>
      </c>
      <c r="R1158">
        <v>1.0680000000000001</v>
      </c>
      <c r="S1158" t="s">
        <v>72</v>
      </c>
    </row>
    <row r="1159" spans="1:19" x14ac:dyDescent="0.35">
      <c r="A1159" t="s">
        <v>3199</v>
      </c>
      <c r="B1159" s="1">
        <v>42633</v>
      </c>
      <c r="C1159" s="1">
        <v>42638</v>
      </c>
      <c r="D1159" t="s">
        <v>37</v>
      </c>
      <c r="E1159" t="s">
        <v>1450</v>
      </c>
      <c r="F1159" t="s">
        <v>1451</v>
      </c>
      <c r="G1159" t="s">
        <v>84</v>
      </c>
      <c r="H1159" t="s">
        <v>24</v>
      </c>
      <c r="I1159" t="s">
        <v>2560</v>
      </c>
      <c r="J1159" t="s">
        <v>1027</v>
      </c>
      <c r="K1159" t="s">
        <v>27</v>
      </c>
      <c r="L1159" t="s">
        <v>1019</v>
      </c>
      <c r="M1159" t="s">
        <v>29</v>
      </c>
      <c r="N1159" t="s">
        <v>34</v>
      </c>
      <c r="O1159" t="s">
        <v>1020</v>
      </c>
      <c r="P1159">
        <v>98.391999999999996</v>
      </c>
      <c r="Q1159">
        <v>1</v>
      </c>
      <c r="R1159">
        <v>-11.069100000000001</v>
      </c>
      <c r="S1159" t="s">
        <v>72</v>
      </c>
    </row>
    <row r="1160" spans="1:19" x14ac:dyDescent="0.35">
      <c r="A1160" t="s">
        <v>3200</v>
      </c>
      <c r="B1160" s="1">
        <v>42916</v>
      </c>
      <c r="C1160" s="1">
        <v>42920</v>
      </c>
      <c r="D1160" t="s">
        <v>37</v>
      </c>
      <c r="E1160" t="s">
        <v>2207</v>
      </c>
      <c r="F1160" t="s">
        <v>2208</v>
      </c>
      <c r="G1160" t="s">
        <v>84</v>
      </c>
      <c r="H1160" t="s">
        <v>24</v>
      </c>
      <c r="I1160" t="s">
        <v>132</v>
      </c>
      <c r="J1160" t="s">
        <v>133</v>
      </c>
      <c r="K1160" t="s">
        <v>27</v>
      </c>
      <c r="L1160" t="s">
        <v>1473</v>
      </c>
      <c r="M1160" t="s">
        <v>29</v>
      </c>
      <c r="N1160" t="s">
        <v>53</v>
      </c>
      <c r="O1160" t="s">
        <v>1474</v>
      </c>
      <c r="P1160">
        <v>19.52</v>
      </c>
      <c r="Q1160">
        <v>2</v>
      </c>
      <c r="R1160">
        <v>5.3680000000000003</v>
      </c>
      <c r="S1160" t="s">
        <v>55</v>
      </c>
    </row>
    <row r="1161" spans="1:19" x14ac:dyDescent="0.35">
      <c r="A1161" t="s">
        <v>3201</v>
      </c>
      <c r="B1161" s="1">
        <v>42638</v>
      </c>
      <c r="C1161" s="1">
        <v>42643</v>
      </c>
      <c r="D1161" t="s">
        <v>37</v>
      </c>
      <c r="E1161" t="s">
        <v>3202</v>
      </c>
      <c r="F1161" t="s">
        <v>3203</v>
      </c>
      <c r="G1161" t="s">
        <v>84</v>
      </c>
      <c r="H1161" t="s">
        <v>24</v>
      </c>
      <c r="I1161" t="s">
        <v>3204</v>
      </c>
      <c r="J1161" t="s">
        <v>230</v>
      </c>
      <c r="K1161" t="s">
        <v>87</v>
      </c>
      <c r="L1161" t="s">
        <v>98</v>
      </c>
      <c r="M1161" t="s">
        <v>29</v>
      </c>
      <c r="N1161" t="s">
        <v>34</v>
      </c>
      <c r="O1161" t="s">
        <v>99</v>
      </c>
      <c r="P1161">
        <v>201.96</v>
      </c>
      <c r="Q1161">
        <v>2</v>
      </c>
      <c r="R1161">
        <v>50.49</v>
      </c>
      <c r="S1161" t="s">
        <v>72</v>
      </c>
    </row>
    <row r="1162" spans="1:19" x14ac:dyDescent="0.35">
      <c r="A1162" t="s">
        <v>3201</v>
      </c>
      <c r="B1162" s="1">
        <v>42638</v>
      </c>
      <c r="C1162" s="1">
        <v>42643</v>
      </c>
      <c r="D1162" t="s">
        <v>37</v>
      </c>
      <c r="E1162" t="s">
        <v>3202</v>
      </c>
      <c r="F1162" t="s">
        <v>3203</v>
      </c>
      <c r="G1162" t="s">
        <v>84</v>
      </c>
      <c r="H1162" t="s">
        <v>24</v>
      </c>
      <c r="I1162" t="s">
        <v>3204</v>
      </c>
      <c r="J1162" t="s">
        <v>230</v>
      </c>
      <c r="K1162" t="s">
        <v>87</v>
      </c>
      <c r="L1162" t="s">
        <v>2223</v>
      </c>
      <c r="M1162" t="s">
        <v>29</v>
      </c>
      <c r="N1162" t="s">
        <v>53</v>
      </c>
      <c r="O1162" t="s">
        <v>2224</v>
      </c>
      <c r="P1162">
        <v>68.64</v>
      </c>
      <c r="Q1162">
        <v>11</v>
      </c>
      <c r="R1162">
        <v>17.16</v>
      </c>
      <c r="S1162" t="s">
        <v>72</v>
      </c>
    </row>
    <row r="1163" spans="1:19" x14ac:dyDescent="0.35">
      <c r="A1163" t="s">
        <v>3205</v>
      </c>
      <c r="B1163" s="1">
        <v>41911</v>
      </c>
      <c r="C1163" s="1">
        <v>41913</v>
      </c>
      <c r="D1163" t="s">
        <v>20</v>
      </c>
      <c r="E1163" t="s">
        <v>1231</v>
      </c>
      <c r="F1163" t="s">
        <v>1232</v>
      </c>
      <c r="G1163" t="s">
        <v>94</v>
      </c>
      <c r="H1163" t="s">
        <v>24</v>
      </c>
      <c r="I1163" t="s">
        <v>183</v>
      </c>
      <c r="J1163" t="s">
        <v>184</v>
      </c>
      <c r="K1163" t="s">
        <v>51</v>
      </c>
      <c r="L1163" t="s">
        <v>105</v>
      </c>
      <c r="M1163" t="s">
        <v>29</v>
      </c>
      <c r="N1163" t="s">
        <v>53</v>
      </c>
      <c r="O1163" t="s">
        <v>106</v>
      </c>
      <c r="P1163">
        <v>6.16</v>
      </c>
      <c r="Q1163">
        <v>2</v>
      </c>
      <c r="R1163">
        <v>2.9567999999999999</v>
      </c>
      <c r="S1163" t="s">
        <v>72</v>
      </c>
    </row>
    <row r="1164" spans="1:19" x14ac:dyDescent="0.35">
      <c r="A1164" t="s">
        <v>3205</v>
      </c>
      <c r="B1164" s="1">
        <v>41911</v>
      </c>
      <c r="C1164" s="1">
        <v>41913</v>
      </c>
      <c r="D1164" t="s">
        <v>20</v>
      </c>
      <c r="E1164" t="s">
        <v>1231</v>
      </c>
      <c r="F1164" t="s">
        <v>1232</v>
      </c>
      <c r="G1164" t="s">
        <v>94</v>
      </c>
      <c r="H1164" t="s">
        <v>24</v>
      </c>
      <c r="I1164" t="s">
        <v>183</v>
      </c>
      <c r="J1164" t="s">
        <v>184</v>
      </c>
      <c r="K1164" t="s">
        <v>51</v>
      </c>
      <c r="L1164" t="s">
        <v>1238</v>
      </c>
      <c r="M1164" t="s">
        <v>29</v>
      </c>
      <c r="N1164" t="s">
        <v>43</v>
      </c>
      <c r="O1164" t="s">
        <v>1239</v>
      </c>
      <c r="P1164">
        <v>2348.8200000000002</v>
      </c>
      <c r="Q1164">
        <v>9</v>
      </c>
      <c r="R1164">
        <v>399.29939999999999</v>
      </c>
      <c r="S1164" t="s">
        <v>72</v>
      </c>
    </row>
    <row r="1165" spans="1:19" x14ac:dyDescent="0.35">
      <c r="A1165" t="s">
        <v>3206</v>
      </c>
      <c r="B1165" s="1">
        <v>42912</v>
      </c>
      <c r="C1165" s="1">
        <v>42917</v>
      </c>
      <c r="D1165" t="s">
        <v>37</v>
      </c>
      <c r="E1165" t="s">
        <v>324</v>
      </c>
      <c r="F1165" t="s">
        <v>325</v>
      </c>
      <c r="G1165" t="s">
        <v>84</v>
      </c>
      <c r="H1165" t="s">
        <v>24</v>
      </c>
      <c r="I1165" t="s">
        <v>997</v>
      </c>
      <c r="J1165" t="s">
        <v>41</v>
      </c>
      <c r="K1165" t="s">
        <v>27</v>
      </c>
      <c r="L1165" t="s">
        <v>3207</v>
      </c>
      <c r="M1165" t="s">
        <v>29</v>
      </c>
      <c r="N1165" t="s">
        <v>34</v>
      </c>
      <c r="O1165" t="s">
        <v>3208</v>
      </c>
      <c r="P1165">
        <v>273.55200000000002</v>
      </c>
      <c r="Q1165">
        <v>3</v>
      </c>
      <c r="R1165">
        <v>-13.6776</v>
      </c>
      <c r="S1165" t="s">
        <v>55</v>
      </c>
    </row>
    <row r="1166" spans="1:19" x14ac:dyDescent="0.35">
      <c r="A1166" t="s">
        <v>3209</v>
      </c>
      <c r="B1166" s="1">
        <v>42603</v>
      </c>
      <c r="C1166" s="1">
        <v>42605</v>
      </c>
      <c r="D1166" t="s">
        <v>20</v>
      </c>
      <c r="E1166" t="s">
        <v>662</v>
      </c>
      <c r="F1166" t="s">
        <v>663</v>
      </c>
      <c r="G1166" t="s">
        <v>94</v>
      </c>
      <c r="H1166" t="s">
        <v>24</v>
      </c>
      <c r="I1166" t="s">
        <v>61</v>
      </c>
      <c r="J1166" t="s">
        <v>62</v>
      </c>
      <c r="K1166" t="s">
        <v>63</v>
      </c>
      <c r="L1166" t="s">
        <v>1275</v>
      </c>
      <c r="M1166" t="s">
        <v>29</v>
      </c>
      <c r="N1166" t="s">
        <v>43</v>
      </c>
      <c r="O1166" t="s">
        <v>1276</v>
      </c>
      <c r="P1166">
        <v>815.29200000000003</v>
      </c>
      <c r="Q1166">
        <v>9</v>
      </c>
      <c r="R1166">
        <v>-339.70499999999998</v>
      </c>
      <c r="S1166" t="s">
        <v>245</v>
      </c>
    </row>
    <row r="1167" spans="1:19" x14ac:dyDescent="0.35">
      <c r="A1167" t="s">
        <v>3210</v>
      </c>
      <c r="B1167" s="1">
        <v>41681</v>
      </c>
      <c r="C1167" s="1">
        <v>41685</v>
      </c>
      <c r="D1167" t="s">
        <v>37</v>
      </c>
      <c r="E1167" t="s">
        <v>466</v>
      </c>
      <c r="F1167" t="s">
        <v>467</v>
      </c>
      <c r="G1167" t="s">
        <v>23</v>
      </c>
      <c r="H1167" t="s">
        <v>24</v>
      </c>
      <c r="I1167" t="s">
        <v>2111</v>
      </c>
      <c r="J1167" t="s">
        <v>707</v>
      </c>
      <c r="K1167" t="s">
        <v>27</v>
      </c>
      <c r="L1167" t="s">
        <v>1319</v>
      </c>
      <c r="M1167" t="s">
        <v>29</v>
      </c>
      <c r="N1167" t="s">
        <v>43</v>
      </c>
      <c r="O1167" t="s">
        <v>1320</v>
      </c>
      <c r="P1167">
        <v>1256.22</v>
      </c>
      <c r="Q1167">
        <v>6</v>
      </c>
      <c r="R1167">
        <v>75.373199999999997</v>
      </c>
      <c r="S1167" t="s">
        <v>289</v>
      </c>
    </row>
    <row r="1168" spans="1:19" x14ac:dyDescent="0.35">
      <c r="A1168" t="s">
        <v>3211</v>
      </c>
      <c r="B1168" s="1">
        <v>42820</v>
      </c>
      <c r="C1168" s="1">
        <v>42827</v>
      </c>
      <c r="D1168" t="s">
        <v>37</v>
      </c>
      <c r="E1168" t="s">
        <v>3212</v>
      </c>
      <c r="F1168" t="s">
        <v>3213</v>
      </c>
      <c r="G1168" t="s">
        <v>84</v>
      </c>
      <c r="H1168" t="s">
        <v>24</v>
      </c>
      <c r="I1168" t="s">
        <v>646</v>
      </c>
      <c r="J1168" t="s">
        <v>281</v>
      </c>
      <c r="K1168" t="s">
        <v>87</v>
      </c>
      <c r="L1168" t="s">
        <v>3214</v>
      </c>
      <c r="M1168" t="s">
        <v>29</v>
      </c>
      <c r="N1168" t="s">
        <v>53</v>
      </c>
      <c r="O1168" t="s">
        <v>3215</v>
      </c>
      <c r="P1168">
        <v>60.84</v>
      </c>
      <c r="Q1168">
        <v>3</v>
      </c>
      <c r="R1168">
        <v>23.119199999999999</v>
      </c>
      <c r="S1168" t="s">
        <v>187</v>
      </c>
    </row>
    <row r="1169" spans="1:19" x14ac:dyDescent="0.35">
      <c r="A1169" t="s">
        <v>3216</v>
      </c>
      <c r="B1169" s="1">
        <v>41994</v>
      </c>
      <c r="C1169" s="1">
        <v>42000</v>
      </c>
      <c r="D1169" t="s">
        <v>37</v>
      </c>
      <c r="E1169" t="s">
        <v>824</v>
      </c>
      <c r="F1169" t="s">
        <v>825</v>
      </c>
      <c r="G1169" t="s">
        <v>23</v>
      </c>
      <c r="H1169" t="s">
        <v>24</v>
      </c>
      <c r="I1169" t="s">
        <v>630</v>
      </c>
      <c r="J1169" t="s">
        <v>50</v>
      </c>
      <c r="K1169" t="s">
        <v>51</v>
      </c>
      <c r="L1169" t="s">
        <v>238</v>
      </c>
      <c r="M1169" t="s">
        <v>29</v>
      </c>
      <c r="N1169" t="s">
        <v>34</v>
      </c>
      <c r="O1169" t="s">
        <v>239</v>
      </c>
      <c r="P1169">
        <v>1325.76</v>
      </c>
      <c r="Q1169">
        <v>6</v>
      </c>
      <c r="R1169">
        <v>149.148</v>
      </c>
      <c r="S1169" t="s">
        <v>90</v>
      </c>
    </row>
    <row r="1170" spans="1:19" x14ac:dyDescent="0.35">
      <c r="A1170" t="s">
        <v>3216</v>
      </c>
      <c r="B1170" s="1">
        <v>41994</v>
      </c>
      <c r="C1170" s="1">
        <v>42000</v>
      </c>
      <c r="D1170" t="s">
        <v>37</v>
      </c>
      <c r="E1170" t="s">
        <v>824</v>
      </c>
      <c r="F1170" t="s">
        <v>825</v>
      </c>
      <c r="G1170" t="s">
        <v>23</v>
      </c>
      <c r="H1170" t="s">
        <v>24</v>
      </c>
      <c r="I1170" t="s">
        <v>630</v>
      </c>
      <c r="J1170" t="s">
        <v>50</v>
      </c>
      <c r="K1170" t="s">
        <v>51</v>
      </c>
      <c r="L1170" t="s">
        <v>571</v>
      </c>
      <c r="M1170" t="s">
        <v>29</v>
      </c>
      <c r="N1170" t="s">
        <v>34</v>
      </c>
      <c r="O1170" t="s">
        <v>572</v>
      </c>
      <c r="P1170">
        <v>572.16</v>
      </c>
      <c r="Q1170">
        <v>3</v>
      </c>
      <c r="R1170">
        <v>35.76</v>
      </c>
      <c r="S1170" t="s">
        <v>90</v>
      </c>
    </row>
    <row r="1171" spans="1:19" x14ac:dyDescent="0.35">
      <c r="A1171" t="s">
        <v>3217</v>
      </c>
      <c r="B1171" s="1">
        <v>42461</v>
      </c>
      <c r="C1171" s="1">
        <v>42465</v>
      </c>
      <c r="D1171" t="s">
        <v>20</v>
      </c>
      <c r="E1171" t="s">
        <v>2292</v>
      </c>
      <c r="F1171" t="s">
        <v>2293</v>
      </c>
      <c r="G1171" t="s">
        <v>94</v>
      </c>
      <c r="H1171" t="s">
        <v>24</v>
      </c>
      <c r="I1171" t="s">
        <v>339</v>
      </c>
      <c r="J1171" t="s">
        <v>658</v>
      </c>
      <c r="K1171" t="s">
        <v>27</v>
      </c>
      <c r="L1171" t="s">
        <v>329</v>
      </c>
      <c r="M1171" t="s">
        <v>29</v>
      </c>
      <c r="N1171" t="s">
        <v>53</v>
      </c>
      <c r="O1171" t="s">
        <v>330</v>
      </c>
      <c r="P1171">
        <v>7.04</v>
      </c>
      <c r="Q1171">
        <v>4</v>
      </c>
      <c r="R1171">
        <v>3.0975999999999999</v>
      </c>
      <c r="S1171" t="s">
        <v>107</v>
      </c>
    </row>
    <row r="1172" spans="1:19" x14ac:dyDescent="0.35">
      <c r="A1172" t="s">
        <v>3218</v>
      </c>
      <c r="B1172" s="1">
        <v>42839</v>
      </c>
      <c r="C1172" s="1">
        <v>42844</v>
      </c>
      <c r="D1172" t="s">
        <v>37</v>
      </c>
      <c r="E1172" t="s">
        <v>1857</v>
      </c>
      <c r="F1172" t="s">
        <v>1858</v>
      </c>
      <c r="G1172" t="s">
        <v>84</v>
      </c>
      <c r="H1172" t="s">
        <v>24</v>
      </c>
      <c r="I1172" t="s">
        <v>3219</v>
      </c>
      <c r="J1172" t="s">
        <v>354</v>
      </c>
      <c r="K1172" t="s">
        <v>63</v>
      </c>
      <c r="L1172" t="s">
        <v>1195</v>
      </c>
      <c r="M1172" t="s">
        <v>29</v>
      </c>
      <c r="N1172" t="s">
        <v>53</v>
      </c>
      <c r="O1172" t="s">
        <v>1196</v>
      </c>
      <c r="P1172">
        <v>74.45</v>
      </c>
      <c r="Q1172">
        <v>5</v>
      </c>
      <c r="R1172">
        <v>20.101500000000001</v>
      </c>
      <c r="S1172" t="s">
        <v>107</v>
      </c>
    </row>
    <row r="1173" spans="1:19" x14ac:dyDescent="0.35">
      <c r="A1173" t="s">
        <v>3220</v>
      </c>
      <c r="B1173" s="1">
        <v>42008</v>
      </c>
      <c r="C1173" s="1">
        <v>42013</v>
      </c>
      <c r="D1173" t="s">
        <v>37</v>
      </c>
      <c r="E1173" t="s">
        <v>3132</v>
      </c>
      <c r="F1173" t="s">
        <v>3133</v>
      </c>
      <c r="G1173" t="s">
        <v>84</v>
      </c>
      <c r="H1173" t="s">
        <v>24</v>
      </c>
      <c r="I1173" t="s">
        <v>1968</v>
      </c>
      <c r="J1173" t="s">
        <v>707</v>
      </c>
      <c r="K1173" t="s">
        <v>27</v>
      </c>
      <c r="L1173" t="s">
        <v>1281</v>
      </c>
      <c r="M1173" t="s">
        <v>29</v>
      </c>
      <c r="N1173" t="s">
        <v>53</v>
      </c>
      <c r="O1173" t="s">
        <v>1282</v>
      </c>
      <c r="P1173">
        <v>192.22</v>
      </c>
      <c r="Q1173">
        <v>14</v>
      </c>
      <c r="R1173">
        <v>69.199200000000005</v>
      </c>
      <c r="S1173" t="s">
        <v>161</v>
      </c>
    </row>
    <row r="1174" spans="1:19" x14ac:dyDescent="0.35">
      <c r="A1174" t="s">
        <v>3221</v>
      </c>
      <c r="B1174" s="1">
        <v>42933</v>
      </c>
      <c r="C1174" s="1">
        <v>42935</v>
      </c>
      <c r="D1174" t="s">
        <v>20</v>
      </c>
      <c r="E1174" t="s">
        <v>778</v>
      </c>
      <c r="F1174" t="s">
        <v>779</v>
      </c>
      <c r="G1174" t="s">
        <v>84</v>
      </c>
      <c r="H1174" t="s">
        <v>24</v>
      </c>
      <c r="I1174" t="s">
        <v>3222</v>
      </c>
      <c r="J1174" t="s">
        <v>50</v>
      </c>
      <c r="K1174" t="s">
        <v>51</v>
      </c>
      <c r="L1174" t="s">
        <v>252</v>
      </c>
      <c r="M1174" t="s">
        <v>29</v>
      </c>
      <c r="N1174" t="s">
        <v>30</v>
      </c>
      <c r="O1174" t="s">
        <v>253</v>
      </c>
      <c r="P1174">
        <v>1194.165</v>
      </c>
      <c r="Q1174">
        <v>5</v>
      </c>
      <c r="R1174">
        <v>210.73500000000001</v>
      </c>
      <c r="S1174" t="s">
        <v>66</v>
      </c>
    </row>
    <row r="1175" spans="1:19" x14ac:dyDescent="0.35">
      <c r="A1175" t="s">
        <v>3223</v>
      </c>
      <c r="B1175" s="1">
        <v>42722</v>
      </c>
      <c r="C1175" s="1">
        <v>42725</v>
      </c>
      <c r="D1175" t="s">
        <v>81</v>
      </c>
      <c r="E1175" t="s">
        <v>1680</v>
      </c>
      <c r="F1175" t="s">
        <v>1681</v>
      </c>
      <c r="G1175" t="s">
        <v>94</v>
      </c>
      <c r="H1175" t="s">
        <v>24</v>
      </c>
      <c r="I1175" t="s">
        <v>3224</v>
      </c>
      <c r="J1175" t="s">
        <v>1508</v>
      </c>
      <c r="K1175" t="s">
        <v>51</v>
      </c>
      <c r="L1175" t="s">
        <v>1275</v>
      </c>
      <c r="M1175" t="s">
        <v>29</v>
      </c>
      <c r="N1175" t="s">
        <v>43</v>
      </c>
      <c r="O1175" t="s">
        <v>1276</v>
      </c>
      <c r="P1175">
        <v>377.45</v>
      </c>
      <c r="Q1175">
        <v>5</v>
      </c>
      <c r="R1175">
        <v>-264.21499999999997</v>
      </c>
      <c r="S1175" t="s">
        <v>90</v>
      </c>
    </row>
    <row r="1176" spans="1:19" x14ac:dyDescent="0.35">
      <c r="A1176" t="s">
        <v>3225</v>
      </c>
      <c r="B1176" s="1">
        <v>42637</v>
      </c>
      <c r="C1176" s="1">
        <v>42644</v>
      </c>
      <c r="D1176" t="s">
        <v>37</v>
      </c>
      <c r="E1176" t="s">
        <v>2995</v>
      </c>
      <c r="F1176" t="s">
        <v>2996</v>
      </c>
      <c r="G1176" t="s">
        <v>94</v>
      </c>
      <c r="H1176" t="s">
        <v>24</v>
      </c>
      <c r="I1176" t="s">
        <v>171</v>
      </c>
      <c r="J1176" t="s">
        <v>172</v>
      </c>
      <c r="K1176" t="s">
        <v>51</v>
      </c>
      <c r="L1176" t="s">
        <v>365</v>
      </c>
      <c r="M1176" t="s">
        <v>29</v>
      </c>
      <c r="N1176" t="s">
        <v>53</v>
      </c>
      <c r="O1176" t="s">
        <v>366</v>
      </c>
      <c r="P1176">
        <v>21.44</v>
      </c>
      <c r="Q1176">
        <v>2</v>
      </c>
      <c r="R1176">
        <v>7.5039999999999996</v>
      </c>
      <c r="S1176" t="s">
        <v>72</v>
      </c>
    </row>
    <row r="1177" spans="1:19" x14ac:dyDescent="0.35">
      <c r="A1177" t="s">
        <v>3226</v>
      </c>
      <c r="B1177" s="1">
        <v>42164</v>
      </c>
      <c r="C1177" s="1">
        <v>42166</v>
      </c>
      <c r="D1177" t="s">
        <v>20</v>
      </c>
      <c r="E1177" t="s">
        <v>3227</v>
      </c>
      <c r="F1177" t="s">
        <v>3228</v>
      </c>
      <c r="G1177" t="s">
        <v>23</v>
      </c>
      <c r="H1177" t="s">
        <v>24</v>
      </c>
      <c r="I1177" t="s">
        <v>3229</v>
      </c>
      <c r="J1177" t="s">
        <v>2271</v>
      </c>
      <c r="K1177" t="s">
        <v>51</v>
      </c>
      <c r="L1177" t="s">
        <v>3148</v>
      </c>
      <c r="M1177" t="s">
        <v>29</v>
      </c>
      <c r="N1177" t="s">
        <v>53</v>
      </c>
      <c r="O1177" t="s">
        <v>3149</v>
      </c>
      <c r="P1177">
        <v>355.36</v>
      </c>
      <c r="Q1177">
        <v>4</v>
      </c>
      <c r="R1177">
        <v>92.393600000000006</v>
      </c>
      <c r="S1177" t="s">
        <v>55</v>
      </c>
    </row>
    <row r="1178" spans="1:19" x14ac:dyDescent="0.35">
      <c r="A1178" t="s">
        <v>3230</v>
      </c>
      <c r="B1178" s="1">
        <v>42002</v>
      </c>
      <c r="C1178" s="1">
        <v>42009</v>
      </c>
      <c r="D1178" t="s">
        <v>37</v>
      </c>
      <c r="E1178" t="s">
        <v>834</v>
      </c>
      <c r="F1178" t="s">
        <v>835</v>
      </c>
      <c r="G1178" t="s">
        <v>23</v>
      </c>
      <c r="H1178" t="s">
        <v>24</v>
      </c>
      <c r="I1178" t="s">
        <v>125</v>
      </c>
      <c r="J1178" t="s">
        <v>126</v>
      </c>
      <c r="K1178" t="s">
        <v>87</v>
      </c>
      <c r="L1178" t="s">
        <v>2386</v>
      </c>
      <c r="M1178" t="s">
        <v>29</v>
      </c>
      <c r="N1178" t="s">
        <v>53</v>
      </c>
      <c r="O1178" t="s">
        <v>2387</v>
      </c>
      <c r="P1178">
        <v>38.975999999999999</v>
      </c>
      <c r="Q1178">
        <v>3</v>
      </c>
      <c r="R1178">
        <v>-50.668799999999997</v>
      </c>
      <c r="S1178" t="s">
        <v>90</v>
      </c>
    </row>
    <row r="1179" spans="1:19" x14ac:dyDescent="0.35">
      <c r="A1179" t="s">
        <v>3231</v>
      </c>
      <c r="B1179" s="1">
        <v>41848</v>
      </c>
      <c r="C1179" s="1">
        <v>41848</v>
      </c>
      <c r="D1179" t="s">
        <v>417</v>
      </c>
      <c r="E1179" t="s">
        <v>1350</v>
      </c>
      <c r="F1179" t="s">
        <v>1351</v>
      </c>
      <c r="G1179" t="s">
        <v>23</v>
      </c>
      <c r="H1179" t="s">
        <v>24</v>
      </c>
      <c r="I1179" t="s">
        <v>3232</v>
      </c>
      <c r="J1179" t="s">
        <v>41</v>
      </c>
      <c r="K1179" t="s">
        <v>27</v>
      </c>
      <c r="L1179" t="s">
        <v>1700</v>
      </c>
      <c r="M1179" t="s">
        <v>29</v>
      </c>
      <c r="N1179" t="s">
        <v>53</v>
      </c>
      <c r="O1179" t="s">
        <v>1701</v>
      </c>
      <c r="P1179">
        <v>129.88800000000001</v>
      </c>
      <c r="Q1179">
        <v>6</v>
      </c>
      <c r="R1179">
        <v>12.988799999999999</v>
      </c>
      <c r="S1179" t="s">
        <v>66</v>
      </c>
    </row>
    <row r="1180" spans="1:19" x14ac:dyDescent="0.35">
      <c r="A1180" t="s">
        <v>3233</v>
      </c>
      <c r="B1180" s="1">
        <v>42364</v>
      </c>
      <c r="C1180" s="1">
        <v>42369</v>
      </c>
      <c r="D1180" t="s">
        <v>37</v>
      </c>
      <c r="E1180" t="s">
        <v>3234</v>
      </c>
      <c r="F1180" t="s">
        <v>3235</v>
      </c>
      <c r="G1180" t="s">
        <v>94</v>
      </c>
      <c r="H1180" t="s">
        <v>24</v>
      </c>
      <c r="I1180" t="s">
        <v>95</v>
      </c>
      <c r="J1180" t="s">
        <v>86</v>
      </c>
      <c r="K1180" t="s">
        <v>87</v>
      </c>
      <c r="L1180" t="s">
        <v>3166</v>
      </c>
      <c r="M1180" t="s">
        <v>29</v>
      </c>
      <c r="N1180" t="s">
        <v>34</v>
      </c>
      <c r="O1180" t="s">
        <v>3167</v>
      </c>
      <c r="P1180">
        <v>275.05799999999999</v>
      </c>
      <c r="Q1180">
        <v>3</v>
      </c>
      <c r="R1180">
        <v>-90.376199999999997</v>
      </c>
      <c r="S1180" t="s">
        <v>90</v>
      </c>
    </row>
    <row r="1181" spans="1:19" x14ac:dyDescent="0.35">
      <c r="A1181" t="s">
        <v>3236</v>
      </c>
      <c r="B1181" s="1">
        <v>42348</v>
      </c>
      <c r="C1181" s="1">
        <v>42354</v>
      </c>
      <c r="D1181" t="s">
        <v>37</v>
      </c>
      <c r="E1181" t="s">
        <v>966</v>
      </c>
      <c r="F1181" t="s">
        <v>967</v>
      </c>
      <c r="G1181" t="s">
        <v>84</v>
      </c>
      <c r="H1181" t="s">
        <v>24</v>
      </c>
      <c r="I1181" t="s">
        <v>2745</v>
      </c>
      <c r="J1181" t="s">
        <v>1080</v>
      </c>
      <c r="K1181" t="s">
        <v>63</v>
      </c>
      <c r="L1181" t="s">
        <v>412</v>
      </c>
      <c r="M1181" t="s">
        <v>29</v>
      </c>
      <c r="N1181" t="s">
        <v>34</v>
      </c>
      <c r="O1181" t="s">
        <v>413</v>
      </c>
      <c r="P1181">
        <v>542.94000000000005</v>
      </c>
      <c r="Q1181">
        <v>3</v>
      </c>
      <c r="R1181">
        <v>141.1644</v>
      </c>
      <c r="S1181" t="s">
        <v>90</v>
      </c>
    </row>
    <row r="1182" spans="1:19" x14ac:dyDescent="0.35">
      <c r="A1182" t="s">
        <v>3237</v>
      </c>
      <c r="B1182" s="1">
        <v>42495</v>
      </c>
      <c r="C1182" s="1">
        <v>42497</v>
      </c>
      <c r="D1182" t="s">
        <v>20</v>
      </c>
      <c r="E1182" t="s">
        <v>3018</v>
      </c>
      <c r="F1182" t="s">
        <v>3019</v>
      </c>
      <c r="G1182" t="s">
        <v>23</v>
      </c>
      <c r="H1182" t="s">
        <v>24</v>
      </c>
      <c r="I1182" t="s">
        <v>320</v>
      </c>
      <c r="J1182" t="s">
        <v>50</v>
      </c>
      <c r="K1182" t="s">
        <v>51</v>
      </c>
      <c r="L1182" t="s">
        <v>1240</v>
      </c>
      <c r="M1182" t="s">
        <v>29</v>
      </c>
      <c r="N1182" t="s">
        <v>43</v>
      </c>
      <c r="O1182" t="s">
        <v>1241</v>
      </c>
      <c r="P1182">
        <v>71.087999999999994</v>
      </c>
      <c r="Q1182">
        <v>2</v>
      </c>
      <c r="R1182">
        <v>-1.7771999999999999</v>
      </c>
      <c r="S1182" t="s">
        <v>153</v>
      </c>
    </row>
    <row r="1183" spans="1:19" x14ac:dyDescent="0.35">
      <c r="A1183" t="s">
        <v>3238</v>
      </c>
      <c r="B1183" s="1">
        <v>41987</v>
      </c>
      <c r="C1183" s="1">
        <v>41994</v>
      </c>
      <c r="D1183" t="s">
        <v>37</v>
      </c>
      <c r="E1183" t="s">
        <v>3239</v>
      </c>
      <c r="F1183" t="s">
        <v>3240</v>
      </c>
      <c r="G1183" t="s">
        <v>23</v>
      </c>
      <c r="H1183" t="s">
        <v>24</v>
      </c>
      <c r="I1183" t="s">
        <v>1761</v>
      </c>
      <c r="J1183" t="s">
        <v>223</v>
      </c>
      <c r="K1183" t="s">
        <v>63</v>
      </c>
      <c r="L1183" t="s">
        <v>1874</v>
      </c>
      <c r="M1183" t="s">
        <v>29</v>
      </c>
      <c r="N1183" t="s">
        <v>43</v>
      </c>
      <c r="O1183" t="s">
        <v>1875</v>
      </c>
      <c r="P1183">
        <v>136.53</v>
      </c>
      <c r="Q1183">
        <v>1</v>
      </c>
      <c r="R1183">
        <v>-52.336500000000001</v>
      </c>
      <c r="S1183" t="s">
        <v>90</v>
      </c>
    </row>
    <row r="1184" spans="1:19" x14ac:dyDescent="0.35">
      <c r="A1184" t="s">
        <v>3241</v>
      </c>
      <c r="B1184" s="1">
        <v>42132</v>
      </c>
      <c r="C1184" s="1">
        <v>42139</v>
      </c>
      <c r="D1184" t="s">
        <v>37</v>
      </c>
      <c r="E1184" t="s">
        <v>2226</v>
      </c>
      <c r="F1184" t="s">
        <v>2227</v>
      </c>
      <c r="G1184" t="s">
        <v>23</v>
      </c>
      <c r="H1184" t="s">
        <v>24</v>
      </c>
      <c r="I1184" t="s">
        <v>165</v>
      </c>
      <c r="J1184" t="s">
        <v>114</v>
      </c>
      <c r="K1184" t="s">
        <v>63</v>
      </c>
      <c r="L1184" t="s">
        <v>934</v>
      </c>
      <c r="M1184" t="s">
        <v>29</v>
      </c>
      <c r="N1184" t="s">
        <v>53</v>
      </c>
      <c r="O1184" t="s">
        <v>935</v>
      </c>
      <c r="P1184">
        <v>79.44</v>
      </c>
      <c r="Q1184">
        <v>3</v>
      </c>
      <c r="R1184">
        <v>30.187200000000001</v>
      </c>
      <c r="S1184" t="s">
        <v>153</v>
      </c>
    </row>
    <row r="1185" spans="1:19" x14ac:dyDescent="0.35">
      <c r="A1185" t="s">
        <v>3241</v>
      </c>
      <c r="B1185" s="1">
        <v>42132</v>
      </c>
      <c r="C1185" s="1">
        <v>42139</v>
      </c>
      <c r="D1185" t="s">
        <v>37</v>
      </c>
      <c r="E1185" t="s">
        <v>2226</v>
      </c>
      <c r="F1185" t="s">
        <v>2227</v>
      </c>
      <c r="G1185" t="s">
        <v>23</v>
      </c>
      <c r="H1185" t="s">
        <v>24</v>
      </c>
      <c r="I1185" t="s">
        <v>165</v>
      </c>
      <c r="J1185" t="s">
        <v>114</v>
      </c>
      <c r="K1185" t="s">
        <v>63</v>
      </c>
      <c r="L1185" t="s">
        <v>581</v>
      </c>
      <c r="M1185" t="s">
        <v>29</v>
      </c>
      <c r="N1185" t="s">
        <v>34</v>
      </c>
      <c r="O1185" t="s">
        <v>582</v>
      </c>
      <c r="P1185">
        <v>127.764</v>
      </c>
      <c r="Q1185">
        <v>2</v>
      </c>
      <c r="R1185">
        <v>21.294</v>
      </c>
      <c r="S1185" t="s">
        <v>153</v>
      </c>
    </row>
    <row r="1186" spans="1:19" x14ac:dyDescent="0.35">
      <c r="A1186" t="s">
        <v>3242</v>
      </c>
      <c r="B1186" s="1">
        <v>43077</v>
      </c>
      <c r="C1186" s="1">
        <v>43082</v>
      </c>
      <c r="D1186" t="s">
        <v>37</v>
      </c>
      <c r="E1186" t="s">
        <v>523</v>
      </c>
      <c r="F1186" t="s">
        <v>524</v>
      </c>
      <c r="G1186" t="s">
        <v>23</v>
      </c>
      <c r="H1186" t="s">
        <v>24</v>
      </c>
      <c r="I1186" t="s">
        <v>1476</v>
      </c>
      <c r="J1186" t="s">
        <v>230</v>
      </c>
      <c r="K1186" t="s">
        <v>87</v>
      </c>
      <c r="L1186" t="s">
        <v>1467</v>
      </c>
      <c r="M1186" t="s">
        <v>29</v>
      </c>
      <c r="N1186" t="s">
        <v>30</v>
      </c>
      <c r="O1186" t="s">
        <v>1468</v>
      </c>
      <c r="P1186">
        <v>459.92</v>
      </c>
      <c r="Q1186">
        <v>4</v>
      </c>
      <c r="R1186">
        <v>41.392800000000001</v>
      </c>
      <c r="S1186" t="s">
        <v>90</v>
      </c>
    </row>
    <row r="1187" spans="1:19" x14ac:dyDescent="0.35">
      <c r="A1187" t="s">
        <v>3243</v>
      </c>
      <c r="B1187" s="1">
        <v>42915</v>
      </c>
      <c r="C1187" s="1">
        <v>42918</v>
      </c>
      <c r="D1187" t="s">
        <v>81</v>
      </c>
      <c r="E1187" t="s">
        <v>324</v>
      </c>
      <c r="F1187" t="s">
        <v>325</v>
      </c>
      <c r="G1187" t="s">
        <v>84</v>
      </c>
      <c r="H1187" t="s">
        <v>24</v>
      </c>
      <c r="I1187" t="s">
        <v>3244</v>
      </c>
      <c r="J1187" t="s">
        <v>421</v>
      </c>
      <c r="K1187" t="s">
        <v>63</v>
      </c>
      <c r="L1187" t="s">
        <v>2411</v>
      </c>
      <c r="M1187" t="s">
        <v>29</v>
      </c>
      <c r="N1187" t="s">
        <v>30</v>
      </c>
      <c r="O1187" t="s">
        <v>2412</v>
      </c>
      <c r="P1187">
        <v>638.82000000000005</v>
      </c>
      <c r="Q1187">
        <v>9</v>
      </c>
      <c r="R1187">
        <v>185.2578</v>
      </c>
      <c r="S1187" t="s">
        <v>55</v>
      </c>
    </row>
    <row r="1188" spans="1:19" x14ac:dyDescent="0.35">
      <c r="A1188" t="s">
        <v>3243</v>
      </c>
      <c r="B1188" s="1">
        <v>42915</v>
      </c>
      <c r="C1188" s="1">
        <v>42918</v>
      </c>
      <c r="D1188" t="s">
        <v>81</v>
      </c>
      <c r="E1188" t="s">
        <v>324</v>
      </c>
      <c r="F1188" t="s">
        <v>325</v>
      </c>
      <c r="G1188" t="s">
        <v>84</v>
      </c>
      <c r="H1188" t="s">
        <v>24</v>
      </c>
      <c r="I1188" t="s">
        <v>3244</v>
      </c>
      <c r="J1188" t="s">
        <v>421</v>
      </c>
      <c r="K1188" t="s">
        <v>63</v>
      </c>
      <c r="L1188" t="s">
        <v>1259</v>
      </c>
      <c r="M1188" t="s">
        <v>29</v>
      </c>
      <c r="N1188" t="s">
        <v>53</v>
      </c>
      <c r="O1188" t="s">
        <v>1260</v>
      </c>
      <c r="P1188">
        <v>25.16</v>
      </c>
      <c r="Q1188">
        <v>2</v>
      </c>
      <c r="R1188">
        <v>8.5543999999999993</v>
      </c>
      <c r="S1188" t="s">
        <v>55</v>
      </c>
    </row>
    <row r="1189" spans="1:19" x14ac:dyDescent="0.35">
      <c r="A1189" t="s">
        <v>3245</v>
      </c>
      <c r="B1189" s="1">
        <v>41659</v>
      </c>
      <c r="C1189" s="1">
        <v>41664</v>
      </c>
      <c r="D1189" t="s">
        <v>37</v>
      </c>
      <c r="E1189" t="s">
        <v>1782</v>
      </c>
      <c r="F1189" t="s">
        <v>1783</v>
      </c>
      <c r="G1189" t="s">
        <v>23</v>
      </c>
      <c r="H1189" t="s">
        <v>24</v>
      </c>
      <c r="I1189" t="s">
        <v>49</v>
      </c>
      <c r="J1189" t="s">
        <v>50</v>
      </c>
      <c r="K1189" t="s">
        <v>51</v>
      </c>
      <c r="L1189" t="s">
        <v>144</v>
      </c>
      <c r="M1189" t="s">
        <v>29</v>
      </c>
      <c r="N1189" t="s">
        <v>53</v>
      </c>
      <c r="O1189" t="s">
        <v>145</v>
      </c>
      <c r="P1189">
        <v>19.3</v>
      </c>
      <c r="Q1189">
        <v>2</v>
      </c>
      <c r="R1189">
        <v>5.79</v>
      </c>
      <c r="S1189" t="s">
        <v>161</v>
      </c>
    </row>
    <row r="1190" spans="1:19" x14ac:dyDescent="0.35">
      <c r="A1190" t="s">
        <v>3246</v>
      </c>
      <c r="B1190" s="1">
        <v>42822</v>
      </c>
      <c r="C1190" s="1">
        <v>42825</v>
      </c>
      <c r="D1190" t="s">
        <v>81</v>
      </c>
      <c r="E1190" t="s">
        <v>3247</v>
      </c>
      <c r="F1190" t="s">
        <v>3248</v>
      </c>
      <c r="G1190" t="s">
        <v>84</v>
      </c>
      <c r="H1190" t="s">
        <v>24</v>
      </c>
      <c r="I1190" t="s">
        <v>1571</v>
      </c>
      <c r="J1190" t="s">
        <v>50</v>
      </c>
      <c r="K1190" t="s">
        <v>51</v>
      </c>
      <c r="L1190" t="s">
        <v>934</v>
      </c>
      <c r="M1190" t="s">
        <v>29</v>
      </c>
      <c r="N1190" t="s">
        <v>53</v>
      </c>
      <c r="O1190" t="s">
        <v>935</v>
      </c>
      <c r="P1190">
        <v>26.48</v>
      </c>
      <c r="Q1190">
        <v>1</v>
      </c>
      <c r="R1190">
        <v>10.0624</v>
      </c>
      <c r="S1190" t="s">
        <v>187</v>
      </c>
    </row>
    <row r="1191" spans="1:19" x14ac:dyDescent="0.35">
      <c r="A1191" t="s">
        <v>3246</v>
      </c>
      <c r="B1191" s="1">
        <v>42822</v>
      </c>
      <c r="C1191" s="1">
        <v>42825</v>
      </c>
      <c r="D1191" t="s">
        <v>81</v>
      </c>
      <c r="E1191" t="s">
        <v>3247</v>
      </c>
      <c r="F1191" t="s">
        <v>3248</v>
      </c>
      <c r="G1191" t="s">
        <v>84</v>
      </c>
      <c r="H1191" t="s">
        <v>24</v>
      </c>
      <c r="I1191" t="s">
        <v>1571</v>
      </c>
      <c r="J1191" t="s">
        <v>50</v>
      </c>
      <c r="K1191" t="s">
        <v>51</v>
      </c>
      <c r="L1191" t="s">
        <v>2002</v>
      </c>
      <c r="M1191" t="s">
        <v>29</v>
      </c>
      <c r="N1191" t="s">
        <v>53</v>
      </c>
      <c r="O1191" t="s">
        <v>2003</v>
      </c>
      <c r="P1191">
        <v>21.56</v>
      </c>
      <c r="Q1191">
        <v>7</v>
      </c>
      <c r="R1191">
        <v>6.8992000000000004</v>
      </c>
      <c r="S1191" t="s">
        <v>187</v>
      </c>
    </row>
    <row r="1192" spans="1:19" x14ac:dyDescent="0.35">
      <c r="A1192" t="s">
        <v>3249</v>
      </c>
      <c r="B1192" s="1">
        <v>41789</v>
      </c>
      <c r="C1192" s="1">
        <v>41795</v>
      </c>
      <c r="D1192" t="s">
        <v>37</v>
      </c>
      <c r="E1192" t="s">
        <v>3003</v>
      </c>
      <c r="F1192" t="s">
        <v>3004</v>
      </c>
      <c r="G1192" t="s">
        <v>23</v>
      </c>
      <c r="H1192" t="s">
        <v>24</v>
      </c>
      <c r="I1192" t="s">
        <v>3250</v>
      </c>
      <c r="J1192" t="s">
        <v>126</v>
      </c>
      <c r="K1192" t="s">
        <v>87</v>
      </c>
      <c r="L1192" t="s">
        <v>56</v>
      </c>
      <c r="M1192" t="s">
        <v>29</v>
      </c>
      <c r="N1192" t="s">
        <v>43</v>
      </c>
      <c r="O1192" t="s">
        <v>57</v>
      </c>
      <c r="P1192">
        <v>355.45499999999998</v>
      </c>
      <c r="Q1192">
        <v>3</v>
      </c>
      <c r="R1192">
        <v>-184.8366</v>
      </c>
      <c r="S1192" t="s">
        <v>153</v>
      </c>
    </row>
    <row r="1193" spans="1:19" x14ac:dyDescent="0.35">
      <c r="A1193" t="s">
        <v>3251</v>
      </c>
      <c r="B1193" s="1">
        <v>42403</v>
      </c>
      <c r="C1193" s="1">
        <v>42410</v>
      </c>
      <c r="D1193" t="s">
        <v>37</v>
      </c>
      <c r="E1193" t="s">
        <v>2406</v>
      </c>
      <c r="F1193" t="s">
        <v>2407</v>
      </c>
      <c r="G1193" t="s">
        <v>23</v>
      </c>
      <c r="H1193" t="s">
        <v>24</v>
      </c>
      <c r="I1193" t="s">
        <v>626</v>
      </c>
      <c r="J1193" t="s">
        <v>26</v>
      </c>
      <c r="K1193" t="s">
        <v>27</v>
      </c>
      <c r="L1193" t="s">
        <v>470</v>
      </c>
      <c r="M1193" t="s">
        <v>29</v>
      </c>
      <c r="N1193" t="s">
        <v>34</v>
      </c>
      <c r="O1193" t="s">
        <v>471</v>
      </c>
      <c r="P1193">
        <v>866.4</v>
      </c>
      <c r="Q1193">
        <v>4</v>
      </c>
      <c r="R1193">
        <v>225.26400000000001</v>
      </c>
      <c r="S1193" t="s">
        <v>289</v>
      </c>
    </row>
    <row r="1194" spans="1:19" x14ac:dyDescent="0.35">
      <c r="A1194" t="s">
        <v>3252</v>
      </c>
      <c r="B1194" s="1">
        <v>42227</v>
      </c>
      <c r="C1194" s="1">
        <v>42232</v>
      </c>
      <c r="D1194" t="s">
        <v>37</v>
      </c>
      <c r="E1194" t="s">
        <v>3253</v>
      </c>
      <c r="F1194" t="s">
        <v>3254</v>
      </c>
      <c r="G1194" t="s">
        <v>23</v>
      </c>
      <c r="H1194" t="s">
        <v>24</v>
      </c>
      <c r="I1194" t="s">
        <v>2008</v>
      </c>
      <c r="J1194" t="s">
        <v>1027</v>
      </c>
      <c r="K1194" t="s">
        <v>27</v>
      </c>
      <c r="L1194" t="s">
        <v>1302</v>
      </c>
      <c r="M1194" t="s">
        <v>29</v>
      </c>
      <c r="N1194" t="s">
        <v>53</v>
      </c>
      <c r="O1194" t="s">
        <v>2013</v>
      </c>
      <c r="P1194">
        <v>46.152000000000001</v>
      </c>
      <c r="Q1194">
        <v>3</v>
      </c>
      <c r="R1194">
        <v>12.1149</v>
      </c>
      <c r="S1194" t="s">
        <v>245</v>
      </c>
    </row>
    <row r="1195" spans="1:19" x14ac:dyDescent="0.35">
      <c r="A1195" t="s">
        <v>3255</v>
      </c>
      <c r="B1195" s="1">
        <v>42959</v>
      </c>
      <c r="C1195" s="1">
        <v>42962</v>
      </c>
      <c r="D1195" t="s">
        <v>81</v>
      </c>
      <c r="E1195" t="s">
        <v>2158</v>
      </c>
      <c r="F1195" t="s">
        <v>2159</v>
      </c>
      <c r="G1195" t="s">
        <v>23</v>
      </c>
      <c r="H1195" t="s">
        <v>24</v>
      </c>
      <c r="I1195" t="s">
        <v>3256</v>
      </c>
      <c r="J1195" t="s">
        <v>50</v>
      </c>
      <c r="K1195" t="s">
        <v>51</v>
      </c>
      <c r="L1195" t="s">
        <v>1281</v>
      </c>
      <c r="M1195" t="s">
        <v>29</v>
      </c>
      <c r="N1195" t="s">
        <v>53</v>
      </c>
      <c r="O1195" t="s">
        <v>1282</v>
      </c>
      <c r="P1195">
        <v>54.92</v>
      </c>
      <c r="Q1195">
        <v>4</v>
      </c>
      <c r="R1195">
        <v>19.7712</v>
      </c>
      <c r="S1195" t="s">
        <v>245</v>
      </c>
    </row>
    <row r="1196" spans="1:19" x14ac:dyDescent="0.35">
      <c r="A1196" t="s">
        <v>3257</v>
      </c>
      <c r="B1196" s="1">
        <v>42311</v>
      </c>
      <c r="C1196" s="1">
        <v>42313</v>
      </c>
      <c r="D1196" t="s">
        <v>81</v>
      </c>
      <c r="E1196" t="s">
        <v>3258</v>
      </c>
      <c r="F1196" t="s">
        <v>3259</v>
      </c>
      <c r="G1196" t="s">
        <v>84</v>
      </c>
      <c r="H1196" t="s">
        <v>24</v>
      </c>
      <c r="I1196" t="s">
        <v>721</v>
      </c>
      <c r="J1196" t="s">
        <v>114</v>
      </c>
      <c r="K1196" t="s">
        <v>63</v>
      </c>
      <c r="L1196" t="s">
        <v>2540</v>
      </c>
      <c r="M1196" t="s">
        <v>29</v>
      </c>
      <c r="N1196" t="s">
        <v>34</v>
      </c>
      <c r="O1196" t="s">
        <v>2541</v>
      </c>
      <c r="P1196">
        <v>1448.82</v>
      </c>
      <c r="Q1196">
        <v>10</v>
      </c>
      <c r="R1196">
        <v>209.274</v>
      </c>
      <c r="S1196" t="s">
        <v>32</v>
      </c>
    </row>
    <row r="1197" spans="1:19" x14ac:dyDescent="0.35">
      <c r="A1197" t="s">
        <v>3260</v>
      </c>
      <c r="B1197" s="1">
        <v>42271</v>
      </c>
      <c r="C1197" s="1">
        <v>42275</v>
      </c>
      <c r="D1197" t="s">
        <v>37</v>
      </c>
      <c r="E1197" t="s">
        <v>3261</v>
      </c>
      <c r="F1197" t="s">
        <v>3262</v>
      </c>
      <c r="G1197" t="s">
        <v>84</v>
      </c>
      <c r="H1197" t="s">
        <v>24</v>
      </c>
      <c r="I1197" t="s">
        <v>49</v>
      </c>
      <c r="J1197" t="s">
        <v>50</v>
      </c>
      <c r="K1197" t="s">
        <v>51</v>
      </c>
      <c r="L1197" t="s">
        <v>641</v>
      </c>
      <c r="M1197" t="s">
        <v>29</v>
      </c>
      <c r="N1197" t="s">
        <v>53</v>
      </c>
      <c r="O1197" t="s">
        <v>642</v>
      </c>
      <c r="P1197">
        <v>14.91</v>
      </c>
      <c r="Q1197">
        <v>3</v>
      </c>
      <c r="R1197">
        <v>4.6220999999999997</v>
      </c>
      <c r="S1197" t="s">
        <v>72</v>
      </c>
    </row>
    <row r="1198" spans="1:19" x14ac:dyDescent="0.35">
      <c r="A1198" t="s">
        <v>3263</v>
      </c>
      <c r="B1198" s="1">
        <v>42472</v>
      </c>
      <c r="C1198" s="1">
        <v>42476</v>
      </c>
      <c r="D1198" t="s">
        <v>37</v>
      </c>
      <c r="E1198" t="s">
        <v>1198</v>
      </c>
      <c r="F1198" t="s">
        <v>1199</v>
      </c>
      <c r="G1198" t="s">
        <v>23</v>
      </c>
      <c r="H1198" t="s">
        <v>24</v>
      </c>
      <c r="I1198" t="s">
        <v>49</v>
      </c>
      <c r="J1198" t="s">
        <v>50</v>
      </c>
      <c r="K1198" t="s">
        <v>51</v>
      </c>
      <c r="L1198" t="s">
        <v>3207</v>
      </c>
      <c r="M1198" t="s">
        <v>29</v>
      </c>
      <c r="N1198" t="s">
        <v>34</v>
      </c>
      <c r="O1198" t="s">
        <v>3208</v>
      </c>
      <c r="P1198">
        <v>638.28800000000001</v>
      </c>
      <c r="Q1198">
        <v>7</v>
      </c>
      <c r="R1198">
        <v>-31.914400000000001</v>
      </c>
      <c r="S1198" t="s">
        <v>107</v>
      </c>
    </row>
    <row r="1199" spans="1:19" x14ac:dyDescent="0.35">
      <c r="A1199" t="s">
        <v>3264</v>
      </c>
      <c r="B1199" s="1">
        <v>41954</v>
      </c>
      <c r="C1199" s="1">
        <v>41961</v>
      </c>
      <c r="D1199" t="s">
        <v>37</v>
      </c>
      <c r="E1199" t="s">
        <v>1056</v>
      </c>
      <c r="F1199" t="s">
        <v>1057</v>
      </c>
      <c r="G1199" t="s">
        <v>23</v>
      </c>
      <c r="H1199" t="s">
        <v>24</v>
      </c>
      <c r="I1199" t="s">
        <v>49</v>
      </c>
      <c r="J1199" t="s">
        <v>50</v>
      </c>
      <c r="K1199" t="s">
        <v>51</v>
      </c>
      <c r="L1199" t="s">
        <v>1523</v>
      </c>
      <c r="M1199" t="s">
        <v>29</v>
      </c>
      <c r="N1199" t="s">
        <v>34</v>
      </c>
      <c r="O1199" t="s">
        <v>1524</v>
      </c>
      <c r="P1199">
        <v>112.648</v>
      </c>
      <c r="Q1199">
        <v>1</v>
      </c>
      <c r="R1199">
        <v>11.264799999999999</v>
      </c>
      <c r="S1199" t="s">
        <v>32</v>
      </c>
    </row>
    <row r="1200" spans="1:19" x14ac:dyDescent="0.35">
      <c r="A1200" t="s">
        <v>3265</v>
      </c>
      <c r="B1200" s="1">
        <v>43010</v>
      </c>
      <c r="C1200" s="1">
        <v>43016</v>
      </c>
      <c r="D1200" t="s">
        <v>37</v>
      </c>
      <c r="E1200" t="s">
        <v>3266</v>
      </c>
      <c r="F1200" t="s">
        <v>3267</v>
      </c>
      <c r="G1200" t="s">
        <v>23</v>
      </c>
      <c r="H1200" t="s">
        <v>24</v>
      </c>
      <c r="I1200" t="s">
        <v>869</v>
      </c>
      <c r="J1200" t="s">
        <v>1508</v>
      </c>
      <c r="K1200" t="s">
        <v>51</v>
      </c>
      <c r="L1200" t="s">
        <v>447</v>
      </c>
      <c r="M1200" t="s">
        <v>29</v>
      </c>
      <c r="N1200" t="s">
        <v>30</v>
      </c>
      <c r="O1200" t="s">
        <v>448</v>
      </c>
      <c r="P1200">
        <v>217.76400000000001</v>
      </c>
      <c r="Q1200">
        <v>6</v>
      </c>
      <c r="R1200">
        <v>-384.71640000000002</v>
      </c>
      <c r="S1200" t="s">
        <v>45</v>
      </c>
    </row>
    <row r="1201" spans="1:19" x14ac:dyDescent="0.35">
      <c r="A1201" t="s">
        <v>3268</v>
      </c>
      <c r="B1201" s="1">
        <v>42835</v>
      </c>
      <c r="C1201" s="1">
        <v>42839</v>
      </c>
      <c r="D1201" t="s">
        <v>20</v>
      </c>
      <c r="E1201" t="s">
        <v>3269</v>
      </c>
      <c r="F1201" t="s">
        <v>3270</v>
      </c>
      <c r="G1201" t="s">
        <v>84</v>
      </c>
      <c r="H1201" t="s">
        <v>24</v>
      </c>
      <c r="I1201" t="s">
        <v>597</v>
      </c>
      <c r="J1201" t="s">
        <v>41</v>
      </c>
      <c r="K1201" t="s">
        <v>27</v>
      </c>
      <c r="L1201" t="s">
        <v>2002</v>
      </c>
      <c r="M1201" t="s">
        <v>29</v>
      </c>
      <c r="N1201" t="s">
        <v>53</v>
      </c>
      <c r="O1201" t="s">
        <v>2003</v>
      </c>
      <c r="P1201">
        <v>12.32</v>
      </c>
      <c r="Q1201">
        <v>5</v>
      </c>
      <c r="R1201">
        <v>1.8480000000000001</v>
      </c>
      <c r="S1201" t="s">
        <v>107</v>
      </c>
    </row>
    <row r="1202" spans="1:19" x14ac:dyDescent="0.35">
      <c r="A1202" t="s">
        <v>3271</v>
      </c>
      <c r="B1202" s="1">
        <v>43007</v>
      </c>
      <c r="C1202" s="1">
        <v>43010</v>
      </c>
      <c r="D1202" t="s">
        <v>81</v>
      </c>
      <c r="E1202" t="s">
        <v>1109</v>
      </c>
      <c r="F1202" t="s">
        <v>1110</v>
      </c>
      <c r="G1202" t="s">
        <v>23</v>
      </c>
      <c r="H1202" t="s">
        <v>24</v>
      </c>
      <c r="I1202" t="s">
        <v>2076</v>
      </c>
      <c r="J1202" t="s">
        <v>50</v>
      </c>
      <c r="K1202" t="s">
        <v>51</v>
      </c>
      <c r="L1202" t="s">
        <v>1208</v>
      </c>
      <c r="M1202" t="s">
        <v>29</v>
      </c>
      <c r="N1202" t="s">
        <v>34</v>
      </c>
      <c r="O1202" t="s">
        <v>1209</v>
      </c>
      <c r="P1202">
        <v>72.784000000000006</v>
      </c>
      <c r="Q1202">
        <v>1</v>
      </c>
      <c r="R1202">
        <v>0</v>
      </c>
      <c r="S1202" t="s">
        <v>72</v>
      </c>
    </row>
    <row r="1203" spans="1:19" x14ac:dyDescent="0.35">
      <c r="A1203" t="s">
        <v>3271</v>
      </c>
      <c r="B1203" s="1">
        <v>43007</v>
      </c>
      <c r="C1203" s="1">
        <v>43010</v>
      </c>
      <c r="D1203" t="s">
        <v>81</v>
      </c>
      <c r="E1203" t="s">
        <v>1109</v>
      </c>
      <c r="F1203" t="s">
        <v>1110</v>
      </c>
      <c r="G1203" t="s">
        <v>23</v>
      </c>
      <c r="H1203" t="s">
        <v>24</v>
      </c>
      <c r="I1203" t="s">
        <v>2076</v>
      </c>
      <c r="J1203" t="s">
        <v>50</v>
      </c>
      <c r="K1203" t="s">
        <v>51</v>
      </c>
      <c r="L1203" t="s">
        <v>78</v>
      </c>
      <c r="M1203" t="s">
        <v>29</v>
      </c>
      <c r="N1203" t="s">
        <v>53</v>
      </c>
      <c r="O1203" t="s">
        <v>79</v>
      </c>
      <c r="P1203">
        <v>51.75</v>
      </c>
      <c r="Q1203">
        <v>1</v>
      </c>
      <c r="R1203">
        <v>15.525</v>
      </c>
      <c r="S1203" t="s">
        <v>72</v>
      </c>
    </row>
    <row r="1204" spans="1:19" x14ac:dyDescent="0.35">
      <c r="A1204" t="s">
        <v>3272</v>
      </c>
      <c r="B1204" s="1">
        <v>41911</v>
      </c>
      <c r="C1204" s="1">
        <v>41915</v>
      </c>
      <c r="D1204" t="s">
        <v>20</v>
      </c>
      <c r="E1204" t="s">
        <v>1187</v>
      </c>
      <c r="F1204" t="s">
        <v>1188</v>
      </c>
      <c r="G1204" t="s">
        <v>23</v>
      </c>
      <c r="H1204" t="s">
        <v>24</v>
      </c>
      <c r="I1204" t="s">
        <v>165</v>
      </c>
      <c r="J1204" t="s">
        <v>114</v>
      </c>
      <c r="K1204" t="s">
        <v>63</v>
      </c>
      <c r="L1204" t="s">
        <v>224</v>
      </c>
      <c r="M1204" t="s">
        <v>29</v>
      </c>
      <c r="N1204" t="s">
        <v>53</v>
      </c>
      <c r="O1204" t="s">
        <v>225</v>
      </c>
      <c r="P1204">
        <v>117.36</v>
      </c>
      <c r="Q1204">
        <v>4</v>
      </c>
      <c r="R1204">
        <v>36.381599999999999</v>
      </c>
      <c r="S1204" t="s">
        <v>72</v>
      </c>
    </row>
    <row r="1205" spans="1:19" x14ac:dyDescent="0.35">
      <c r="A1205" t="s">
        <v>3273</v>
      </c>
      <c r="B1205" s="1">
        <v>41871</v>
      </c>
      <c r="C1205" s="1">
        <v>41876</v>
      </c>
      <c r="D1205" t="s">
        <v>20</v>
      </c>
      <c r="E1205" t="s">
        <v>3274</v>
      </c>
      <c r="F1205" t="s">
        <v>3275</v>
      </c>
      <c r="G1205" t="s">
        <v>23</v>
      </c>
      <c r="H1205" t="s">
        <v>24</v>
      </c>
      <c r="I1205" t="s">
        <v>125</v>
      </c>
      <c r="J1205" t="s">
        <v>126</v>
      </c>
      <c r="K1205" t="s">
        <v>87</v>
      </c>
      <c r="L1205" t="s">
        <v>2325</v>
      </c>
      <c r="M1205" t="s">
        <v>29</v>
      </c>
      <c r="N1205" t="s">
        <v>34</v>
      </c>
      <c r="O1205" t="s">
        <v>2326</v>
      </c>
      <c r="P1205">
        <v>421.37200000000001</v>
      </c>
      <c r="Q1205">
        <v>2</v>
      </c>
      <c r="R1205">
        <v>-6.0195999999999996</v>
      </c>
      <c r="S1205" t="s">
        <v>245</v>
      </c>
    </row>
    <row r="1206" spans="1:19" x14ac:dyDescent="0.35">
      <c r="A1206" t="s">
        <v>3276</v>
      </c>
      <c r="B1206" s="1">
        <v>43052</v>
      </c>
      <c r="C1206" s="1">
        <v>43058</v>
      </c>
      <c r="D1206" t="s">
        <v>37</v>
      </c>
      <c r="E1206" t="s">
        <v>2583</v>
      </c>
      <c r="F1206" t="s">
        <v>2584</v>
      </c>
      <c r="G1206" t="s">
        <v>84</v>
      </c>
      <c r="H1206" t="s">
        <v>24</v>
      </c>
      <c r="I1206" t="s">
        <v>1730</v>
      </c>
      <c r="J1206" t="s">
        <v>86</v>
      </c>
      <c r="K1206" t="s">
        <v>87</v>
      </c>
      <c r="L1206" t="s">
        <v>889</v>
      </c>
      <c r="M1206" t="s">
        <v>29</v>
      </c>
      <c r="N1206" t="s">
        <v>30</v>
      </c>
      <c r="O1206" t="s">
        <v>890</v>
      </c>
      <c r="P1206">
        <v>205.9992</v>
      </c>
      <c r="Q1206">
        <v>3</v>
      </c>
      <c r="R1206">
        <v>-27.264600000000002</v>
      </c>
      <c r="S1206" t="s">
        <v>32</v>
      </c>
    </row>
    <row r="1207" spans="1:19" x14ac:dyDescent="0.35">
      <c r="A1207" t="s">
        <v>3277</v>
      </c>
      <c r="B1207" s="1">
        <v>42406</v>
      </c>
      <c r="C1207" s="1">
        <v>42411</v>
      </c>
      <c r="D1207" t="s">
        <v>37</v>
      </c>
      <c r="E1207" t="s">
        <v>569</v>
      </c>
      <c r="F1207" t="s">
        <v>570</v>
      </c>
      <c r="G1207" t="s">
        <v>84</v>
      </c>
      <c r="H1207" t="s">
        <v>24</v>
      </c>
      <c r="I1207" t="s">
        <v>2260</v>
      </c>
      <c r="J1207" t="s">
        <v>133</v>
      </c>
      <c r="K1207" t="s">
        <v>27</v>
      </c>
      <c r="L1207" t="s">
        <v>587</v>
      </c>
      <c r="M1207" t="s">
        <v>29</v>
      </c>
      <c r="N1207" t="s">
        <v>53</v>
      </c>
      <c r="O1207" t="s">
        <v>588</v>
      </c>
      <c r="P1207">
        <v>132.22399999999999</v>
      </c>
      <c r="Q1207">
        <v>4</v>
      </c>
      <c r="R1207">
        <v>-18.180800000000001</v>
      </c>
      <c r="S1207" t="s">
        <v>289</v>
      </c>
    </row>
    <row r="1208" spans="1:19" x14ac:dyDescent="0.35">
      <c r="A1208" t="s">
        <v>3278</v>
      </c>
      <c r="B1208" s="1">
        <v>42085</v>
      </c>
      <c r="C1208" s="1">
        <v>42089</v>
      </c>
      <c r="D1208" t="s">
        <v>37</v>
      </c>
      <c r="E1208" t="s">
        <v>666</v>
      </c>
      <c r="F1208" t="s">
        <v>667</v>
      </c>
      <c r="G1208" t="s">
        <v>84</v>
      </c>
      <c r="H1208" t="s">
        <v>24</v>
      </c>
      <c r="I1208" t="s">
        <v>630</v>
      </c>
      <c r="J1208" t="s">
        <v>50</v>
      </c>
      <c r="K1208" t="s">
        <v>51</v>
      </c>
      <c r="L1208" t="s">
        <v>3279</v>
      </c>
      <c r="M1208" t="s">
        <v>29</v>
      </c>
      <c r="N1208" t="s">
        <v>53</v>
      </c>
      <c r="O1208" t="s">
        <v>3280</v>
      </c>
      <c r="P1208">
        <v>91.96</v>
      </c>
      <c r="Q1208">
        <v>2</v>
      </c>
      <c r="R1208">
        <v>15.6332</v>
      </c>
      <c r="S1208" t="s">
        <v>187</v>
      </c>
    </row>
    <row r="1209" spans="1:19" x14ac:dyDescent="0.35">
      <c r="A1209" t="s">
        <v>3281</v>
      </c>
      <c r="B1209" s="1">
        <v>42867</v>
      </c>
      <c r="C1209" s="1">
        <v>42873</v>
      </c>
      <c r="D1209" t="s">
        <v>37</v>
      </c>
      <c r="E1209" t="s">
        <v>2661</v>
      </c>
      <c r="F1209" t="s">
        <v>2662</v>
      </c>
      <c r="G1209" t="s">
        <v>84</v>
      </c>
      <c r="H1209" t="s">
        <v>24</v>
      </c>
      <c r="I1209" t="s">
        <v>320</v>
      </c>
      <c r="J1209" t="s">
        <v>50</v>
      </c>
      <c r="K1209" t="s">
        <v>51</v>
      </c>
      <c r="L1209" t="s">
        <v>898</v>
      </c>
      <c r="M1209" t="s">
        <v>29</v>
      </c>
      <c r="N1209" t="s">
        <v>43</v>
      </c>
      <c r="O1209" t="s">
        <v>899</v>
      </c>
      <c r="P1209">
        <v>285.48</v>
      </c>
      <c r="Q1209">
        <v>5</v>
      </c>
      <c r="R1209">
        <v>-10.705500000000001</v>
      </c>
      <c r="S1209" t="s">
        <v>153</v>
      </c>
    </row>
    <row r="1210" spans="1:19" x14ac:dyDescent="0.35">
      <c r="A1210" t="s">
        <v>3282</v>
      </c>
      <c r="B1210" s="1">
        <v>42981</v>
      </c>
      <c r="C1210" s="1">
        <v>42984</v>
      </c>
      <c r="D1210" t="s">
        <v>20</v>
      </c>
      <c r="E1210" t="s">
        <v>3283</v>
      </c>
      <c r="F1210" t="s">
        <v>3284</v>
      </c>
      <c r="G1210" t="s">
        <v>94</v>
      </c>
      <c r="H1210" t="s">
        <v>24</v>
      </c>
      <c r="I1210" t="s">
        <v>165</v>
      </c>
      <c r="J1210" t="s">
        <v>114</v>
      </c>
      <c r="K1210" t="s">
        <v>63</v>
      </c>
      <c r="L1210" t="s">
        <v>3008</v>
      </c>
      <c r="M1210" t="s">
        <v>29</v>
      </c>
      <c r="N1210" t="s">
        <v>34</v>
      </c>
      <c r="O1210" t="s">
        <v>3009</v>
      </c>
      <c r="P1210">
        <v>90.801000000000002</v>
      </c>
      <c r="Q1210">
        <v>1</v>
      </c>
      <c r="R1210">
        <v>14.124599999999999</v>
      </c>
      <c r="S1210" t="s">
        <v>72</v>
      </c>
    </row>
    <row r="1211" spans="1:19" x14ac:dyDescent="0.35">
      <c r="A1211" t="s">
        <v>3282</v>
      </c>
      <c r="B1211" s="1">
        <v>42981</v>
      </c>
      <c r="C1211" s="1">
        <v>42984</v>
      </c>
      <c r="D1211" t="s">
        <v>20</v>
      </c>
      <c r="E1211" t="s">
        <v>3283</v>
      </c>
      <c r="F1211" t="s">
        <v>3284</v>
      </c>
      <c r="G1211" t="s">
        <v>94</v>
      </c>
      <c r="H1211" t="s">
        <v>24</v>
      </c>
      <c r="I1211" t="s">
        <v>165</v>
      </c>
      <c r="J1211" t="s">
        <v>114</v>
      </c>
      <c r="K1211" t="s">
        <v>63</v>
      </c>
      <c r="L1211" t="s">
        <v>287</v>
      </c>
      <c r="M1211" t="s">
        <v>29</v>
      </c>
      <c r="N1211" t="s">
        <v>34</v>
      </c>
      <c r="O1211" t="s">
        <v>288</v>
      </c>
      <c r="P1211">
        <v>181.76400000000001</v>
      </c>
      <c r="Q1211">
        <v>2</v>
      </c>
      <c r="R1211">
        <v>-8.0784000000000002</v>
      </c>
      <c r="S1211" t="s">
        <v>72</v>
      </c>
    </row>
    <row r="1212" spans="1:19" x14ac:dyDescent="0.35">
      <c r="A1212" t="s">
        <v>3285</v>
      </c>
      <c r="B1212" s="1">
        <v>42707</v>
      </c>
      <c r="C1212" s="1">
        <v>42711</v>
      </c>
      <c r="D1212" t="s">
        <v>37</v>
      </c>
      <c r="E1212" t="s">
        <v>1406</v>
      </c>
      <c r="F1212" t="s">
        <v>1407</v>
      </c>
      <c r="G1212" t="s">
        <v>23</v>
      </c>
      <c r="H1212" t="s">
        <v>24</v>
      </c>
      <c r="I1212" t="s">
        <v>626</v>
      </c>
      <c r="J1212" t="s">
        <v>104</v>
      </c>
      <c r="K1212" t="s">
        <v>87</v>
      </c>
      <c r="L1212" t="s">
        <v>402</v>
      </c>
      <c r="M1212" t="s">
        <v>29</v>
      </c>
      <c r="N1212" t="s">
        <v>43</v>
      </c>
      <c r="O1212" t="s">
        <v>403</v>
      </c>
      <c r="P1212">
        <v>581.96</v>
      </c>
      <c r="Q1212">
        <v>2</v>
      </c>
      <c r="R1212">
        <v>104.75279999999999</v>
      </c>
      <c r="S1212" t="s">
        <v>90</v>
      </c>
    </row>
    <row r="1213" spans="1:19" x14ac:dyDescent="0.35">
      <c r="A1213" t="s">
        <v>3285</v>
      </c>
      <c r="B1213" s="1">
        <v>42707</v>
      </c>
      <c r="C1213" s="1">
        <v>42711</v>
      </c>
      <c r="D1213" t="s">
        <v>37</v>
      </c>
      <c r="E1213" t="s">
        <v>1406</v>
      </c>
      <c r="F1213" t="s">
        <v>1407</v>
      </c>
      <c r="G1213" t="s">
        <v>23</v>
      </c>
      <c r="H1213" t="s">
        <v>24</v>
      </c>
      <c r="I1213" t="s">
        <v>626</v>
      </c>
      <c r="J1213" t="s">
        <v>104</v>
      </c>
      <c r="K1213" t="s">
        <v>87</v>
      </c>
      <c r="L1213" t="s">
        <v>1504</v>
      </c>
      <c r="M1213" t="s">
        <v>29</v>
      </c>
      <c r="N1213" t="s">
        <v>34</v>
      </c>
      <c r="O1213" t="s">
        <v>1505</v>
      </c>
      <c r="P1213">
        <v>29.98</v>
      </c>
      <c r="Q1213">
        <v>1</v>
      </c>
      <c r="R1213">
        <v>8.0945999999999998</v>
      </c>
      <c r="S1213" t="s">
        <v>90</v>
      </c>
    </row>
    <row r="1214" spans="1:19" x14ac:dyDescent="0.35">
      <c r="A1214" t="s">
        <v>3286</v>
      </c>
      <c r="B1214" s="1">
        <v>42572</v>
      </c>
      <c r="C1214" s="1">
        <v>42577</v>
      </c>
      <c r="D1214" t="s">
        <v>37</v>
      </c>
      <c r="E1214" t="s">
        <v>1198</v>
      </c>
      <c r="F1214" t="s">
        <v>1199</v>
      </c>
      <c r="G1214" t="s">
        <v>23</v>
      </c>
      <c r="H1214" t="s">
        <v>24</v>
      </c>
      <c r="I1214" t="s">
        <v>500</v>
      </c>
      <c r="J1214" t="s">
        <v>1027</v>
      </c>
      <c r="K1214" t="s">
        <v>27</v>
      </c>
      <c r="L1214" t="s">
        <v>1208</v>
      </c>
      <c r="M1214" t="s">
        <v>29</v>
      </c>
      <c r="N1214" t="s">
        <v>34</v>
      </c>
      <c r="O1214" t="s">
        <v>1209</v>
      </c>
      <c r="P1214">
        <v>363.92</v>
      </c>
      <c r="Q1214">
        <v>5</v>
      </c>
      <c r="R1214">
        <v>0</v>
      </c>
      <c r="S1214" t="s">
        <v>66</v>
      </c>
    </row>
    <row r="1215" spans="1:19" x14ac:dyDescent="0.35">
      <c r="A1215" t="s">
        <v>3287</v>
      </c>
      <c r="B1215" s="1">
        <v>42269</v>
      </c>
      <c r="C1215" s="1">
        <v>42273</v>
      </c>
      <c r="D1215" t="s">
        <v>20</v>
      </c>
      <c r="E1215" t="s">
        <v>2476</v>
      </c>
      <c r="F1215" t="s">
        <v>2477</v>
      </c>
      <c r="G1215" t="s">
        <v>94</v>
      </c>
      <c r="H1215" t="s">
        <v>24</v>
      </c>
      <c r="I1215" t="s">
        <v>680</v>
      </c>
      <c r="J1215" t="s">
        <v>707</v>
      </c>
      <c r="K1215" t="s">
        <v>27</v>
      </c>
      <c r="L1215" t="s">
        <v>1171</v>
      </c>
      <c r="M1215" t="s">
        <v>29</v>
      </c>
      <c r="N1215" t="s">
        <v>53</v>
      </c>
      <c r="O1215" t="s">
        <v>1172</v>
      </c>
      <c r="P1215">
        <v>47.98</v>
      </c>
      <c r="Q1215">
        <v>2</v>
      </c>
      <c r="R1215">
        <v>11.035399999999999</v>
      </c>
      <c r="S1215" t="s">
        <v>72</v>
      </c>
    </row>
    <row r="1216" spans="1:19" x14ac:dyDescent="0.35">
      <c r="A1216" t="s">
        <v>3288</v>
      </c>
      <c r="B1216" s="1">
        <v>42325</v>
      </c>
      <c r="C1216" s="1">
        <v>42329</v>
      </c>
      <c r="D1216" t="s">
        <v>37</v>
      </c>
      <c r="E1216" t="s">
        <v>3289</v>
      </c>
      <c r="F1216" t="s">
        <v>3290</v>
      </c>
      <c r="G1216" t="s">
        <v>23</v>
      </c>
      <c r="H1216" t="s">
        <v>24</v>
      </c>
      <c r="I1216" t="s">
        <v>630</v>
      </c>
      <c r="J1216" t="s">
        <v>50</v>
      </c>
      <c r="K1216" t="s">
        <v>51</v>
      </c>
      <c r="L1216" t="s">
        <v>2956</v>
      </c>
      <c r="M1216" t="s">
        <v>29</v>
      </c>
      <c r="N1216" t="s">
        <v>53</v>
      </c>
      <c r="O1216" t="s">
        <v>2957</v>
      </c>
      <c r="P1216">
        <v>80.959999999999994</v>
      </c>
      <c r="Q1216">
        <v>4</v>
      </c>
      <c r="R1216">
        <v>29.145600000000002</v>
      </c>
      <c r="S1216" t="s">
        <v>32</v>
      </c>
    </row>
    <row r="1217" spans="1:19" x14ac:dyDescent="0.35">
      <c r="A1217" t="s">
        <v>3288</v>
      </c>
      <c r="B1217" s="1">
        <v>42325</v>
      </c>
      <c r="C1217" s="1">
        <v>42329</v>
      </c>
      <c r="D1217" t="s">
        <v>37</v>
      </c>
      <c r="E1217" t="s">
        <v>3289</v>
      </c>
      <c r="F1217" t="s">
        <v>3290</v>
      </c>
      <c r="G1217" t="s">
        <v>23</v>
      </c>
      <c r="H1217" t="s">
        <v>24</v>
      </c>
      <c r="I1217" t="s">
        <v>630</v>
      </c>
      <c r="J1217" t="s">
        <v>50</v>
      </c>
      <c r="K1217" t="s">
        <v>51</v>
      </c>
      <c r="L1217" t="s">
        <v>1132</v>
      </c>
      <c r="M1217" t="s">
        <v>29</v>
      </c>
      <c r="N1217" t="s">
        <v>34</v>
      </c>
      <c r="O1217" t="s">
        <v>1133</v>
      </c>
      <c r="P1217">
        <v>225.56800000000001</v>
      </c>
      <c r="Q1217">
        <v>2</v>
      </c>
      <c r="R1217">
        <v>2.8195999999999999</v>
      </c>
      <c r="S1217" t="s">
        <v>32</v>
      </c>
    </row>
    <row r="1218" spans="1:19" x14ac:dyDescent="0.35">
      <c r="A1218" t="s">
        <v>3288</v>
      </c>
      <c r="B1218" s="1">
        <v>42325</v>
      </c>
      <c r="C1218" s="1">
        <v>42329</v>
      </c>
      <c r="D1218" t="s">
        <v>37</v>
      </c>
      <c r="E1218" t="s">
        <v>3289</v>
      </c>
      <c r="F1218" t="s">
        <v>3290</v>
      </c>
      <c r="G1218" t="s">
        <v>23</v>
      </c>
      <c r="H1218" t="s">
        <v>24</v>
      </c>
      <c r="I1218" t="s">
        <v>630</v>
      </c>
      <c r="J1218" t="s">
        <v>50</v>
      </c>
      <c r="K1218" t="s">
        <v>51</v>
      </c>
      <c r="L1218" t="s">
        <v>1473</v>
      </c>
      <c r="M1218" t="s">
        <v>29</v>
      </c>
      <c r="N1218" t="s">
        <v>53</v>
      </c>
      <c r="O1218" t="s">
        <v>1474</v>
      </c>
      <c r="P1218">
        <v>36.6</v>
      </c>
      <c r="Q1218">
        <v>3</v>
      </c>
      <c r="R1218">
        <v>15.372</v>
      </c>
      <c r="S1218" t="s">
        <v>32</v>
      </c>
    </row>
    <row r="1219" spans="1:19" x14ac:dyDescent="0.35">
      <c r="A1219" t="s">
        <v>3291</v>
      </c>
      <c r="B1219" s="1">
        <v>42318</v>
      </c>
      <c r="C1219" s="1">
        <v>42322</v>
      </c>
      <c r="D1219" t="s">
        <v>37</v>
      </c>
      <c r="E1219" t="s">
        <v>3292</v>
      </c>
      <c r="F1219" t="s">
        <v>3293</v>
      </c>
      <c r="G1219" t="s">
        <v>94</v>
      </c>
      <c r="H1219" t="s">
        <v>24</v>
      </c>
      <c r="I1219" t="s">
        <v>215</v>
      </c>
      <c r="J1219" t="s">
        <v>158</v>
      </c>
      <c r="K1219" t="s">
        <v>87</v>
      </c>
      <c r="L1219" t="s">
        <v>307</v>
      </c>
      <c r="M1219" t="s">
        <v>29</v>
      </c>
      <c r="N1219" t="s">
        <v>53</v>
      </c>
      <c r="O1219" t="s">
        <v>308</v>
      </c>
      <c r="P1219">
        <v>29.22</v>
      </c>
      <c r="Q1219">
        <v>3</v>
      </c>
      <c r="R1219">
        <v>12.8568</v>
      </c>
      <c r="S1219" t="s">
        <v>32</v>
      </c>
    </row>
    <row r="1220" spans="1:19" x14ac:dyDescent="0.35">
      <c r="A1220" t="s">
        <v>3294</v>
      </c>
      <c r="B1220" s="1">
        <v>42221</v>
      </c>
      <c r="C1220" s="1">
        <v>42227</v>
      </c>
      <c r="D1220" t="s">
        <v>37</v>
      </c>
      <c r="E1220" t="s">
        <v>2567</v>
      </c>
      <c r="F1220" t="s">
        <v>2568</v>
      </c>
      <c r="G1220" t="s">
        <v>84</v>
      </c>
      <c r="H1220" t="s">
        <v>24</v>
      </c>
      <c r="I1220" t="s">
        <v>1730</v>
      </c>
      <c r="J1220" t="s">
        <v>86</v>
      </c>
      <c r="K1220" t="s">
        <v>87</v>
      </c>
      <c r="L1220" t="s">
        <v>1709</v>
      </c>
      <c r="M1220" t="s">
        <v>29</v>
      </c>
      <c r="N1220" t="s">
        <v>53</v>
      </c>
      <c r="O1220" t="s">
        <v>1710</v>
      </c>
      <c r="P1220">
        <v>14.76</v>
      </c>
      <c r="Q1220">
        <v>5</v>
      </c>
      <c r="R1220">
        <v>-11.439</v>
      </c>
      <c r="S1220" t="s">
        <v>245</v>
      </c>
    </row>
    <row r="1221" spans="1:19" x14ac:dyDescent="0.35">
      <c r="A1221" t="s">
        <v>3295</v>
      </c>
      <c r="B1221" s="1">
        <v>42981</v>
      </c>
      <c r="C1221" s="1">
        <v>42985</v>
      </c>
      <c r="D1221" t="s">
        <v>20</v>
      </c>
      <c r="E1221" t="s">
        <v>2828</v>
      </c>
      <c r="F1221" t="s">
        <v>2829</v>
      </c>
      <c r="G1221" t="s">
        <v>23</v>
      </c>
      <c r="H1221" t="s">
        <v>24</v>
      </c>
      <c r="I1221" t="s">
        <v>500</v>
      </c>
      <c r="J1221" t="s">
        <v>50</v>
      </c>
      <c r="K1221" t="s">
        <v>51</v>
      </c>
      <c r="L1221" t="s">
        <v>2613</v>
      </c>
      <c r="M1221" t="s">
        <v>29</v>
      </c>
      <c r="N1221" t="s">
        <v>30</v>
      </c>
      <c r="O1221" t="s">
        <v>2614</v>
      </c>
      <c r="P1221">
        <v>239.666</v>
      </c>
      <c r="Q1221">
        <v>2</v>
      </c>
      <c r="R1221">
        <v>14.098000000000001</v>
      </c>
      <c r="S1221" t="s">
        <v>72</v>
      </c>
    </row>
    <row r="1222" spans="1:19" x14ac:dyDescent="0.35">
      <c r="A1222" t="s">
        <v>3296</v>
      </c>
      <c r="B1222" s="1">
        <v>42309</v>
      </c>
      <c r="C1222" s="1">
        <v>42316</v>
      </c>
      <c r="D1222" t="s">
        <v>37</v>
      </c>
      <c r="E1222" t="s">
        <v>2061</v>
      </c>
      <c r="F1222" t="s">
        <v>2062</v>
      </c>
      <c r="G1222" t="s">
        <v>23</v>
      </c>
      <c r="H1222" t="s">
        <v>24</v>
      </c>
      <c r="I1222" t="s">
        <v>3297</v>
      </c>
      <c r="J1222" t="s">
        <v>1049</v>
      </c>
      <c r="K1222" t="s">
        <v>27</v>
      </c>
      <c r="L1222" t="s">
        <v>1275</v>
      </c>
      <c r="M1222" t="s">
        <v>29</v>
      </c>
      <c r="N1222" t="s">
        <v>43</v>
      </c>
      <c r="O1222" t="s">
        <v>1276</v>
      </c>
      <c r="P1222">
        <v>301.95999999999998</v>
      </c>
      <c r="Q1222">
        <v>2</v>
      </c>
      <c r="R1222">
        <v>45.293999999999997</v>
      </c>
      <c r="S1222" t="s">
        <v>32</v>
      </c>
    </row>
    <row r="1223" spans="1:19" x14ac:dyDescent="0.35">
      <c r="A1223" t="s">
        <v>3298</v>
      </c>
      <c r="B1223" s="1">
        <v>41856</v>
      </c>
      <c r="C1223" s="1">
        <v>41858</v>
      </c>
      <c r="D1223" t="s">
        <v>20</v>
      </c>
      <c r="E1223" t="s">
        <v>1800</v>
      </c>
      <c r="F1223" t="s">
        <v>1801</v>
      </c>
      <c r="G1223" t="s">
        <v>84</v>
      </c>
      <c r="H1223" t="s">
        <v>24</v>
      </c>
      <c r="I1223" t="s">
        <v>3299</v>
      </c>
      <c r="J1223" t="s">
        <v>421</v>
      </c>
      <c r="K1223" t="s">
        <v>63</v>
      </c>
      <c r="L1223" t="s">
        <v>796</v>
      </c>
      <c r="M1223" t="s">
        <v>29</v>
      </c>
      <c r="N1223" t="s">
        <v>34</v>
      </c>
      <c r="O1223" t="s">
        <v>797</v>
      </c>
      <c r="P1223">
        <v>1133.3499999999999</v>
      </c>
      <c r="Q1223">
        <v>5</v>
      </c>
      <c r="R1223">
        <v>294.67099999999999</v>
      </c>
      <c r="S1223" t="s">
        <v>245</v>
      </c>
    </row>
    <row r="1224" spans="1:19" x14ac:dyDescent="0.35">
      <c r="A1224" t="s">
        <v>3300</v>
      </c>
      <c r="B1224" s="1">
        <v>42681</v>
      </c>
      <c r="C1224" s="1">
        <v>42686</v>
      </c>
      <c r="D1224" t="s">
        <v>37</v>
      </c>
      <c r="E1224" t="s">
        <v>2190</v>
      </c>
      <c r="F1224" t="s">
        <v>2191</v>
      </c>
      <c r="G1224" t="s">
        <v>94</v>
      </c>
      <c r="H1224" t="s">
        <v>24</v>
      </c>
      <c r="I1224" t="s">
        <v>3301</v>
      </c>
      <c r="J1224" t="s">
        <v>3302</v>
      </c>
      <c r="K1224" t="s">
        <v>51</v>
      </c>
      <c r="L1224" t="s">
        <v>550</v>
      </c>
      <c r="M1224" t="s">
        <v>29</v>
      </c>
      <c r="N1224" t="s">
        <v>34</v>
      </c>
      <c r="O1224" t="s">
        <v>551</v>
      </c>
      <c r="P1224">
        <v>1603.136</v>
      </c>
      <c r="Q1224">
        <v>4</v>
      </c>
      <c r="R1224">
        <v>100.196</v>
      </c>
      <c r="S1224" t="s">
        <v>32</v>
      </c>
    </row>
    <row r="1225" spans="1:19" x14ac:dyDescent="0.35">
      <c r="A1225" t="s">
        <v>3303</v>
      </c>
      <c r="B1225" s="1">
        <v>42535</v>
      </c>
      <c r="C1225" s="1">
        <v>42535</v>
      </c>
      <c r="D1225" t="s">
        <v>417</v>
      </c>
      <c r="E1225" t="s">
        <v>494</v>
      </c>
      <c r="F1225" t="s">
        <v>495</v>
      </c>
      <c r="G1225" t="s">
        <v>84</v>
      </c>
      <c r="H1225" t="s">
        <v>24</v>
      </c>
      <c r="I1225" t="s">
        <v>3038</v>
      </c>
      <c r="J1225" t="s">
        <v>50</v>
      </c>
      <c r="K1225" t="s">
        <v>51</v>
      </c>
      <c r="L1225" t="s">
        <v>3156</v>
      </c>
      <c r="M1225" t="s">
        <v>29</v>
      </c>
      <c r="N1225" t="s">
        <v>43</v>
      </c>
      <c r="O1225" t="s">
        <v>3157</v>
      </c>
      <c r="P1225">
        <v>1293.4880000000001</v>
      </c>
      <c r="Q1225">
        <v>7</v>
      </c>
      <c r="R1225">
        <v>80.843000000000004</v>
      </c>
      <c r="S1225" t="s">
        <v>55</v>
      </c>
    </row>
    <row r="1226" spans="1:19" x14ac:dyDescent="0.35">
      <c r="A1226" t="s">
        <v>3304</v>
      </c>
      <c r="B1226" s="1">
        <v>42637</v>
      </c>
      <c r="C1226" s="1">
        <v>42641</v>
      </c>
      <c r="D1226" t="s">
        <v>37</v>
      </c>
      <c r="E1226" t="s">
        <v>2342</v>
      </c>
      <c r="F1226" t="s">
        <v>2343</v>
      </c>
      <c r="G1226" t="s">
        <v>23</v>
      </c>
      <c r="H1226" t="s">
        <v>24</v>
      </c>
      <c r="I1226" t="s">
        <v>203</v>
      </c>
      <c r="J1226" t="s">
        <v>104</v>
      </c>
      <c r="K1226" t="s">
        <v>87</v>
      </c>
      <c r="L1226" t="s">
        <v>173</v>
      </c>
      <c r="M1226" t="s">
        <v>29</v>
      </c>
      <c r="N1226" t="s">
        <v>53</v>
      </c>
      <c r="O1226" t="s">
        <v>174</v>
      </c>
      <c r="P1226">
        <v>127.95</v>
      </c>
      <c r="Q1226">
        <v>3</v>
      </c>
      <c r="R1226">
        <v>21.7515</v>
      </c>
      <c r="S1226" t="s">
        <v>72</v>
      </c>
    </row>
    <row r="1227" spans="1:19" x14ac:dyDescent="0.35">
      <c r="A1227" t="s">
        <v>3305</v>
      </c>
      <c r="B1227" s="1">
        <v>42631</v>
      </c>
      <c r="C1227" s="1">
        <v>42635</v>
      </c>
      <c r="D1227" t="s">
        <v>37</v>
      </c>
      <c r="E1227" t="s">
        <v>1311</v>
      </c>
      <c r="F1227" t="s">
        <v>1312</v>
      </c>
      <c r="G1227" t="s">
        <v>84</v>
      </c>
      <c r="H1227" t="s">
        <v>24</v>
      </c>
      <c r="I1227" t="s">
        <v>630</v>
      </c>
      <c r="J1227" t="s">
        <v>50</v>
      </c>
      <c r="K1227" t="s">
        <v>51</v>
      </c>
      <c r="L1227" t="s">
        <v>550</v>
      </c>
      <c r="M1227" t="s">
        <v>29</v>
      </c>
      <c r="N1227" t="s">
        <v>34</v>
      </c>
      <c r="O1227" t="s">
        <v>551</v>
      </c>
      <c r="P1227">
        <v>801.56799999999998</v>
      </c>
      <c r="Q1227">
        <v>2</v>
      </c>
      <c r="R1227">
        <v>50.097999999999999</v>
      </c>
      <c r="S1227" t="s">
        <v>72</v>
      </c>
    </row>
    <row r="1228" spans="1:19" x14ac:dyDescent="0.35">
      <c r="A1228" t="s">
        <v>3305</v>
      </c>
      <c r="B1228" s="1">
        <v>42631</v>
      </c>
      <c r="C1228" s="1">
        <v>42635</v>
      </c>
      <c r="D1228" t="s">
        <v>37</v>
      </c>
      <c r="E1228" t="s">
        <v>1311</v>
      </c>
      <c r="F1228" t="s">
        <v>1312</v>
      </c>
      <c r="G1228" t="s">
        <v>84</v>
      </c>
      <c r="H1228" t="s">
        <v>24</v>
      </c>
      <c r="I1228" t="s">
        <v>630</v>
      </c>
      <c r="J1228" t="s">
        <v>50</v>
      </c>
      <c r="K1228" t="s">
        <v>51</v>
      </c>
      <c r="L1228" t="s">
        <v>1019</v>
      </c>
      <c r="M1228" t="s">
        <v>29</v>
      </c>
      <c r="N1228" t="s">
        <v>34</v>
      </c>
      <c r="O1228" t="s">
        <v>1020</v>
      </c>
      <c r="P1228">
        <v>885.52800000000002</v>
      </c>
      <c r="Q1228">
        <v>9</v>
      </c>
      <c r="R1228">
        <v>-99.621899999999997</v>
      </c>
      <c r="S1228" t="s">
        <v>72</v>
      </c>
    </row>
    <row r="1229" spans="1:19" x14ac:dyDescent="0.35">
      <c r="A1229" t="s">
        <v>3306</v>
      </c>
      <c r="B1229" s="1">
        <v>42442</v>
      </c>
      <c r="C1229" s="1">
        <v>42444</v>
      </c>
      <c r="D1229" t="s">
        <v>20</v>
      </c>
      <c r="E1229" t="s">
        <v>1589</v>
      </c>
      <c r="F1229" t="s">
        <v>1590</v>
      </c>
      <c r="G1229" t="s">
        <v>84</v>
      </c>
      <c r="H1229" t="s">
        <v>24</v>
      </c>
      <c r="I1229" t="s">
        <v>320</v>
      </c>
      <c r="J1229" t="s">
        <v>50</v>
      </c>
      <c r="K1229" t="s">
        <v>51</v>
      </c>
      <c r="L1229" t="s">
        <v>463</v>
      </c>
      <c r="M1229" t="s">
        <v>29</v>
      </c>
      <c r="N1229" t="s">
        <v>53</v>
      </c>
      <c r="O1229" t="s">
        <v>464</v>
      </c>
      <c r="P1229">
        <v>28.28</v>
      </c>
      <c r="Q1229">
        <v>2</v>
      </c>
      <c r="R1229">
        <v>7.3528000000000002</v>
      </c>
      <c r="S1229" t="s">
        <v>187</v>
      </c>
    </row>
    <row r="1230" spans="1:19" x14ac:dyDescent="0.35">
      <c r="A1230" t="s">
        <v>3307</v>
      </c>
      <c r="B1230" s="1">
        <v>42463</v>
      </c>
      <c r="C1230" s="1">
        <v>42469</v>
      </c>
      <c r="D1230" t="s">
        <v>37</v>
      </c>
      <c r="E1230" t="s">
        <v>2258</v>
      </c>
      <c r="F1230" t="s">
        <v>2259</v>
      </c>
      <c r="G1230" t="s">
        <v>23</v>
      </c>
      <c r="H1230" t="s">
        <v>24</v>
      </c>
      <c r="I1230" t="s">
        <v>626</v>
      </c>
      <c r="J1230" t="s">
        <v>104</v>
      </c>
      <c r="K1230" t="s">
        <v>87</v>
      </c>
      <c r="L1230" t="s">
        <v>159</v>
      </c>
      <c r="M1230" t="s">
        <v>29</v>
      </c>
      <c r="N1230" t="s">
        <v>53</v>
      </c>
      <c r="O1230" t="s">
        <v>160</v>
      </c>
      <c r="P1230">
        <v>71.12</v>
      </c>
      <c r="Q1230">
        <v>4</v>
      </c>
      <c r="R1230">
        <v>22.0472</v>
      </c>
      <c r="S1230" t="s">
        <v>107</v>
      </c>
    </row>
    <row r="1231" spans="1:19" x14ac:dyDescent="0.35">
      <c r="A1231" t="s">
        <v>3308</v>
      </c>
      <c r="B1231" s="1">
        <v>42701</v>
      </c>
      <c r="C1231" s="1">
        <v>42706</v>
      </c>
      <c r="D1231" t="s">
        <v>37</v>
      </c>
      <c r="E1231" t="s">
        <v>1354</v>
      </c>
      <c r="F1231" t="s">
        <v>1355</v>
      </c>
      <c r="G1231" t="s">
        <v>84</v>
      </c>
      <c r="H1231" t="s">
        <v>24</v>
      </c>
      <c r="I1231" t="s">
        <v>1931</v>
      </c>
      <c r="J1231" t="s">
        <v>354</v>
      </c>
      <c r="K1231" t="s">
        <v>63</v>
      </c>
      <c r="L1231" t="s">
        <v>1568</v>
      </c>
      <c r="M1231" t="s">
        <v>29</v>
      </c>
      <c r="N1231" t="s">
        <v>53</v>
      </c>
      <c r="O1231" t="s">
        <v>1569</v>
      </c>
      <c r="P1231">
        <v>31.56</v>
      </c>
      <c r="Q1231">
        <v>3</v>
      </c>
      <c r="R1231">
        <v>10.4148</v>
      </c>
      <c r="S1231" t="s">
        <v>32</v>
      </c>
    </row>
    <row r="1232" spans="1:19" x14ac:dyDescent="0.35">
      <c r="A1232" t="s">
        <v>3309</v>
      </c>
      <c r="B1232" s="1">
        <v>42706</v>
      </c>
      <c r="C1232" s="1">
        <v>42711</v>
      </c>
      <c r="D1232" t="s">
        <v>37</v>
      </c>
      <c r="E1232" t="s">
        <v>2488</v>
      </c>
      <c r="F1232" t="s">
        <v>2489</v>
      </c>
      <c r="G1232" t="s">
        <v>84</v>
      </c>
      <c r="H1232" t="s">
        <v>24</v>
      </c>
      <c r="I1232" t="s">
        <v>1482</v>
      </c>
      <c r="J1232" t="s">
        <v>50</v>
      </c>
      <c r="K1232" t="s">
        <v>51</v>
      </c>
      <c r="L1232" t="s">
        <v>2515</v>
      </c>
      <c r="M1232" t="s">
        <v>29</v>
      </c>
      <c r="N1232" t="s">
        <v>53</v>
      </c>
      <c r="O1232" t="s">
        <v>2516</v>
      </c>
      <c r="P1232">
        <v>14.52</v>
      </c>
      <c r="Q1232">
        <v>3</v>
      </c>
      <c r="R1232">
        <v>5.6627999999999998</v>
      </c>
      <c r="S1232" t="s">
        <v>90</v>
      </c>
    </row>
    <row r="1233" spans="1:19" x14ac:dyDescent="0.35">
      <c r="A1233" t="s">
        <v>3310</v>
      </c>
      <c r="B1233" s="1">
        <v>42264</v>
      </c>
      <c r="C1233" s="1">
        <v>42270</v>
      </c>
      <c r="D1233" t="s">
        <v>37</v>
      </c>
      <c r="E1233" t="s">
        <v>2603</v>
      </c>
      <c r="F1233" t="s">
        <v>2604</v>
      </c>
      <c r="G1233" t="s">
        <v>23</v>
      </c>
      <c r="H1233" t="s">
        <v>24</v>
      </c>
      <c r="I1233" t="s">
        <v>165</v>
      </c>
      <c r="J1233" t="s">
        <v>114</v>
      </c>
      <c r="K1233" t="s">
        <v>63</v>
      </c>
      <c r="L1233" t="s">
        <v>1155</v>
      </c>
      <c r="M1233" t="s">
        <v>29</v>
      </c>
      <c r="N1233" t="s">
        <v>34</v>
      </c>
      <c r="O1233" t="s">
        <v>1156</v>
      </c>
      <c r="P1233">
        <v>199.76400000000001</v>
      </c>
      <c r="Q1233">
        <v>2</v>
      </c>
      <c r="R1233">
        <v>8.8783999999999992</v>
      </c>
      <c r="S1233" t="s">
        <v>72</v>
      </c>
    </row>
    <row r="1234" spans="1:19" x14ac:dyDescent="0.35">
      <c r="A1234" t="s">
        <v>3310</v>
      </c>
      <c r="B1234" s="1">
        <v>42264</v>
      </c>
      <c r="C1234" s="1">
        <v>42270</v>
      </c>
      <c r="D1234" t="s">
        <v>37</v>
      </c>
      <c r="E1234" t="s">
        <v>2603</v>
      </c>
      <c r="F1234" t="s">
        <v>2604</v>
      </c>
      <c r="G1234" t="s">
        <v>23</v>
      </c>
      <c r="H1234" t="s">
        <v>24</v>
      </c>
      <c r="I1234" t="s">
        <v>165</v>
      </c>
      <c r="J1234" t="s">
        <v>114</v>
      </c>
      <c r="K1234" t="s">
        <v>63</v>
      </c>
      <c r="L1234" t="s">
        <v>76</v>
      </c>
      <c r="M1234" t="s">
        <v>29</v>
      </c>
      <c r="N1234" t="s">
        <v>30</v>
      </c>
      <c r="O1234" t="s">
        <v>77</v>
      </c>
      <c r="P1234">
        <v>4228.7039999999997</v>
      </c>
      <c r="Q1234">
        <v>6</v>
      </c>
      <c r="R1234">
        <v>158.57640000000001</v>
      </c>
      <c r="S1234" t="s">
        <v>72</v>
      </c>
    </row>
    <row r="1235" spans="1:19" x14ac:dyDescent="0.35">
      <c r="A1235" t="s">
        <v>3310</v>
      </c>
      <c r="B1235" s="1">
        <v>42264</v>
      </c>
      <c r="C1235" s="1">
        <v>42270</v>
      </c>
      <c r="D1235" t="s">
        <v>37</v>
      </c>
      <c r="E1235" t="s">
        <v>2603</v>
      </c>
      <c r="F1235" t="s">
        <v>2604</v>
      </c>
      <c r="G1235" t="s">
        <v>23</v>
      </c>
      <c r="H1235" t="s">
        <v>24</v>
      </c>
      <c r="I1235" t="s">
        <v>165</v>
      </c>
      <c r="J1235" t="s">
        <v>114</v>
      </c>
      <c r="K1235" t="s">
        <v>63</v>
      </c>
      <c r="L1235" t="s">
        <v>1686</v>
      </c>
      <c r="M1235" t="s">
        <v>29</v>
      </c>
      <c r="N1235" t="s">
        <v>30</v>
      </c>
      <c r="O1235" t="s">
        <v>1687</v>
      </c>
      <c r="P1235">
        <v>2003.92</v>
      </c>
      <c r="Q1235">
        <v>5</v>
      </c>
      <c r="R1235">
        <v>-25.048999999999999</v>
      </c>
      <c r="S1235" t="s">
        <v>72</v>
      </c>
    </row>
    <row r="1236" spans="1:19" x14ac:dyDescent="0.35">
      <c r="A1236" t="s">
        <v>3311</v>
      </c>
      <c r="B1236" s="1">
        <v>42700</v>
      </c>
      <c r="C1236" s="1">
        <v>42704</v>
      </c>
      <c r="D1236" t="s">
        <v>20</v>
      </c>
      <c r="E1236" t="s">
        <v>435</v>
      </c>
      <c r="F1236" t="s">
        <v>436</v>
      </c>
      <c r="G1236" t="s">
        <v>84</v>
      </c>
      <c r="H1236" t="s">
        <v>24</v>
      </c>
      <c r="I1236" t="s">
        <v>165</v>
      </c>
      <c r="J1236" t="s">
        <v>114</v>
      </c>
      <c r="K1236" t="s">
        <v>63</v>
      </c>
      <c r="L1236" t="s">
        <v>1238</v>
      </c>
      <c r="M1236" t="s">
        <v>29</v>
      </c>
      <c r="N1236" t="s">
        <v>43</v>
      </c>
      <c r="O1236" t="s">
        <v>1239</v>
      </c>
      <c r="P1236">
        <v>313.17599999999999</v>
      </c>
      <c r="Q1236">
        <v>2</v>
      </c>
      <c r="R1236">
        <v>-120.0508</v>
      </c>
      <c r="S1236" t="s">
        <v>32</v>
      </c>
    </row>
    <row r="1237" spans="1:19" x14ac:dyDescent="0.35">
      <c r="A1237" t="s">
        <v>3312</v>
      </c>
      <c r="B1237" s="1">
        <v>41737</v>
      </c>
      <c r="C1237" s="1">
        <v>41741</v>
      </c>
      <c r="D1237" t="s">
        <v>37</v>
      </c>
      <c r="E1237" t="s">
        <v>3313</v>
      </c>
      <c r="F1237" t="s">
        <v>3314</v>
      </c>
      <c r="G1237" t="s">
        <v>84</v>
      </c>
      <c r="H1237" t="s">
        <v>24</v>
      </c>
      <c r="I1237" t="s">
        <v>504</v>
      </c>
      <c r="J1237" t="s">
        <v>1267</v>
      </c>
      <c r="K1237" t="s">
        <v>27</v>
      </c>
      <c r="L1237" t="s">
        <v>3180</v>
      </c>
      <c r="M1237" t="s">
        <v>29</v>
      </c>
      <c r="N1237" t="s">
        <v>43</v>
      </c>
      <c r="O1237" t="s">
        <v>3181</v>
      </c>
      <c r="P1237">
        <v>1215.92</v>
      </c>
      <c r="Q1237">
        <v>8</v>
      </c>
      <c r="R1237">
        <v>316.13920000000002</v>
      </c>
      <c r="S1237" t="s">
        <v>107</v>
      </c>
    </row>
    <row r="1238" spans="1:19" x14ac:dyDescent="0.35">
      <c r="A1238" t="s">
        <v>3315</v>
      </c>
      <c r="B1238" s="1">
        <v>41923</v>
      </c>
      <c r="C1238" s="1">
        <v>41927</v>
      </c>
      <c r="D1238" t="s">
        <v>37</v>
      </c>
      <c r="E1238" t="s">
        <v>2912</v>
      </c>
      <c r="F1238" t="s">
        <v>2913</v>
      </c>
      <c r="G1238" t="s">
        <v>84</v>
      </c>
      <c r="H1238" t="s">
        <v>24</v>
      </c>
      <c r="I1238" t="s">
        <v>1902</v>
      </c>
      <c r="J1238" t="s">
        <v>1049</v>
      </c>
      <c r="K1238" t="s">
        <v>27</v>
      </c>
      <c r="L1238" t="s">
        <v>1903</v>
      </c>
      <c r="M1238" t="s">
        <v>29</v>
      </c>
      <c r="N1238" t="s">
        <v>53</v>
      </c>
      <c r="O1238" t="s">
        <v>1904</v>
      </c>
      <c r="P1238">
        <v>8.92</v>
      </c>
      <c r="Q1238">
        <v>4</v>
      </c>
      <c r="R1238">
        <v>3.9247999999999998</v>
      </c>
      <c r="S1238" t="s">
        <v>45</v>
      </c>
    </row>
    <row r="1239" spans="1:19" x14ac:dyDescent="0.35">
      <c r="A1239" t="s">
        <v>3316</v>
      </c>
      <c r="B1239" s="1">
        <v>42923</v>
      </c>
      <c r="C1239" s="1">
        <v>42925</v>
      </c>
      <c r="D1239" t="s">
        <v>81</v>
      </c>
      <c r="E1239" t="s">
        <v>2858</v>
      </c>
      <c r="F1239" t="s">
        <v>2859</v>
      </c>
      <c r="G1239" t="s">
        <v>23</v>
      </c>
      <c r="H1239" t="s">
        <v>24</v>
      </c>
      <c r="I1239" t="s">
        <v>61</v>
      </c>
      <c r="J1239" t="s">
        <v>62</v>
      </c>
      <c r="K1239" t="s">
        <v>63</v>
      </c>
      <c r="L1239" t="s">
        <v>851</v>
      </c>
      <c r="M1239" t="s">
        <v>29</v>
      </c>
      <c r="N1239" t="s">
        <v>30</v>
      </c>
      <c r="O1239" t="s">
        <v>852</v>
      </c>
      <c r="P1239">
        <v>87.21</v>
      </c>
      <c r="Q1239">
        <v>3</v>
      </c>
      <c r="R1239">
        <v>-45.349200000000003</v>
      </c>
      <c r="S1239" t="s">
        <v>66</v>
      </c>
    </row>
    <row r="1240" spans="1:19" x14ac:dyDescent="0.35">
      <c r="A1240" t="s">
        <v>3317</v>
      </c>
      <c r="B1240" s="1">
        <v>42555</v>
      </c>
      <c r="C1240" s="1">
        <v>42555</v>
      </c>
      <c r="D1240" t="s">
        <v>417</v>
      </c>
      <c r="E1240" t="s">
        <v>662</v>
      </c>
      <c r="F1240" t="s">
        <v>663</v>
      </c>
      <c r="G1240" t="s">
        <v>94</v>
      </c>
      <c r="H1240" t="s">
        <v>24</v>
      </c>
      <c r="I1240" t="s">
        <v>183</v>
      </c>
      <c r="J1240" t="s">
        <v>184</v>
      </c>
      <c r="K1240" t="s">
        <v>51</v>
      </c>
      <c r="L1240" t="s">
        <v>652</v>
      </c>
      <c r="M1240" t="s">
        <v>29</v>
      </c>
      <c r="N1240" t="s">
        <v>53</v>
      </c>
      <c r="O1240" t="s">
        <v>653</v>
      </c>
      <c r="P1240">
        <v>25.4</v>
      </c>
      <c r="Q1240">
        <v>5</v>
      </c>
      <c r="R1240">
        <v>8.6359999999999992</v>
      </c>
      <c r="S1240" t="s">
        <v>66</v>
      </c>
    </row>
    <row r="1241" spans="1:19" x14ac:dyDescent="0.35">
      <c r="A1241" t="s">
        <v>3318</v>
      </c>
      <c r="B1241" s="1">
        <v>41876</v>
      </c>
      <c r="C1241" s="1">
        <v>41880</v>
      </c>
      <c r="D1241" t="s">
        <v>37</v>
      </c>
      <c r="E1241" t="s">
        <v>473</v>
      </c>
      <c r="F1241" t="s">
        <v>474</v>
      </c>
      <c r="G1241" t="s">
        <v>84</v>
      </c>
      <c r="H1241" t="s">
        <v>24</v>
      </c>
      <c r="I1241" t="s">
        <v>49</v>
      </c>
      <c r="J1241" t="s">
        <v>50</v>
      </c>
      <c r="K1241" t="s">
        <v>51</v>
      </c>
      <c r="L1241" t="s">
        <v>2149</v>
      </c>
      <c r="M1241" t="s">
        <v>29</v>
      </c>
      <c r="N1241" t="s">
        <v>53</v>
      </c>
      <c r="O1241" t="s">
        <v>2150</v>
      </c>
      <c r="P1241">
        <v>6.28</v>
      </c>
      <c r="Q1241">
        <v>1</v>
      </c>
      <c r="R1241">
        <v>2.6375999999999999</v>
      </c>
      <c r="S1241" t="s">
        <v>245</v>
      </c>
    </row>
    <row r="1242" spans="1:19" x14ac:dyDescent="0.35">
      <c r="A1242" t="s">
        <v>3319</v>
      </c>
      <c r="B1242" s="1">
        <v>41954</v>
      </c>
      <c r="C1242" s="1">
        <v>41958</v>
      </c>
      <c r="D1242" t="s">
        <v>20</v>
      </c>
      <c r="E1242" t="s">
        <v>3040</v>
      </c>
      <c r="F1242" t="s">
        <v>3041</v>
      </c>
      <c r="G1242" t="s">
        <v>84</v>
      </c>
      <c r="H1242" t="s">
        <v>24</v>
      </c>
      <c r="I1242" t="s">
        <v>3320</v>
      </c>
      <c r="J1242" t="s">
        <v>62</v>
      </c>
      <c r="K1242" t="s">
        <v>63</v>
      </c>
      <c r="L1242" t="s">
        <v>2120</v>
      </c>
      <c r="M1242" t="s">
        <v>29</v>
      </c>
      <c r="N1242" t="s">
        <v>53</v>
      </c>
      <c r="O1242" t="s">
        <v>2121</v>
      </c>
      <c r="P1242">
        <v>23.968</v>
      </c>
      <c r="Q1242">
        <v>2</v>
      </c>
      <c r="R1242">
        <v>7.7896000000000001</v>
      </c>
      <c r="S1242" t="s">
        <v>32</v>
      </c>
    </row>
    <row r="1243" spans="1:19" x14ac:dyDescent="0.35">
      <c r="A1243" t="s">
        <v>3319</v>
      </c>
      <c r="B1243" s="1">
        <v>41954</v>
      </c>
      <c r="C1243" s="1">
        <v>41958</v>
      </c>
      <c r="D1243" t="s">
        <v>20</v>
      </c>
      <c r="E1243" t="s">
        <v>3040</v>
      </c>
      <c r="F1243" t="s">
        <v>3041</v>
      </c>
      <c r="G1243" t="s">
        <v>84</v>
      </c>
      <c r="H1243" t="s">
        <v>24</v>
      </c>
      <c r="I1243" t="s">
        <v>3320</v>
      </c>
      <c r="J1243" t="s">
        <v>62</v>
      </c>
      <c r="K1243" t="s">
        <v>63</v>
      </c>
      <c r="L1243" t="s">
        <v>96</v>
      </c>
      <c r="M1243" t="s">
        <v>29</v>
      </c>
      <c r="N1243" t="s">
        <v>30</v>
      </c>
      <c r="O1243" t="s">
        <v>97</v>
      </c>
      <c r="P1243">
        <v>521.96</v>
      </c>
      <c r="Q1243">
        <v>4</v>
      </c>
      <c r="R1243">
        <v>-250.54079999999999</v>
      </c>
      <c r="S1243" t="s">
        <v>32</v>
      </c>
    </row>
    <row r="1244" spans="1:19" x14ac:dyDescent="0.35">
      <c r="A1244" t="s">
        <v>3321</v>
      </c>
      <c r="B1244" s="1">
        <v>42441</v>
      </c>
      <c r="C1244" s="1">
        <v>42444</v>
      </c>
      <c r="D1244" t="s">
        <v>20</v>
      </c>
      <c r="E1244" t="s">
        <v>435</v>
      </c>
      <c r="F1244" t="s">
        <v>436</v>
      </c>
      <c r="G1244" t="s">
        <v>84</v>
      </c>
      <c r="H1244" t="s">
        <v>24</v>
      </c>
      <c r="I1244" t="s">
        <v>320</v>
      </c>
      <c r="J1244" t="s">
        <v>50</v>
      </c>
      <c r="K1244" t="s">
        <v>51</v>
      </c>
      <c r="L1244" t="s">
        <v>786</v>
      </c>
      <c r="M1244" t="s">
        <v>29</v>
      </c>
      <c r="N1244" t="s">
        <v>34</v>
      </c>
      <c r="O1244" t="s">
        <v>787</v>
      </c>
      <c r="P1244">
        <v>770.35199999999998</v>
      </c>
      <c r="Q1244">
        <v>3</v>
      </c>
      <c r="R1244">
        <v>77.035200000000003</v>
      </c>
      <c r="S1244" t="s">
        <v>187</v>
      </c>
    </row>
    <row r="1245" spans="1:19" x14ac:dyDescent="0.35">
      <c r="A1245" t="s">
        <v>3322</v>
      </c>
      <c r="B1245" s="1">
        <v>42775</v>
      </c>
      <c r="C1245" s="1">
        <v>42780</v>
      </c>
      <c r="D1245" t="s">
        <v>20</v>
      </c>
      <c r="E1245" t="s">
        <v>1385</v>
      </c>
      <c r="F1245" t="s">
        <v>1386</v>
      </c>
      <c r="G1245" t="s">
        <v>84</v>
      </c>
      <c r="H1245" t="s">
        <v>24</v>
      </c>
      <c r="I1245" t="s">
        <v>49</v>
      </c>
      <c r="J1245" t="s">
        <v>50</v>
      </c>
      <c r="K1245" t="s">
        <v>51</v>
      </c>
      <c r="L1245" t="s">
        <v>1649</v>
      </c>
      <c r="M1245" t="s">
        <v>29</v>
      </c>
      <c r="N1245" t="s">
        <v>53</v>
      </c>
      <c r="O1245" t="s">
        <v>1650</v>
      </c>
      <c r="P1245">
        <v>21.12</v>
      </c>
      <c r="Q1245">
        <v>4</v>
      </c>
      <c r="R1245">
        <v>6.5472000000000001</v>
      </c>
      <c r="S1245" t="s">
        <v>289</v>
      </c>
    </row>
    <row r="1246" spans="1:19" x14ac:dyDescent="0.35">
      <c r="A1246" t="s">
        <v>3323</v>
      </c>
      <c r="B1246" s="1">
        <v>41840</v>
      </c>
      <c r="C1246" s="1">
        <v>41842</v>
      </c>
      <c r="D1246" t="s">
        <v>81</v>
      </c>
      <c r="E1246" t="s">
        <v>2044</v>
      </c>
      <c r="F1246" t="s">
        <v>2045</v>
      </c>
      <c r="G1246" t="s">
        <v>23</v>
      </c>
      <c r="H1246" t="s">
        <v>24</v>
      </c>
      <c r="I1246" t="s">
        <v>630</v>
      </c>
      <c r="J1246" t="s">
        <v>50</v>
      </c>
      <c r="K1246" t="s">
        <v>51</v>
      </c>
      <c r="L1246" t="s">
        <v>767</v>
      </c>
      <c r="M1246" t="s">
        <v>29</v>
      </c>
      <c r="N1246" t="s">
        <v>53</v>
      </c>
      <c r="O1246" t="s">
        <v>768</v>
      </c>
      <c r="P1246">
        <v>43.02</v>
      </c>
      <c r="Q1246">
        <v>3</v>
      </c>
      <c r="R1246">
        <v>15.4872</v>
      </c>
      <c r="S1246" t="s">
        <v>66</v>
      </c>
    </row>
    <row r="1247" spans="1:19" x14ac:dyDescent="0.35">
      <c r="A1247" t="s">
        <v>3324</v>
      </c>
      <c r="B1247" s="1">
        <v>42772</v>
      </c>
      <c r="C1247" s="1">
        <v>42777</v>
      </c>
      <c r="D1247" t="s">
        <v>37</v>
      </c>
      <c r="E1247" t="s">
        <v>3325</v>
      </c>
      <c r="F1247" t="s">
        <v>3326</v>
      </c>
      <c r="G1247" t="s">
        <v>23</v>
      </c>
      <c r="H1247" t="s">
        <v>24</v>
      </c>
      <c r="I1247" t="s">
        <v>165</v>
      </c>
      <c r="J1247" t="s">
        <v>114</v>
      </c>
      <c r="K1247" t="s">
        <v>63</v>
      </c>
      <c r="L1247" t="s">
        <v>990</v>
      </c>
      <c r="M1247" t="s">
        <v>29</v>
      </c>
      <c r="N1247" t="s">
        <v>30</v>
      </c>
      <c r="O1247" t="s">
        <v>991</v>
      </c>
      <c r="P1247">
        <v>240.78399999999999</v>
      </c>
      <c r="Q1247">
        <v>1</v>
      </c>
      <c r="R1247">
        <v>30.097999999999999</v>
      </c>
      <c r="S1247" t="s">
        <v>289</v>
      </c>
    </row>
    <row r="1248" spans="1:19" x14ac:dyDescent="0.35">
      <c r="A1248" t="s">
        <v>3327</v>
      </c>
      <c r="B1248" s="1">
        <v>41889</v>
      </c>
      <c r="C1248" s="1">
        <v>41895</v>
      </c>
      <c r="D1248" t="s">
        <v>37</v>
      </c>
      <c r="E1248" t="s">
        <v>662</v>
      </c>
      <c r="F1248" t="s">
        <v>663</v>
      </c>
      <c r="G1248" t="s">
        <v>94</v>
      </c>
      <c r="H1248" t="s">
        <v>24</v>
      </c>
      <c r="I1248" t="s">
        <v>2012</v>
      </c>
      <c r="J1248" t="s">
        <v>1513</v>
      </c>
      <c r="K1248" t="s">
        <v>87</v>
      </c>
      <c r="L1248" t="s">
        <v>1250</v>
      </c>
      <c r="M1248" t="s">
        <v>29</v>
      </c>
      <c r="N1248" t="s">
        <v>43</v>
      </c>
      <c r="O1248" t="s">
        <v>1054</v>
      </c>
      <c r="P1248">
        <v>429.9</v>
      </c>
      <c r="Q1248">
        <v>5</v>
      </c>
      <c r="R1248">
        <v>111.774</v>
      </c>
      <c r="S1248" t="s">
        <v>72</v>
      </c>
    </row>
    <row r="1249" spans="1:19" x14ac:dyDescent="0.35">
      <c r="A1249" t="s">
        <v>3327</v>
      </c>
      <c r="B1249" s="1">
        <v>41889</v>
      </c>
      <c r="C1249" s="1">
        <v>41895</v>
      </c>
      <c r="D1249" t="s">
        <v>37</v>
      </c>
      <c r="E1249" t="s">
        <v>662</v>
      </c>
      <c r="F1249" t="s">
        <v>663</v>
      </c>
      <c r="G1249" t="s">
        <v>94</v>
      </c>
      <c r="H1249" t="s">
        <v>24</v>
      </c>
      <c r="I1249" t="s">
        <v>2012</v>
      </c>
      <c r="J1249" t="s">
        <v>1513</v>
      </c>
      <c r="K1249" t="s">
        <v>87</v>
      </c>
      <c r="L1249" t="s">
        <v>247</v>
      </c>
      <c r="M1249" t="s">
        <v>29</v>
      </c>
      <c r="N1249" t="s">
        <v>34</v>
      </c>
      <c r="O1249" t="s">
        <v>248</v>
      </c>
      <c r="P1249">
        <v>161.96</v>
      </c>
      <c r="Q1249">
        <v>2</v>
      </c>
      <c r="R1249">
        <v>45.348799999999997</v>
      </c>
      <c r="S1249" t="s">
        <v>72</v>
      </c>
    </row>
    <row r="1250" spans="1:19" x14ac:dyDescent="0.35">
      <c r="A1250" t="s">
        <v>3328</v>
      </c>
      <c r="B1250" s="1">
        <v>42570</v>
      </c>
      <c r="C1250" s="1">
        <v>42576</v>
      </c>
      <c r="D1250" t="s">
        <v>37</v>
      </c>
      <c r="E1250" t="s">
        <v>1621</v>
      </c>
      <c r="F1250" t="s">
        <v>1622</v>
      </c>
      <c r="G1250" t="s">
        <v>23</v>
      </c>
      <c r="H1250" t="s">
        <v>24</v>
      </c>
      <c r="I1250" t="s">
        <v>3329</v>
      </c>
      <c r="J1250" t="s">
        <v>469</v>
      </c>
      <c r="K1250" t="s">
        <v>27</v>
      </c>
      <c r="L1250" t="s">
        <v>2101</v>
      </c>
      <c r="M1250" t="s">
        <v>29</v>
      </c>
      <c r="N1250" t="s">
        <v>53</v>
      </c>
      <c r="O1250" t="s">
        <v>2102</v>
      </c>
      <c r="P1250">
        <v>185.58</v>
      </c>
      <c r="Q1250">
        <v>6</v>
      </c>
      <c r="R1250">
        <v>76.087800000000001</v>
      </c>
      <c r="S1250" t="s">
        <v>66</v>
      </c>
    </row>
    <row r="1251" spans="1:19" x14ac:dyDescent="0.35">
      <c r="A1251" t="s">
        <v>3328</v>
      </c>
      <c r="B1251" s="1">
        <v>42570</v>
      </c>
      <c r="C1251" s="1">
        <v>42576</v>
      </c>
      <c r="D1251" t="s">
        <v>37</v>
      </c>
      <c r="E1251" t="s">
        <v>1621</v>
      </c>
      <c r="F1251" t="s">
        <v>1622</v>
      </c>
      <c r="G1251" t="s">
        <v>23</v>
      </c>
      <c r="H1251" t="s">
        <v>24</v>
      </c>
      <c r="I1251" t="s">
        <v>3329</v>
      </c>
      <c r="J1251" t="s">
        <v>469</v>
      </c>
      <c r="K1251" t="s">
        <v>27</v>
      </c>
      <c r="L1251" t="s">
        <v>2806</v>
      </c>
      <c r="M1251" t="s">
        <v>29</v>
      </c>
      <c r="N1251" t="s">
        <v>30</v>
      </c>
      <c r="O1251" t="s">
        <v>2807</v>
      </c>
      <c r="P1251">
        <v>504.9</v>
      </c>
      <c r="Q1251">
        <v>5</v>
      </c>
      <c r="R1251">
        <v>126.22499999999999</v>
      </c>
      <c r="S1251" t="s">
        <v>66</v>
      </c>
    </row>
    <row r="1252" spans="1:19" x14ac:dyDescent="0.35">
      <c r="A1252" t="s">
        <v>3330</v>
      </c>
      <c r="B1252" s="1">
        <v>42993</v>
      </c>
      <c r="C1252" s="1">
        <v>42999</v>
      </c>
      <c r="D1252" t="s">
        <v>37</v>
      </c>
      <c r="E1252" t="s">
        <v>2939</v>
      </c>
      <c r="F1252" t="s">
        <v>2940</v>
      </c>
      <c r="G1252" t="s">
        <v>23</v>
      </c>
      <c r="H1252" t="s">
        <v>24</v>
      </c>
      <c r="I1252" t="s">
        <v>49</v>
      </c>
      <c r="J1252" t="s">
        <v>50</v>
      </c>
      <c r="K1252" t="s">
        <v>51</v>
      </c>
      <c r="L1252" t="s">
        <v>479</v>
      </c>
      <c r="M1252" t="s">
        <v>29</v>
      </c>
      <c r="N1252" t="s">
        <v>34</v>
      </c>
      <c r="O1252" t="s">
        <v>480</v>
      </c>
      <c r="P1252">
        <v>184.75200000000001</v>
      </c>
      <c r="Q1252">
        <v>3</v>
      </c>
      <c r="R1252">
        <v>-20.784600000000001</v>
      </c>
      <c r="S1252" t="s">
        <v>72</v>
      </c>
    </row>
    <row r="1253" spans="1:19" x14ac:dyDescent="0.35">
      <c r="A1253" t="s">
        <v>3331</v>
      </c>
      <c r="B1253" s="1">
        <v>42715</v>
      </c>
      <c r="C1253" s="1">
        <v>42715</v>
      </c>
      <c r="D1253" t="s">
        <v>417</v>
      </c>
      <c r="E1253" t="s">
        <v>1029</v>
      </c>
      <c r="F1253" t="s">
        <v>1030</v>
      </c>
      <c r="G1253" t="s">
        <v>84</v>
      </c>
      <c r="H1253" t="s">
        <v>24</v>
      </c>
      <c r="I1253" t="s">
        <v>339</v>
      </c>
      <c r="J1253" t="s">
        <v>223</v>
      </c>
      <c r="K1253" t="s">
        <v>63</v>
      </c>
      <c r="L1253" t="s">
        <v>2569</v>
      </c>
      <c r="M1253" t="s">
        <v>29</v>
      </c>
      <c r="N1253" t="s">
        <v>34</v>
      </c>
      <c r="O1253" t="s">
        <v>2570</v>
      </c>
      <c r="P1253">
        <v>458.43</v>
      </c>
      <c r="Q1253">
        <v>5</v>
      </c>
      <c r="R1253">
        <v>-137.529</v>
      </c>
      <c r="S1253" t="s">
        <v>90</v>
      </c>
    </row>
    <row r="1254" spans="1:19" x14ac:dyDescent="0.35">
      <c r="A1254" t="s">
        <v>3331</v>
      </c>
      <c r="B1254" s="1">
        <v>42715</v>
      </c>
      <c r="C1254" s="1">
        <v>42715</v>
      </c>
      <c r="D1254" t="s">
        <v>417</v>
      </c>
      <c r="E1254" t="s">
        <v>1029</v>
      </c>
      <c r="F1254" t="s">
        <v>1030</v>
      </c>
      <c r="G1254" t="s">
        <v>84</v>
      </c>
      <c r="H1254" t="s">
        <v>24</v>
      </c>
      <c r="I1254" t="s">
        <v>339</v>
      </c>
      <c r="J1254" t="s">
        <v>223</v>
      </c>
      <c r="K1254" t="s">
        <v>63</v>
      </c>
      <c r="L1254" t="s">
        <v>1225</v>
      </c>
      <c r="M1254" t="s">
        <v>29</v>
      </c>
      <c r="N1254" t="s">
        <v>43</v>
      </c>
      <c r="O1254" t="s">
        <v>1226</v>
      </c>
      <c r="P1254">
        <v>328.59</v>
      </c>
      <c r="Q1254">
        <v>3</v>
      </c>
      <c r="R1254">
        <v>-147.8655</v>
      </c>
      <c r="S1254" t="s">
        <v>90</v>
      </c>
    </row>
    <row r="1255" spans="1:19" x14ac:dyDescent="0.35">
      <c r="A1255" t="s">
        <v>3332</v>
      </c>
      <c r="B1255" s="1">
        <v>41983</v>
      </c>
      <c r="C1255" s="1">
        <v>41987</v>
      </c>
      <c r="D1255" t="s">
        <v>37</v>
      </c>
      <c r="E1255" t="s">
        <v>2015</v>
      </c>
      <c r="F1255" t="s">
        <v>2016</v>
      </c>
      <c r="G1255" t="s">
        <v>84</v>
      </c>
      <c r="H1255" t="s">
        <v>24</v>
      </c>
      <c r="I1255" t="s">
        <v>3333</v>
      </c>
      <c r="J1255" t="s">
        <v>2271</v>
      </c>
      <c r="K1255" t="s">
        <v>51</v>
      </c>
      <c r="L1255" t="s">
        <v>1132</v>
      </c>
      <c r="M1255" t="s">
        <v>29</v>
      </c>
      <c r="N1255" t="s">
        <v>34</v>
      </c>
      <c r="O1255" t="s">
        <v>1133</v>
      </c>
      <c r="P1255">
        <v>338.35199999999998</v>
      </c>
      <c r="Q1255">
        <v>3</v>
      </c>
      <c r="R1255">
        <v>4.2294</v>
      </c>
      <c r="S1255" t="s">
        <v>90</v>
      </c>
    </row>
    <row r="1256" spans="1:19" x14ac:dyDescent="0.35">
      <c r="A1256" t="s">
        <v>3334</v>
      </c>
      <c r="B1256" s="1">
        <v>41986</v>
      </c>
      <c r="C1256" s="1">
        <v>41990</v>
      </c>
      <c r="D1256" t="s">
        <v>37</v>
      </c>
      <c r="E1256" t="s">
        <v>1703</v>
      </c>
      <c r="F1256" t="s">
        <v>1704</v>
      </c>
      <c r="G1256" t="s">
        <v>84</v>
      </c>
      <c r="H1256" t="s">
        <v>24</v>
      </c>
      <c r="I1256" t="s">
        <v>510</v>
      </c>
      <c r="J1256" t="s">
        <v>511</v>
      </c>
      <c r="K1256" t="s">
        <v>51</v>
      </c>
      <c r="L1256" t="s">
        <v>1499</v>
      </c>
      <c r="M1256" t="s">
        <v>29</v>
      </c>
      <c r="N1256" t="s">
        <v>53</v>
      </c>
      <c r="O1256" t="s">
        <v>1500</v>
      </c>
      <c r="P1256">
        <v>87.96</v>
      </c>
      <c r="Q1256">
        <v>3</v>
      </c>
      <c r="R1256">
        <v>7.6965000000000003</v>
      </c>
      <c r="S1256" t="s">
        <v>90</v>
      </c>
    </row>
    <row r="1257" spans="1:19" x14ac:dyDescent="0.35">
      <c r="A1257" t="s">
        <v>3335</v>
      </c>
      <c r="B1257" s="1">
        <v>42985</v>
      </c>
      <c r="C1257" s="1">
        <v>42989</v>
      </c>
      <c r="D1257" t="s">
        <v>37</v>
      </c>
      <c r="E1257" t="s">
        <v>3336</v>
      </c>
      <c r="F1257" t="s">
        <v>3337</v>
      </c>
      <c r="G1257" t="s">
        <v>23</v>
      </c>
      <c r="H1257" t="s">
        <v>24</v>
      </c>
      <c r="I1257" t="s">
        <v>49</v>
      </c>
      <c r="J1257" t="s">
        <v>50</v>
      </c>
      <c r="K1257" t="s">
        <v>51</v>
      </c>
      <c r="L1257" t="s">
        <v>793</v>
      </c>
      <c r="M1257" t="s">
        <v>29</v>
      </c>
      <c r="N1257" t="s">
        <v>53</v>
      </c>
      <c r="O1257" t="s">
        <v>794</v>
      </c>
      <c r="P1257">
        <v>19.760000000000002</v>
      </c>
      <c r="Q1257">
        <v>4</v>
      </c>
      <c r="R1257">
        <v>8.2992000000000008</v>
      </c>
      <c r="S1257" t="s">
        <v>72</v>
      </c>
    </row>
    <row r="1258" spans="1:19" x14ac:dyDescent="0.35">
      <c r="A1258" t="s">
        <v>3338</v>
      </c>
      <c r="B1258" s="1">
        <v>42310</v>
      </c>
      <c r="C1258" s="1">
        <v>42315</v>
      </c>
      <c r="D1258" t="s">
        <v>37</v>
      </c>
      <c r="E1258" t="s">
        <v>3339</v>
      </c>
      <c r="F1258" t="s">
        <v>3340</v>
      </c>
      <c r="G1258" t="s">
        <v>23</v>
      </c>
      <c r="H1258" t="s">
        <v>24</v>
      </c>
      <c r="I1258" t="s">
        <v>113</v>
      </c>
      <c r="J1258" t="s">
        <v>114</v>
      </c>
      <c r="K1258" t="s">
        <v>63</v>
      </c>
      <c r="L1258" t="s">
        <v>2419</v>
      </c>
      <c r="M1258" t="s">
        <v>29</v>
      </c>
      <c r="N1258" t="s">
        <v>34</v>
      </c>
      <c r="O1258" t="s">
        <v>2420</v>
      </c>
      <c r="P1258">
        <v>109.764</v>
      </c>
      <c r="Q1258">
        <v>2</v>
      </c>
      <c r="R1258">
        <v>8.5372000000000003</v>
      </c>
      <c r="S1258" t="s">
        <v>32</v>
      </c>
    </row>
    <row r="1259" spans="1:19" x14ac:dyDescent="0.35">
      <c r="A1259" t="s">
        <v>3341</v>
      </c>
      <c r="B1259" s="1">
        <v>42826</v>
      </c>
      <c r="C1259" s="1">
        <v>42828</v>
      </c>
      <c r="D1259" t="s">
        <v>81</v>
      </c>
      <c r="E1259" t="s">
        <v>1071</v>
      </c>
      <c r="F1259" t="s">
        <v>1072</v>
      </c>
      <c r="G1259" t="s">
        <v>84</v>
      </c>
      <c r="H1259" t="s">
        <v>24</v>
      </c>
      <c r="I1259" t="s">
        <v>845</v>
      </c>
      <c r="J1259" t="s">
        <v>150</v>
      </c>
      <c r="K1259" t="s">
        <v>27</v>
      </c>
      <c r="L1259" t="s">
        <v>173</v>
      </c>
      <c r="M1259" t="s">
        <v>29</v>
      </c>
      <c r="N1259" t="s">
        <v>53</v>
      </c>
      <c r="O1259" t="s">
        <v>174</v>
      </c>
      <c r="P1259">
        <v>127.95</v>
      </c>
      <c r="Q1259">
        <v>3</v>
      </c>
      <c r="R1259">
        <v>21.7515</v>
      </c>
      <c r="S1259" t="s">
        <v>107</v>
      </c>
    </row>
    <row r="1260" spans="1:19" x14ac:dyDescent="0.35">
      <c r="A1260" t="s">
        <v>3342</v>
      </c>
      <c r="B1260" s="1">
        <v>41735</v>
      </c>
      <c r="C1260" s="1">
        <v>41741</v>
      </c>
      <c r="D1260" t="s">
        <v>37</v>
      </c>
      <c r="E1260" t="s">
        <v>2193</v>
      </c>
      <c r="F1260" t="s">
        <v>2194</v>
      </c>
      <c r="G1260" t="s">
        <v>84</v>
      </c>
      <c r="H1260" t="s">
        <v>24</v>
      </c>
      <c r="I1260" t="s">
        <v>49</v>
      </c>
      <c r="J1260" t="s">
        <v>50</v>
      </c>
      <c r="K1260" t="s">
        <v>51</v>
      </c>
      <c r="L1260" t="s">
        <v>3279</v>
      </c>
      <c r="M1260" t="s">
        <v>29</v>
      </c>
      <c r="N1260" t="s">
        <v>53</v>
      </c>
      <c r="O1260" t="s">
        <v>3280</v>
      </c>
      <c r="P1260">
        <v>91.96</v>
      </c>
      <c r="Q1260">
        <v>2</v>
      </c>
      <c r="R1260">
        <v>15.6332</v>
      </c>
      <c r="S1260" t="s">
        <v>107</v>
      </c>
    </row>
    <row r="1261" spans="1:19" x14ac:dyDescent="0.35">
      <c r="A1261" t="s">
        <v>3342</v>
      </c>
      <c r="B1261" s="1">
        <v>41735</v>
      </c>
      <c r="C1261" s="1">
        <v>41741</v>
      </c>
      <c r="D1261" t="s">
        <v>37</v>
      </c>
      <c r="E1261" t="s">
        <v>2193</v>
      </c>
      <c r="F1261" t="s">
        <v>2194</v>
      </c>
      <c r="G1261" t="s">
        <v>84</v>
      </c>
      <c r="H1261" t="s">
        <v>24</v>
      </c>
      <c r="I1261" t="s">
        <v>49</v>
      </c>
      <c r="J1261" t="s">
        <v>50</v>
      </c>
      <c r="K1261" t="s">
        <v>51</v>
      </c>
      <c r="L1261" t="s">
        <v>371</v>
      </c>
      <c r="M1261" t="s">
        <v>29</v>
      </c>
      <c r="N1261" t="s">
        <v>53</v>
      </c>
      <c r="O1261" t="s">
        <v>372</v>
      </c>
      <c r="P1261">
        <v>33.11</v>
      </c>
      <c r="Q1261">
        <v>7</v>
      </c>
      <c r="R1261">
        <v>12.9129</v>
      </c>
      <c r="S1261" t="s">
        <v>107</v>
      </c>
    </row>
    <row r="1262" spans="1:19" x14ac:dyDescent="0.35">
      <c r="A1262" t="s">
        <v>3343</v>
      </c>
      <c r="B1262" s="1">
        <v>42922</v>
      </c>
      <c r="C1262" s="1">
        <v>42922</v>
      </c>
      <c r="D1262" t="s">
        <v>417</v>
      </c>
      <c r="E1262" t="s">
        <v>2774</v>
      </c>
      <c r="F1262" t="s">
        <v>2775</v>
      </c>
      <c r="G1262" t="s">
        <v>23</v>
      </c>
      <c r="H1262" t="s">
        <v>24</v>
      </c>
      <c r="I1262" t="s">
        <v>997</v>
      </c>
      <c r="J1262" t="s">
        <v>41</v>
      </c>
      <c r="K1262" t="s">
        <v>27</v>
      </c>
      <c r="L1262" t="s">
        <v>1576</v>
      </c>
      <c r="M1262" t="s">
        <v>29</v>
      </c>
      <c r="N1262" t="s">
        <v>34</v>
      </c>
      <c r="O1262" t="s">
        <v>1577</v>
      </c>
      <c r="P1262">
        <v>239.24</v>
      </c>
      <c r="Q1262">
        <v>1</v>
      </c>
      <c r="R1262">
        <v>23.923999999999999</v>
      </c>
      <c r="S1262" t="s">
        <v>66</v>
      </c>
    </row>
    <row r="1263" spans="1:19" x14ac:dyDescent="0.35">
      <c r="A1263" t="s">
        <v>3344</v>
      </c>
      <c r="B1263" s="1">
        <v>42729</v>
      </c>
      <c r="C1263" s="1">
        <v>42736</v>
      </c>
      <c r="D1263" t="s">
        <v>37</v>
      </c>
      <c r="E1263" t="s">
        <v>2078</v>
      </c>
      <c r="F1263" t="s">
        <v>2079</v>
      </c>
      <c r="G1263" t="s">
        <v>84</v>
      </c>
      <c r="H1263" t="s">
        <v>24</v>
      </c>
      <c r="I1263" t="s">
        <v>3345</v>
      </c>
      <c r="J1263" t="s">
        <v>875</v>
      </c>
      <c r="K1263" t="s">
        <v>63</v>
      </c>
      <c r="L1263" t="s">
        <v>1649</v>
      </c>
      <c r="M1263" t="s">
        <v>29</v>
      </c>
      <c r="N1263" t="s">
        <v>53</v>
      </c>
      <c r="O1263" t="s">
        <v>1650</v>
      </c>
      <c r="P1263">
        <v>21.12</v>
      </c>
      <c r="Q1263">
        <v>4</v>
      </c>
      <c r="R1263">
        <v>6.5472000000000001</v>
      </c>
      <c r="S1263" t="s">
        <v>90</v>
      </c>
    </row>
    <row r="1264" spans="1:19" x14ac:dyDescent="0.35">
      <c r="A1264" t="s">
        <v>3346</v>
      </c>
      <c r="B1264" s="1">
        <v>42352</v>
      </c>
      <c r="C1264" s="1">
        <v>42356</v>
      </c>
      <c r="D1264" t="s">
        <v>37</v>
      </c>
      <c r="E1264" t="s">
        <v>1231</v>
      </c>
      <c r="F1264" t="s">
        <v>1232</v>
      </c>
      <c r="G1264" t="s">
        <v>94</v>
      </c>
      <c r="H1264" t="s">
        <v>24</v>
      </c>
      <c r="I1264" t="s">
        <v>49</v>
      </c>
      <c r="J1264" t="s">
        <v>50</v>
      </c>
      <c r="K1264" t="s">
        <v>51</v>
      </c>
      <c r="L1264" t="s">
        <v>2381</v>
      </c>
      <c r="M1264" t="s">
        <v>29</v>
      </c>
      <c r="N1264" t="s">
        <v>53</v>
      </c>
      <c r="O1264" t="s">
        <v>2382</v>
      </c>
      <c r="P1264">
        <v>15.24</v>
      </c>
      <c r="Q1264">
        <v>3</v>
      </c>
      <c r="R1264">
        <v>5.1816000000000004</v>
      </c>
      <c r="S1264" t="s">
        <v>90</v>
      </c>
    </row>
    <row r="1265" spans="1:19" x14ac:dyDescent="0.35">
      <c r="A1265" t="s">
        <v>3347</v>
      </c>
      <c r="B1265" s="1">
        <v>42617</v>
      </c>
      <c r="C1265" s="1">
        <v>42621</v>
      </c>
      <c r="D1265" t="s">
        <v>37</v>
      </c>
      <c r="E1265" t="s">
        <v>2684</v>
      </c>
      <c r="F1265" t="s">
        <v>2685</v>
      </c>
      <c r="G1265" t="s">
        <v>23</v>
      </c>
      <c r="H1265" t="s">
        <v>24</v>
      </c>
      <c r="I1265" t="s">
        <v>3348</v>
      </c>
      <c r="J1265" t="s">
        <v>26</v>
      </c>
      <c r="K1265" t="s">
        <v>27</v>
      </c>
      <c r="L1265" t="s">
        <v>476</v>
      </c>
      <c r="M1265" t="s">
        <v>29</v>
      </c>
      <c r="N1265" t="s">
        <v>53</v>
      </c>
      <c r="O1265" t="s">
        <v>477</v>
      </c>
      <c r="P1265">
        <v>42.6</v>
      </c>
      <c r="Q1265">
        <v>3</v>
      </c>
      <c r="R1265">
        <v>16.614000000000001</v>
      </c>
      <c r="S1265" t="s">
        <v>72</v>
      </c>
    </row>
    <row r="1266" spans="1:19" x14ac:dyDescent="0.35">
      <c r="A1266" t="s">
        <v>3349</v>
      </c>
      <c r="B1266" s="1">
        <v>42404</v>
      </c>
      <c r="C1266" s="1">
        <v>42408</v>
      </c>
      <c r="D1266" t="s">
        <v>37</v>
      </c>
      <c r="E1266" t="s">
        <v>74</v>
      </c>
      <c r="F1266" t="s">
        <v>75</v>
      </c>
      <c r="G1266" t="s">
        <v>23</v>
      </c>
      <c r="H1266" t="s">
        <v>24</v>
      </c>
      <c r="I1266" t="s">
        <v>3350</v>
      </c>
      <c r="J1266" t="s">
        <v>511</v>
      </c>
      <c r="K1266" t="s">
        <v>51</v>
      </c>
      <c r="L1266" t="s">
        <v>1442</v>
      </c>
      <c r="M1266" t="s">
        <v>29</v>
      </c>
      <c r="N1266" t="s">
        <v>53</v>
      </c>
      <c r="O1266" t="s">
        <v>1443</v>
      </c>
      <c r="P1266">
        <v>14.368</v>
      </c>
      <c r="Q1266">
        <v>2</v>
      </c>
      <c r="R1266">
        <v>3.9512</v>
      </c>
      <c r="S1266" t="s">
        <v>289</v>
      </c>
    </row>
    <row r="1267" spans="1:19" x14ac:dyDescent="0.35">
      <c r="A1267" t="s">
        <v>3351</v>
      </c>
      <c r="B1267" s="1">
        <v>42874</v>
      </c>
      <c r="C1267" s="1">
        <v>42879</v>
      </c>
      <c r="D1267" t="s">
        <v>20</v>
      </c>
      <c r="E1267" t="s">
        <v>1547</v>
      </c>
      <c r="F1267" t="s">
        <v>1548</v>
      </c>
      <c r="G1267" t="s">
        <v>84</v>
      </c>
      <c r="H1267" t="s">
        <v>24</v>
      </c>
      <c r="I1267" t="s">
        <v>3115</v>
      </c>
      <c r="J1267" t="s">
        <v>133</v>
      </c>
      <c r="K1267" t="s">
        <v>27</v>
      </c>
      <c r="L1267" t="s">
        <v>659</v>
      </c>
      <c r="M1267" t="s">
        <v>29</v>
      </c>
      <c r="N1267" t="s">
        <v>34</v>
      </c>
      <c r="O1267" t="s">
        <v>660</v>
      </c>
      <c r="P1267">
        <v>314.35199999999998</v>
      </c>
      <c r="Q1267">
        <v>3</v>
      </c>
      <c r="R1267">
        <v>-35.364600000000003</v>
      </c>
      <c r="S1267" t="s">
        <v>153</v>
      </c>
    </row>
    <row r="1268" spans="1:19" x14ac:dyDescent="0.35">
      <c r="A1268" t="s">
        <v>3352</v>
      </c>
      <c r="B1268" s="1">
        <v>42250</v>
      </c>
      <c r="C1268" s="1">
        <v>42255</v>
      </c>
      <c r="D1268" t="s">
        <v>37</v>
      </c>
      <c r="E1268" t="s">
        <v>2049</v>
      </c>
      <c r="F1268" t="s">
        <v>2050</v>
      </c>
      <c r="G1268" t="s">
        <v>84</v>
      </c>
      <c r="H1268" t="s">
        <v>24</v>
      </c>
      <c r="I1268" t="s">
        <v>1213</v>
      </c>
      <c r="J1268" t="s">
        <v>511</v>
      </c>
      <c r="K1268" t="s">
        <v>51</v>
      </c>
      <c r="L1268" t="s">
        <v>1391</v>
      </c>
      <c r="M1268" t="s">
        <v>29</v>
      </c>
      <c r="N1268" t="s">
        <v>53</v>
      </c>
      <c r="O1268" t="s">
        <v>1392</v>
      </c>
      <c r="P1268">
        <v>238.15199999999999</v>
      </c>
      <c r="Q1268">
        <v>3</v>
      </c>
      <c r="R1268">
        <v>89.307000000000002</v>
      </c>
      <c r="S1268" t="s">
        <v>72</v>
      </c>
    </row>
    <row r="1269" spans="1:19" x14ac:dyDescent="0.35">
      <c r="A1269" t="s">
        <v>3353</v>
      </c>
      <c r="B1269" s="1">
        <v>42530</v>
      </c>
      <c r="C1269" s="1">
        <v>42537</v>
      </c>
      <c r="D1269" t="s">
        <v>37</v>
      </c>
      <c r="E1269" t="s">
        <v>3354</v>
      </c>
      <c r="F1269" t="s">
        <v>3355</v>
      </c>
      <c r="G1269" t="s">
        <v>94</v>
      </c>
      <c r="H1269" t="s">
        <v>24</v>
      </c>
      <c r="I1269" t="s">
        <v>157</v>
      </c>
      <c r="J1269" t="s">
        <v>158</v>
      </c>
      <c r="K1269" t="s">
        <v>87</v>
      </c>
      <c r="L1269" t="s">
        <v>3156</v>
      </c>
      <c r="M1269" t="s">
        <v>29</v>
      </c>
      <c r="N1269" t="s">
        <v>43</v>
      </c>
      <c r="O1269" t="s">
        <v>3157</v>
      </c>
      <c r="P1269">
        <v>692.94</v>
      </c>
      <c r="Q1269">
        <v>3</v>
      </c>
      <c r="R1269">
        <v>173.23500000000001</v>
      </c>
      <c r="S1269" t="s">
        <v>55</v>
      </c>
    </row>
    <row r="1270" spans="1:19" x14ac:dyDescent="0.35">
      <c r="A1270" t="s">
        <v>3356</v>
      </c>
      <c r="B1270" s="1">
        <v>42636</v>
      </c>
      <c r="C1270" s="1">
        <v>42639</v>
      </c>
      <c r="D1270" t="s">
        <v>20</v>
      </c>
      <c r="E1270" t="s">
        <v>515</v>
      </c>
      <c r="F1270" t="s">
        <v>516</v>
      </c>
      <c r="G1270" t="s">
        <v>94</v>
      </c>
      <c r="H1270" t="s">
        <v>24</v>
      </c>
      <c r="I1270" t="s">
        <v>806</v>
      </c>
      <c r="J1270" t="s">
        <v>223</v>
      </c>
      <c r="K1270" t="s">
        <v>63</v>
      </c>
      <c r="L1270" t="s">
        <v>2180</v>
      </c>
      <c r="M1270" t="s">
        <v>29</v>
      </c>
      <c r="N1270" t="s">
        <v>53</v>
      </c>
      <c r="O1270" t="s">
        <v>2181</v>
      </c>
      <c r="P1270">
        <v>28</v>
      </c>
      <c r="Q1270">
        <v>4</v>
      </c>
      <c r="R1270">
        <v>7.7</v>
      </c>
      <c r="S1270" t="s">
        <v>72</v>
      </c>
    </row>
    <row r="1271" spans="1:19" x14ac:dyDescent="0.35">
      <c r="A1271" t="s">
        <v>3357</v>
      </c>
      <c r="B1271" s="1">
        <v>42875</v>
      </c>
      <c r="C1271" s="1">
        <v>42879</v>
      </c>
      <c r="D1271" t="s">
        <v>37</v>
      </c>
      <c r="E1271" t="s">
        <v>873</v>
      </c>
      <c r="F1271" t="s">
        <v>874</v>
      </c>
      <c r="G1271" t="s">
        <v>94</v>
      </c>
      <c r="H1271" t="s">
        <v>24</v>
      </c>
      <c r="I1271" t="s">
        <v>2051</v>
      </c>
      <c r="J1271" t="s">
        <v>50</v>
      </c>
      <c r="K1271" t="s">
        <v>51</v>
      </c>
      <c r="L1271" t="s">
        <v>501</v>
      </c>
      <c r="M1271" t="s">
        <v>29</v>
      </c>
      <c r="N1271" t="s">
        <v>34</v>
      </c>
      <c r="O1271" t="s">
        <v>502</v>
      </c>
      <c r="P1271">
        <v>518.27200000000005</v>
      </c>
      <c r="Q1271">
        <v>8</v>
      </c>
      <c r="R1271">
        <v>-97.176000000000002</v>
      </c>
      <c r="S1271" t="s">
        <v>153</v>
      </c>
    </row>
    <row r="1272" spans="1:19" x14ac:dyDescent="0.35">
      <c r="A1272" t="s">
        <v>3357</v>
      </c>
      <c r="B1272" s="1">
        <v>42875</v>
      </c>
      <c r="C1272" s="1">
        <v>42879</v>
      </c>
      <c r="D1272" t="s">
        <v>37</v>
      </c>
      <c r="E1272" t="s">
        <v>873</v>
      </c>
      <c r="F1272" t="s">
        <v>874</v>
      </c>
      <c r="G1272" t="s">
        <v>94</v>
      </c>
      <c r="H1272" t="s">
        <v>24</v>
      </c>
      <c r="I1272" t="s">
        <v>2051</v>
      </c>
      <c r="J1272" t="s">
        <v>50</v>
      </c>
      <c r="K1272" t="s">
        <v>51</v>
      </c>
      <c r="L1272" t="s">
        <v>968</v>
      </c>
      <c r="M1272" t="s">
        <v>29</v>
      </c>
      <c r="N1272" t="s">
        <v>53</v>
      </c>
      <c r="O1272" t="s">
        <v>969</v>
      </c>
      <c r="P1272">
        <v>6.98</v>
      </c>
      <c r="Q1272">
        <v>1</v>
      </c>
      <c r="R1272">
        <v>3.3504</v>
      </c>
      <c r="S1272" t="s">
        <v>153</v>
      </c>
    </row>
    <row r="1273" spans="1:19" x14ac:dyDescent="0.35">
      <c r="A1273" t="s">
        <v>3358</v>
      </c>
      <c r="B1273" s="1">
        <v>42614</v>
      </c>
      <c r="C1273" s="1">
        <v>42620</v>
      </c>
      <c r="D1273" t="s">
        <v>37</v>
      </c>
      <c r="E1273" t="s">
        <v>1109</v>
      </c>
      <c r="F1273" t="s">
        <v>1110</v>
      </c>
      <c r="G1273" t="s">
        <v>23</v>
      </c>
      <c r="H1273" t="s">
        <v>24</v>
      </c>
      <c r="I1273" t="s">
        <v>165</v>
      </c>
      <c r="J1273" t="s">
        <v>114</v>
      </c>
      <c r="K1273" t="s">
        <v>63</v>
      </c>
      <c r="L1273" t="s">
        <v>542</v>
      </c>
      <c r="M1273" t="s">
        <v>29</v>
      </c>
      <c r="N1273" t="s">
        <v>53</v>
      </c>
      <c r="O1273" t="s">
        <v>543</v>
      </c>
      <c r="P1273">
        <v>191.82</v>
      </c>
      <c r="Q1273">
        <v>3</v>
      </c>
      <c r="R1273">
        <v>61.382399999999997</v>
      </c>
      <c r="S1273" t="s">
        <v>72</v>
      </c>
    </row>
    <row r="1274" spans="1:19" x14ac:dyDescent="0.35">
      <c r="A1274" t="s">
        <v>3359</v>
      </c>
      <c r="B1274" s="1">
        <v>41688</v>
      </c>
      <c r="C1274" s="1">
        <v>41688</v>
      </c>
      <c r="D1274" t="s">
        <v>417</v>
      </c>
      <c r="E1274" t="s">
        <v>489</v>
      </c>
      <c r="F1274" t="s">
        <v>490</v>
      </c>
      <c r="G1274" t="s">
        <v>23</v>
      </c>
      <c r="H1274" t="s">
        <v>24</v>
      </c>
      <c r="I1274" t="s">
        <v>3360</v>
      </c>
      <c r="J1274" t="s">
        <v>86</v>
      </c>
      <c r="K1274" t="s">
        <v>87</v>
      </c>
      <c r="L1274" t="s">
        <v>2605</v>
      </c>
      <c r="M1274" t="s">
        <v>29</v>
      </c>
      <c r="N1274" t="s">
        <v>53</v>
      </c>
      <c r="O1274" t="s">
        <v>2606</v>
      </c>
      <c r="P1274">
        <v>25.16</v>
      </c>
      <c r="Q1274">
        <v>5</v>
      </c>
      <c r="R1274">
        <v>-11.321999999999999</v>
      </c>
      <c r="S1274" t="s">
        <v>289</v>
      </c>
    </row>
    <row r="1275" spans="1:19" x14ac:dyDescent="0.35">
      <c r="A1275" t="s">
        <v>3361</v>
      </c>
      <c r="B1275" s="1">
        <v>42352</v>
      </c>
      <c r="C1275" s="1">
        <v>42356</v>
      </c>
      <c r="D1275" t="s">
        <v>37</v>
      </c>
      <c r="E1275" t="s">
        <v>1037</v>
      </c>
      <c r="F1275" t="s">
        <v>1038</v>
      </c>
      <c r="G1275" t="s">
        <v>23</v>
      </c>
      <c r="H1275" t="s">
        <v>24</v>
      </c>
      <c r="I1275" t="s">
        <v>541</v>
      </c>
      <c r="J1275" t="s">
        <v>50</v>
      </c>
      <c r="K1275" t="s">
        <v>51</v>
      </c>
      <c r="L1275" t="s">
        <v>307</v>
      </c>
      <c r="M1275" t="s">
        <v>29</v>
      </c>
      <c r="N1275" t="s">
        <v>53</v>
      </c>
      <c r="O1275" t="s">
        <v>308</v>
      </c>
      <c r="P1275">
        <v>29.22</v>
      </c>
      <c r="Q1275">
        <v>3</v>
      </c>
      <c r="R1275">
        <v>12.8568</v>
      </c>
      <c r="S1275" t="s">
        <v>90</v>
      </c>
    </row>
    <row r="1276" spans="1:19" x14ac:dyDescent="0.35">
      <c r="A1276" t="s">
        <v>3362</v>
      </c>
      <c r="B1276" s="1">
        <v>42998</v>
      </c>
      <c r="C1276" s="1">
        <v>43004</v>
      </c>
      <c r="D1276" t="s">
        <v>37</v>
      </c>
      <c r="E1276" t="s">
        <v>730</v>
      </c>
      <c r="F1276" t="s">
        <v>731</v>
      </c>
      <c r="G1276" t="s">
        <v>23</v>
      </c>
      <c r="H1276" t="s">
        <v>24</v>
      </c>
      <c r="I1276" t="s">
        <v>165</v>
      </c>
      <c r="J1276" t="s">
        <v>114</v>
      </c>
      <c r="K1276" t="s">
        <v>63</v>
      </c>
      <c r="L1276" t="s">
        <v>1177</v>
      </c>
      <c r="M1276" t="s">
        <v>29</v>
      </c>
      <c r="N1276" t="s">
        <v>34</v>
      </c>
      <c r="O1276" t="s">
        <v>1178</v>
      </c>
      <c r="P1276">
        <v>272.64600000000002</v>
      </c>
      <c r="Q1276">
        <v>3</v>
      </c>
      <c r="R1276">
        <v>18.176400000000001</v>
      </c>
      <c r="S1276" t="s">
        <v>72</v>
      </c>
    </row>
    <row r="1277" spans="1:19" x14ac:dyDescent="0.35">
      <c r="A1277" t="s">
        <v>3362</v>
      </c>
      <c r="B1277" s="1">
        <v>42998</v>
      </c>
      <c r="C1277" s="1">
        <v>43004</v>
      </c>
      <c r="D1277" t="s">
        <v>37</v>
      </c>
      <c r="E1277" t="s">
        <v>730</v>
      </c>
      <c r="F1277" t="s">
        <v>731</v>
      </c>
      <c r="G1277" t="s">
        <v>23</v>
      </c>
      <c r="H1277" t="s">
        <v>24</v>
      </c>
      <c r="I1277" t="s">
        <v>165</v>
      </c>
      <c r="J1277" t="s">
        <v>114</v>
      </c>
      <c r="K1277" t="s">
        <v>63</v>
      </c>
      <c r="L1277" t="s">
        <v>108</v>
      </c>
      <c r="M1277" t="s">
        <v>29</v>
      </c>
      <c r="N1277" t="s">
        <v>34</v>
      </c>
      <c r="O1277" t="s">
        <v>109</v>
      </c>
      <c r="P1277">
        <v>80.991</v>
      </c>
      <c r="Q1277">
        <v>1</v>
      </c>
      <c r="R1277">
        <v>8.0991</v>
      </c>
      <c r="S1277" t="s">
        <v>72</v>
      </c>
    </row>
    <row r="1278" spans="1:19" x14ac:dyDescent="0.35">
      <c r="A1278" t="s">
        <v>3362</v>
      </c>
      <c r="B1278" s="1">
        <v>42998</v>
      </c>
      <c r="C1278" s="1">
        <v>43004</v>
      </c>
      <c r="D1278" t="s">
        <v>37</v>
      </c>
      <c r="E1278" t="s">
        <v>730</v>
      </c>
      <c r="F1278" t="s">
        <v>731</v>
      </c>
      <c r="G1278" t="s">
        <v>23</v>
      </c>
      <c r="H1278" t="s">
        <v>24</v>
      </c>
      <c r="I1278" t="s">
        <v>165</v>
      </c>
      <c r="J1278" t="s">
        <v>114</v>
      </c>
      <c r="K1278" t="s">
        <v>63</v>
      </c>
      <c r="L1278" t="s">
        <v>373</v>
      </c>
      <c r="M1278" t="s">
        <v>29</v>
      </c>
      <c r="N1278" t="s">
        <v>34</v>
      </c>
      <c r="O1278" t="s">
        <v>374</v>
      </c>
      <c r="P1278">
        <v>2888.127</v>
      </c>
      <c r="Q1278">
        <v>11</v>
      </c>
      <c r="R1278">
        <v>609.71569999999997</v>
      </c>
      <c r="S1278" t="s">
        <v>72</v>
      </c>
    </row>
    <row r="1279" spans="1:19" x14ac:dyDescent="0.35">
      <c r="A1279" t="s">
        <v>3362</v>
      </c>
      <c r="B1279" s="1">
        <v>42998</v>
      </c>
      <c r="C1279" s="1">
        <v>43004</v>
      </c>
      <c r="D1279" t="s">
        <v>37</v>
      </c>
      <c r="E1279" t="s">
        <v>730</v>
      </c>
      <c r="F1279" t="s">
        <v>731</v>
      </c>
      <c r="G1279" t="s">
        <v>23</v>
      </c>
      <c r="H1279" t="s">
        <v>24</v>
      </c>
      <c r="I1279" t="s">
        <v>165</v>
      </c>
      <c r="J1279" t="s">
        <v>114</v>
      </c>
      <c r="K1279" t="s">
        <v>63</v>
      </c>
      <c r="L1279" t="s">
        <v>550</v>
      </c>
      <c r="M1279" t="s">
        <v>29</v>
      </c>
      <c r="N1279" t="s">
        <v>34</v>
      </c>
      <c r="O1279" t="s">
        <v>551</v>
      </c>
      <c r="P1279">
        <v>2254.41</v>
      </c>
      <c r="Q1279">
        <v>5</v>
      </c>
      <c r="R1279">
        <v>375.73500000000001</v>
      </c>
      <c r="S1279" t="s">
        <v>72</v>
      </c>
    </row>
    <row r="1280" spans="1:19" x14ac:dyDescent="0.35">
      <c r="A1280" t="s">
        <v>3363</v>
      </c>
      <c r="B1280" s="1">
        <v>42969</v>
      </c>
      <c r="C1280" s="1">
        <v>42971</v>
      </c>
      <c r="D1280" t="s">
        <v>81</v>
      </c>
      <c r="E1280" t="s">
        <v>2422</v>
      </c>
      <c r="F1280" t="s">
        <v>2423</v>
      </c>
      <c r="G1280" t="s">
        <v>94</v>
      </c>
      <c r="H1280" t="s">
        <v>24</v>
      </c>
      <c r="I1280" t="s">
        <v>61</v>
      </c>
      <c r="J1280" t="s">
        <v>62</v>
      </c>
      <c r="K1280" t="s">
        <v>63</v>
      </c>
      <c r="L1280" t="s">
        <v>906</v>
      </c>
      <c r="M1280" t="s">
        <v>29</v>
      </c>
      <c r="N1280" t="s">
        <v>43</v>
      </c>
      <c r="O1280" t="s">
        <v>907</v>
      </c>
      <c r="P1280">
        <v>314.53199999999998</v>
      </c>
      <c r="Q1280">
        <v>2</v>
      </c>
      <c r="R1280">
        <v>-83.875200000000007</v>
      </c>
      <c r="S1280" t="s">
        <v>245</v>
      </c>
    </row>
    <row r="1281" spans="1:19" x14ac:dyDescent="0.35">
      <c r="A1281" t="s">
        <v>3364</v>
      </c>
      <c r="B1281" s="1">
        <v>42686</v>
      </c>
      <c r="C1281" s="1">
        <v>42690</v>
      </c>
      <c r="D1281" t="s">
        <v>37</v>
      </c>
      <c r="E1281" t="s">
        <v>3365</v>
      </c>
      <c r="F1281" t="s">
        <v>3366</v>
      </c>
      <c r="G1281" t="s">
        <v>23</v>
      </c>
      <c r="H1281" t="s">
        <v>24</v>
      </c>
      <c r="I1281" t="s">
        <v>2975</v>
      </c>
      <c r="J1281" t="s">
        <v>223</v>
      </c>
      <c r="K1281" t="s">
        <v>63</v>
      </c>
      <c r="L1281" t="s">
        <v>2325</v>
      </c>
      <c r="M1281" t="s">
        <v>29</v>
      </c>
      <c r="N1281" t="s">
        <v>34</v>
      </c>
      <c r="O1281" t="s">
        <v>2326</v>
      </c>
      <c r="P1281">
        <v>1474.8019999999999</v>
      </c>
      <c r="Q1281">
        <v>7</v>
      </c>
      <c r="R1281">
        <v>-21.0686</v>
      </c>
      <c r="S1281" t="s">
        <v>32</v>
      </c>
    </row>
    <row r="1282" spans="1:19" x14ac:dyDescent="0.35">
      <c r="A1282" t="s">
        <v>3364</v>
      </c>
      <c r="B1282" s="1">
        <v>42686</v>
      </c>
      <c r="C1282" s="1">
        <v>42690</v>
      </c>
      <c r="D1282" t="s">
        <v>37</v>
      </c>
      <c r="E1282" t="s">
        <v>3365</v>
      </c>
      <c r="F1282" t="s">
        <v>3366</v>
      </c>
      <c r="G1282" t="s">
        <v>23</v>
      </c>
      <c r="H1282" t="s">
        <v>24</v>
      </c>
      <c r="I1282" t="s">
        <v>2975</v>
      </c>
      <c r="J1282" t="s">
        <v>223</v>
      </c>
      <c r="K1282" t="s">
        <v>63</v>
      </c>
      <c r="L1282" t="s">
        <v>33</v>
      </c>
      <c r="M1282" t="s">
        <v>29</v>
      </c>
      <c r="N1282" t="s">
        <v>34</v>
      </c>
      <c r="O1282" t="s">
        <v>35</v>
      </c>
      <c r="P1282">
        <v>1537.0740000000001</v>
      </c>
      <c r="Q1282">
        <v>9</v>
      </c>
      <c r="R1282">
        <v>0</v>
      </c>
      <c r="S1282" t="s">
        <v>32</v>
      </c>
    </row>
    <row r="1283" spans="1:19" x14ac:dyDescent="0.35">
      <c r="A1283" t="s">
        <v>3364</v>
      </c>
      <c r="B1283" s="1">
        <v>42686</v>
      </c>
      <c r="C1283" s="1">
        <v>42690</v>
      </c>
      <c r="D1283" t="s">
        <v>37</v>
      </c>
      <c r="E1283" t="s">
        <v>3365</v>
      </c>
      <c r="F1283" t="s">
        <v>3366</v>
      </c>
      <c r="G1283" t="s">
        <v>23</v>
      </c>
      <c r="H1283" t="s">
        <v>24</v>
      </c>
      <c r="I1283" t="s">
        <v>2975</v>
      </c>
      <c r="J1283" t="s">
        <v>223</v>
      </c>
      <c r="K1283" t="s">
        <v>63</v>
      </c>
      <c r="L1283" t="s">
        <v>786</v>
      </c>
      <c r="M1283" t="s">
        <v>29</v>
      </c>
      <c r="N1283" t="s">
        <v>34</v>
      </c>
      <c r="O1283" t="s">
        <v>787</v>
      </c>
      <c r="P1283">
        <v>449.37200000000001</v>
      </c>
      <c r="Q1283">
        <v>2</v>
      </c>
      <c r="R1283">
        <v>-12.8392</v>
      </c>
      <c r="S1283" t="s">
        <v>32</v>
      </c>
    </row>
    <row r="1284" spans="1:19" x14ac:dyDescent="0.35">
      <c r="A1284" t="s">
        <v>3367</v>
      </c>
      <c r="B1284" s="1">
        <v>42997</v>
      </c>
      <c r="C1284" s="1">
        <v>43003</v>
      </c>
      <c r="D1284" t="s">
        <v>37</v>
      </c>
      <c r="E1284" t="s">
        <v>3368</v>
      </c>
      <c r="F1284" t="s">
        <v>3369</v>
      </c>
      <c r="G1284" t="s">
        <v>84</v>
      </c>
      <c r="H1284" t="s">
        <v>24</v>
      </c>
      <c r="I1284" t="s">
        <v>869</v>
      </c>
      <c r="J1284" t="s">
        <v>1508</v>
      </c>
      <c r="K1284" t="s">
        <v>51</v>
      </c>
      <c r="L1284" t="s">
        <v>542</v>
      </c>
      <c r="M1284" t="s">
        <v>29</v>
      </c>
      <c r="N1284" t="s">
        <v>53</v>
      </c>
      <c r="O1284" t="s">
        <v>543</v>
      </c>
      <c r="P1284">
        <v>409.21600000000001</v>
      </c>
      <c r="Q1284">
        <v>8</v>
      </c>
      <c r="R1284">
        <v>61.382399999999997</v>
      </c>
      <c r="S1284" t="s">
        <v>72</v>
      </c>
    </row>
    <row r="1285" spans="1:19" x14ac:dyDescent="0.35">
      <c r="A1285" t="s">
        <v>3367</v>
      </c>
      <c r="B1285" s="1">
        <v>42997</v>
      </c>
      <c r="C1285" s="1">
        <v>43003</v>
      </c>
      <c r="D1285" t="s">
        <v>37</v>
      </c>
      <c r="E1285" t="s">
        <v>3368</v>
      </c>
      <c r="F1285" t="s">
        <v>3369</v>
      </c>
      <c r="G1285" t="s">
        <v>84</v>
      </c>
      <c r="H1285" t="s">
        <v>24</v>
      </c>
      <c r="I1285" t="s">
        <v>869</v>
      </c>
      <c r="J1285" t="s">
        <v>1508</v>
      </c>
      <c r="K1285" t="s">
        <v>51</v>
      </c>
      <c r="L1285" t="s">
        <v>447</v>
      </c>
      <c r="M1285" t="s">
        <v>29</v>
      </c>
      <c r="N1285" t="s">
        <v>30</v>
      </c>
      <c r="O1285" t="s">
        <v>448</v>
      </c>
      <c r="P1285">
        <v>72.587999999999994</v>
      </c>
      <c r="Q1285">
        <v>2</v>
      </c>
      <c r="R1285">
        <v>-128.2388</v>
      </c>
      <c r="S1285" t="s">
        <v>72</v>
      </c>
    </row>
    <row r="1286" spans="1:19" x14ac:dyDescent="0.35">
      <c r="A1286" t="s">
        <v>3370</v>
      </c>
      <c r="B1286" s="1">
        <v>42460</v>
      </c>
      <c r="C1286" s="1">
        <v>42466</v>
      </c>
      <c r="D1286" t="s">
        <v>37</v>
      </c>
      <c r="E1286" t="s">
        <v>1838</v>
      </c>
      <c r="F1286" t="s">
        <v>1839</v>
      </c>
      <c r="G1286" t="s">
        <v>23</v>
      </c>
      <c r="H1286" t="s">
        <v>24</v>
      </c>
      <c r="I1286" t="s">
        <v>165</v>
      </c>
      <c r="J1286" t="s">
        <v>114</v>
      </c>
      <c r="K1286" t="s">
        <v>63</v>
      </c>
      <c r="L1286" t="s">
        <v>243</v>
      </c>
      <c r="M1286" t="s">
        <v>29</v>
      </c>
      <c r="N1286" t="s">
        <v>34</v>
      </c>
      <c r="O1286" t="s">
        <v>244</v>
      </c>
      <c r="P1286">
        <v>327.99599999999998</v>
      </c>
      <c r="Q1286">
        <v>6</v>
      </c>
      <c r="R1286">
        <v>54.665999999999997</v>
      </c>
      <c r="S1286" t="s">
        <v>187</v>
      </c>
    </row>
    <row r="1287" spans="1:19" x14ac:dyDescent="0.35">
      <c r="A1287" t="s">
        <v>3371</v>
      </c>
      <c r="B1287" s="1">
        <v>42000</v>
      </c>
      <c r="C1287" s="1">
        <v>42004</v>
      </c>
      <c r="D1287" t="s">
        <v>37</v>
      </c>
      <c r="E1287" t="s">
        <v>3372</v>
      </c>
      <c r="F1287" t="s">
        <v>3373</v>
      </c>
      <c r="G1287" t="s">
        <v>94</v>
      </c>
      <c r="H1287" t="s">
        <v>24</v>
      </c>
      <c r="I1287" t="s">
        <v>165</v>
      </c>
      <c r="J1287" t="s">
        <v>114</v>
      </c>
      <c r="K1287" t="s">
        <v>63</v>
      </c>
      <c r="L1287" t="s">
        <v>290</v>
      </c>
      <c r="M1287" t="s">
        <v>29</v>
      </c>
      <c r="N1287" t="s">
        <v>34</v>
      </c>
      <c r="O1287" t="s">
        <v>291</v>
      </c>
      <c r="P1287">
        <v>767.21400000000006</v>
      </c>
      <c r="Q1287">
        <v>14</v>
      </c>
      <c r="R1287">
        <v>161.9674</v>
      </c>
      <c r="S1287" t="s">
        <v>90</v>
      </c>
    </row>
    <row r="1288" spans="1:19" x14ac:dyDescent="0.35">
      <c r="A1288" t="s">
        <v>3374</v>
      </c>
      <c r="B1288" s="1">
        <v>42598</v>
      </c>
      <c r="C1288" s="1">
        <v>42601</v>
      </c>
      <c r="D1288" t="s">
        <v>81</v>
      </c>
      <c r="E1288" t="s">
        <v>3375</v>
      </c>
      <c r="F1288" t="s">
        <v>3376</v>
      </c>
      <c r="G1288" t="s">
        <v>84</v>
      </c>
      <c r="H1288" t="s">
        <v>24</v>
      </c>
      <c r="I1288" t="s">
        <v>49</v>
      </c>
      <c r="J1288" t="s">
        <v>50</v>
      </c>
      <c r="K1288" t="s">
        <v>51</v>
      </c>
      <c r="L1288" t="s">
        <v>2397</v>
      </c>
      <c r="M1288" t="s">
        <v>29</v>
      </c>
      <c r="N1288" t="s">
        <v>43</v>
      </c>
      <c r="O1288" t="s">
        <v>2398</v>
      </c>
      <c r="P1288">
        <v>161.28</v>
      </c>
      <c r="Q1288">
        <v>2</v>
      </c>
      <c r="R1288">
        <v>12.096</v>
      </c>
      <c r="S1288" t="s">
        <v>245</v>
      </c>
    </row>
    <row r="1289" spans="1:19" x14ac:dyDescent="0.35">
      <c r="A1289" t="s">
        <v>3377</v>
      </c>
      <c r="B1289" s="1">
        <v>41728</v>
      </c>
      <c r="C1289" s="1">
        <v>41733</v>
      </c>
      <c r="D1289" t="s">
        <v>37</v>
      </c>
      <c r="E1289" t="s">
        <v>858</v>
      </c>
      <c r="F1289" t="s">
        <v>859</v>
      </c>
      <c r="G1289" t="s">
        <v>23</v>
      </c>
      <c r="H1289" t="s">
        <v>24</v>
      </c>
      <c r="I1289" t="s">
        <v>320</v>
      </c>
      <c r="J1289" t="s">
        <v>50</v>
      </c>
      <c r="K1289" t="s">
        <v>51</v>
      </c>
      <c r="L1289" t="s">
        <v>533</v>
      </c>
      <c r="M1289" t="s">
        <v>29</v>
      </c>
      <c r="N1289" t="s">
        <v>30</v>
      </c>
      <c r="O1289" t="s">
        <v>534</v>
      </c>
      <c r="P1289">
        <v>205.666</v>
      </c>
      <c r="Q1289">
        <v>2</v>
      </c>
      <c r="R1289">
        <v>-12.098000000000001</v>
      </c>
      <c r="S1289" t="s">
        <v>187</v>
      </c>
    </row>
    <row r="1290" spans="1:19" x14ac:dyDescent="0.35">
      <c r="A1290" t="s">
        <v>3378</v>
      </c>
      <c r="B1290" s="1">
        <v>43097</v>
      </c>
      <c r="C1290" s="1">
        <v>43100</v>
      </c>
      <c r="D1290" t="s">
        <v>81</v>
      </c>
      <c r="E1290" t="s">
        <v>2299</v>
      </c>
      <c r="F1290" t="s">
        <v>2300</v>
      </c>
      <c r="G1290" t="s">
        <v>84</v>
      </c>
      <c r="H1290" t="s">
        <v>24</v>
      </c>
      <c r="I1290" t="s">
        <v>721</v>
      </c>
      <c r="J1290" t="s">
        <v>50</v>
      </c>
      <c r="K1290" t="s">
        <v>51</v>
      </c>
      <c r="L1290" t="s">
        <v>115</v>
      </c>
      <c r="M1290" t="s">
        <v>29</v>
      </c>
      <c r="N1290" t="s">
        <v>34</v>
      </c>
      <c r="O1290" t="s">
        <v>116</v>
      </c>
      <c r="P1290">
        <v>340.70400000000001</v>
      </c>
      <c r="Q1290">
        <v>6</v>
      </c>
      <c r="R1290">
        <v>-34.070399999999999</v>
      </c>
      <c r="S1290" t="s">
        <v>90</v>
      </c>
    </row>
    <row r="1291" spans="1:19" x14ac:dyDescent="0.35">
      <c r="A1291" t="s">
        <v>3379</v>
      </c>
      <c r="B1291" s="1">
        <v>42468</v>
      </c>
      <c r="C1291" s="1">
        <v>42471</v>
      </c>
      <c r="D1291" t="s">
        <v>81</v>
      </c>
      <c r="E1291" t="s">
        <v>1480</v>
      </c>
      <c r="F1291" t="s">
        <v>1481</v>
      </c>
      <c r="G1291" t="s">
        <v>23</v>
      </c>
      <c r="H1291" t="s">
        <v>24</v>
      </c>
      <c r="I1291" t="s">
        <v>339</v>
      </c>
      <c r="J1291" t="s">
        <v>658</v>
      </c>
      <c r="K1291" t="s">
        <v>27</v>
      </c>
      <c r="L1291" t="s">
        <v>2470</v>
      </c>
      <c r="M1291" t="s">
        <v>29</v>
      </c>
      <c r="N1291" t="s">
        <v>30</v>
      </c>
      <c r="O1291" t="s">
        <v>2471</v>
      </c>
      <c r="P1291">
        <v>354.9</v>
      </c>
      <c r="Q1291">
        <v>5</v>
      </c>
      <c r="R1291">
        <v>88.724999999999994</v>
      </c>
      <c r="S1291" t="s">
        <v>107</v>
      </c>
    </row>
    <row r="1292" spans="1:19" x14ac:dyDescent="0.35">
      <c r="A1292" t="s">
        <v>3380</v>
      </c>
      <c r="B1292" s="1">
        <v>41716</v>
      </c>
      <c r="C1292" s="1">
        <v>41719</v>
      </c>
      <c r="D1292" t="s">
        <v>20</v>
      </c>
      <c r="E1292" t="s">
        <v>3381</v>
      </c>
      <c r="F1292" t="s">
        <v>3382</v>
      </c>
      <c r="G1292" t="s">
        <v>94</v>
      </c>
      <c r="H1292" t="s">
        <v>24</v>
      </c>
      <c r="I1292" t="s">
        <v>320</v>
      </c>
      <c r="J1292" t="s">
        <v>50</v>
      </c>
      <c r="K1292" t="s">
        <v>51</v>
      </c>
      <c r="L1292" t="s">
        <v>2613</v>
      </c>
      <c r="M1292" t="s">
        <v>29</v>
      </c>
      <c r="N1292" t="s">
        <v>30</v>
      </c>
      <c r="O1292" t="s">
        <v>2614</v>
      </c>
      <c r="P1292">
        <v>1198.33</v>
      </c>
      <c r="Q1292">
        <v>10</v>
      </c>
      <c r="R1292">
        <v>70.489999999999995</v>
      </c>
      <c r="S1292" t="s">
        <v>187</v>
      </c>
    </row>
    <row r="1293" spans="1:19" x14ac:dyDescent="0.35">
      <c r="A1293" t="s">
        <v>3383</v>
      </c>
      <c r="B1293" s="1">
        <v>42845</v>
      </c>
      <c r="C1293" s="1">
        <v>42848</v>
      </c>
      <c r="D1293" t="s">
        <v>81</v>
      </c>
      <c r="E1293" t="s">
        <v>176</v>
      </c>
      <c r="F1293" t="s">
        <v>177</v>
      </c>
      <c r="G1293" t="s">
        <v>84</v>
      </c>
      <c r="H1293" t="s">
        <v>24</v>
      </c>
      <c r="I1293" t="s">
        <v>61</v>
      </c>
      <c r="J1293" t="s">
        <v>62</v>
      </c>
      <c r="K1293" t="s">
        <v>63</v>
      </c>
      <c r="L1293" t="s">
        <v>2046</v>
      </c>
      <c r="M1293" t="s">
        <v>29</v>
      </c>
      <c r="N1293" t="s">
        <v>53</v>
      </c>
      <c r="O1293" t="s">
        <v>2047</v>
      </c>
      <c r="P1293">
        <v>51.968000000000004</v>
      </c>
      <c r="Q1293">
        <v>2</v>
      </c>
      <c r="R1293">
        <v>10.393599999999999</v>
      </c>
      <c r="S1293" t="s">
        <v>107</v>
      </c>
    </row>
    <row r="1294" spans="1:19" x14ac:dyDescent="0.35">
      <c r="A1294" t="s">
        <v>3383</v>
      </c>
      <c r="B1294" s="1">
        <v>42845</v>
      </c>
      <c r="C1294" s="1">
        <v>42848</v>
      </c>
      <c r="D1294" t="s">
        <v>81</v>
      </c>
      <c r="E1294" t="s">
        <v>176</v>
      </c>
      <c r="F1294" t="s">
        <v>177</v>
      </c>
      <c r="G1294" t="s">
        <v>84</v>
      </c>
      <c r="H1294" t="s">
        <v>24</v>
      </c>
      <c r="I1294" t="s">
        <v>61</v>
      </c>
      <c r="J1294" t="s">
        <v>62</v>
      </c>
      <c r="K1294" t="s">
        <v>63</v>
      </c>
      <c r="L1294" t="s">
        <v>1980</v>
      </c>
      <c r="M1294" t="s">
        <v>29</v>
      </c>
      <c r="N1294" t="s">
        <v>53</v>
      </c>
      <c r="O1294" t="s">
        <v>1981</v>
      </c>
      <c r="P1294">
        <v>42.408000000000001</v>
      </c>
      <c r="Q1294">
        <v>3</v>
      </c>
      <c r="R1294">
        <v>9.5418000000000003</v>
      </c>
      <c r="S1294" t="s">
        <v>107</v>
      </c>
    </row>
    <row r="1295" spans="1:19" x14ac:dyDescent="0.35">
      <c r="A1295" t="s">
        <v>3384</v>
      </c>
      <c r="B1295" s="1">
        <v>41717</v>
      </c>
      <c r="C1295" s="1">
        <v>41719</v>
      </c>
      <c r="D1295" t="s">
        <v>81</v>
      </c>
      <c r="E1295" t="s">
        <v>560</v>
      </c>
      <c r="F1295" t="s">
        <v>561</v>
      </c>
      <c r="G1295" t="s">
        <v>84</v>
      </c>
      <c r="H1295" t="s">
        <v>24</v>
      </c>
      <c r="I1295" t="s">
        <v>565</v>
      </c>
      <c r="J1295" t="s">
        <v>41</v>
      </c>
      <c r="K1295" t="s">
        <v>27</v>
      </c>
      <c r="L1295" t="s">
        <v>1352</v>
      </c>
      <c r="M1295" t="s">
        <v>29</v>
      </c>
      <c r="N1295" t="s">
        <v>53</v>
      </c>
      <c r="O1295" t="s">
        <v>415</v>
      </c>
      <c r="P1295">
        <v>4.992</v>
      </c>
      <c r="Q1295">
        <v>3</v>
      </c>
      <c r="R1295">
        <v>1.3728</v>
      </c>
      <c r="S1295" t="s">
        <v>187</v>
      </c>
    </row>
    <row r="1296" spans="1:19" x14ac:dyDescent="0.35">
      <c r="A1296" t="s">
        <v>3384</v>
      </c>
      <c r="B1296" s="1">
        <v>41717</v>
      </c>
      <c r="C1296" s="1">
        <v>41719</v>
      </c>
      <c r="D1296" t="s">
        <v>81</v>
      </c>
      <c r="E1296" t="s">
        <v>560</v>
      </c>
      <c r="F1296" t="s">
        <v>561</v>
      </c>
      <c r="G1296" t="s">
        <v>84</v>
      </c>
      <c r="H1296" t="s">
        <v>24</v>
      </c>
      <c r="I1296" t="s">
        <v>565</v>
      </c>
      <c r="J1296" t="s">
        <v>41</v>
      </c>
      <c r="K1296" t="s">
        <v>27</v>
      </c>
      <c r="L1296" t="s">
        <v>2880</v>
      </c>
      <c r="M1296" t="s">
        <v>29</v>
      </c>
      <c r="N1296" t="s">
        <v>53</v>
      </c>
      <c r="O1296" t="s">
        <v>2881</v>
      </c>
      <c r="P1296">
        <v>20.015999999999998</v>
      </c>
      <c r="Q1296">
        <v>3</v>
      </c>
      <c r="R1296">
        <v>5.5044000000000004</v>
      </c>
      <c r="S1296" t="s">
        <v>187</v>
      </c>
    </row>
    <row r="1297" spans="1:19" x14ac:dyDescent="0.35">
      <c r="A1297" t="s">
        <v>3385</v>
      </c>
      <c r="B1297" s="1">
        <v>42268</v>
      </c>
      <c r="C1297" s="1">
        <v>42273</v>
      </c>
      <c r="D1297" t="s">
        <v>37</v>
      </c>
      <c r="E1297" t="s">
        <v>2214</v>
      </c>
      <c r="F1297" t="s">
        <v>2215</v>
      </c>
      <c r="G1297" t="s">
        <v>23</v>
      </c>
      <c r="H1297" t="s">
        <v>24</v>
      </c>
      <c r="I1297" t="s">
        <v>149</v>
      </c>
      <c r="J1297" t="s">
        <v>150</v>
      </c>
      <c r="K1297" t="s">
        <v>27</v>
      </c>
      <c r="L1297" t="s">
        <v>972</v>
      </c>
      <c r="M1297" t="s">
        <v>29</v>
      </c>
      <c r="N1297" t="s">
        <v>34</v>
      </c>
      <c r="O1297" t="s">
        <v>973</v>
      </c>
      <c r="P1297">
        <v>1690.04</v>
      </c>
      <c r="Q1297">
        <v>4</v>
      </c>
      <c r="R1297">
        <v>422.51</v>
      </c>
      <c r="S1297" t="s">
        <v>72</v>
      </c>
    </row>
    <row r="1298" spans="1:19" x14ac:dyDescent="0.35">
      <c r="A1298" t="s">
        <v>3386</v>
      </c>
      <c r="B1298" s="1">
        <v>42715</v>
      </c>
      <c r="C1298" s="1">
        <v>42717</v>
      </c>
      <c r="D1298" t="s">
        <v>81</v>
      </c>
      <c r="E1298" t="s">
        <v>3387</v>
      </c>
      <c r="F1298" t="s">
        <v>3388</v>
      </c>
      <c r="G1298" t="s">
        <v>94</v>
      </c>
      <c r="H1298" t="s">
        <v>24</v>
      </c>
      <c r="I1298" t="s">
        <v>3389</v>
      </c>
      <c r="J1298" t="s">
        <v>1508</v>
      </c>
      <c r="K1298" t="s">
        <v>51</v>
      </c>
      <c r="L1298" t="s">
        <v>98</v>
      </c>
      <c r="M1298" t="s">
        <v>29</v>
      </c>
      <c r="N1298" t="s">
        <v>34</v>
      </c>
      <c r="O1298" t="s">
        <v>99</v>
      </c>
      <c r="P1298">
        <v>403.92</v>
      </c>
      <c r="Q1298">
        <v>5</v>
      </c>
      <c r="R1298">
        <v>25.245000000000001</v>
      </c>
      <c r="S1298" t="s">
        <v>90</v>
      </c>
    </row>
    <row r="1299" spans="1:19" x14ac:dyDescent="0.35">
      <c r="A1299" t="s">
        <v>3390</v>
      </c>
      <c r="B1299" s="1">
        <v>42728</v>
      </c>
      <c r="C1299" s="1">
        <v>42732</v>
      </c>
      <c r="D1299" t="s">
        <v>37</v>
      </c>
      <c r="E1299" t="s">
        <v>1322</v>
      </c>
      <c r="F1299" t="s">
        <v>1323</v>
      </c>
      <c r="G1299" t="s">
        <v>23</v>
      </c>
      <c r="H1299" t="s">
        <v>24</v>
      </c>
      <c r="I1299" t="s">
        <v>165</v>
      </c>
      <c r="J1299" t="s">
        <v>114</v>
      </c>
      <c r="K1299" t="s">
        <v>63</v>
      </c>
      <c r="L1299" t="s">
        <v>3148</v>
      </c>
      <c r="M1299" t="s">
        <v>29</v>
      </c>
      <c r="N1299" t="s">
        <v>53</v>
      </c>
      <c r="O1299" t="s">
        <v>3149</v>
      </c>
      <c r="P1299">
        <v>799.56</v>
      </c>
      <c r="Q1299">
        <v>9</v>
      </c>
      <c r="R1299">
        <v>207.88560000000001</v>
      </c>
      <c r="S1299" t="s">
        <v>90</v>
      </c>
    </row>
    <row r="1300" spans="1:19" x14ac:dyDescent="0.35">
      <c r="A1300" t="s">
        <v>3391</v>
      </c>
      <c r="B1300" s="1">
        <v>42720</v>
      </c>
      <c r="C1300" s="1">
        <v>42727</v>
      </c>
      <c r="D1300" t="s">
        <v>37</v>
      </c>
      <c r="E1300" t="s">
        <v>482</v>
      </c>
      <c r="F1300" t="s">
        <v>483</v>
      </c>
      <c r="G1300" t="s">
        <v>23</v>
      </c>
      <c r="H1300" t="s">
        <v>24</v>
      </c>
      <c r="I1300" t="s">
        <v>3222</v>
      </c>
      <c r="J1300" t="s">
        <v>50</v>
      </c>
      <c r="K1300" t="s">
        <v>51</v>
      </c>
      <c r="L1300" t="s">
        <v>1132</v>
      </c>
      <c r="M1300" t="s">
        <v>29</v>
      </c>
      <c r="N1300" t="s">
        <v>34</v>
      </c>
      <c r="O1300" t="s">
        <v>1133</v>
      </c>
      <c r="P1300">
        <v>563.91999999999996</v>
      </c>
      <c r="Q1300">
        <v>5</v>
      </c>
      <c r="R1300">
        <v>7.0490000000000004</v>
      </c>
      <c r="S1300" t="s">
        <v>90</v>
      </c>
    </row>
    <row r="1301" spans="1:19" x14ac:dyDescent="0.35">
      <c r="A1301" t="s">
        <v>3392</v>
      </c>
      <c r="B1301" s="1">
        <v>43070</v>
      </c>
      <c r="C1301" s="1">
        <v>43072</v>
      </c>
      <c r="D1301" t="s">
        <v>81</v>
      </c>
      <c r="E1301" t="s">
        <v>2873</v>
      </c>
      <c r="F1301" t="s">
        <v>2874</v>
      </c>
      <c r="G1301" t="s">
        <v>94</v>
      </c>
      <c r="H1301" t="s">
        <v>24</v>
      </c>
      <c r="I1301" t="s">
        <v>1761</v>
      </c>
      <c r="J1301" t="s">
        <v>223</v>
      </c>
      <c r="K1301" t="s">
        <v>63</v>
      </c>
      <c r="L1301" t="s">
        <v>950</v>
      </c>
      <c r="M1301" t="s">
        <v>29</v>
      </c>
      <c r="N1301" t="s">
        <v>53</v>
      </c>
      <c r="O1301" t="s">
        <v>951</v>
      </c>
      <c r="P1301">
        <v>7.7119999999999997</v>
      </c>
      <c r="Q1301">
        <v>2</v>
      </c>
      <c r="R1301">
        <v>1.7352000000000001</v>
      </c>
      <c r="S1301" t="s">
        <v>90</v>
      </c>
    </row>
    <row r="1302" spans="1:19" x14ac:dyDescent="0.35">
      <c r="A1302" t="s">
        <v>3393</v>
      </c>
      <c r="B1302" s="1">
        <v>42663</v>
      </c>
      <c r="C1302" s="1">
        <v>42667</v>
      </c>
      <c r="D1302" t="s">
        <v>20</v>
      </c>
      <c r="E1302" t="s">
        <v>3394</v>
      </c>
      <c r="F1302" t="s">
        <v>3395</v>
      </c>
      <c r="G1302" t="s">
        <v>23</v>
      </c>
      <c r="H1302" t="s">
        <v>24</v>
      </c>
      <c r="I1302" t="s">
        <v>95</v>
      </c>
      <c r="J1302" t="s">
        <v>86</v>
      </c>
      <c r="K1302" t="s">
        <v>87</v>
      </c>
      <c r="L1302" t="s">
        <v>486</v>
      </c>
      <c r="M1302" t="s">
        <v>29</v>
      </c>
      <c r="N1302" t="s">
        <v>34</v>
      </c>
      <c r="O1302" t="s">
        <v>487</v>
      </c>
      <c r="P1302">
        <v>56.686</v>
      </c>
      <c r="Q1302">
        <v>1</v>
      </c>
      <c r="R1302">
        <v>-14.5764</v>
      </c>
      <c r="S1302" t="s">
        <v>45</v>
      </c>
    </row>
    <row r="1303" spans="1:19" x14ac:dyDescent="0.35">
      <c r="A1303" t="s">
        <v>3396</v>
      </c>
      <c r="B1303" s="1">
        <v>42965</v>
      </c>
      <c r="C1303" s="1">
        <v>42972</v>
      </c>
      <c r="D1303" t="s">
        <v>37</v>
      </c>
      <c r="E1303" t="s">
        <v>3397</v>
      </c>
      <c r="F1303" t="s">
        <v>3398</v>
      </c>
      <c r="G1303" t="s">
        <v>84</v>
      </c>
      <c r="H1303" t="s">
        <v>24</v>
      </c>
      <c r="I1303" t="s">
        <v>183</v>
      </c>
      <c r="J1303" t="s">
        <v>184</v>
      </c>
      <c r="K1303" t="s">
        <v>51</v>
      </c>
      <c r="L1303" t="s">
        <v>621</v>
      </c>
      <c r="M1303" t="s">
        <v>29</v>
      </c>
      <c r="N1303" t="s">
        <v>53</v>
      </c>
      <c r="O1303" t="s">
        <v>622</v>
      </c>
      <c r="P1303">
        <v>65.94</v>
      </c>
      <c r="Q1303">
        <v>3</v>
      </c>
      <c r="R1303">
        <v>22.419599999999999</v>
      </c>
      <c r="S1303" t="s">
        <v>245</v>
      </c>
    </row>
    <row r="1304" spans="1:19" x14ac:dyDescent="0.35">
      <c r="A1304" t="s">
        <v>3399</v>
      </c>
      <c r="B1304" s="1">
        <v>42336</v>
      </c>
      <c r="C1304" s="1">
        <v>42341</v>
      </c>
      <c r="D1304" t="s">
        <v>37</v>
      </c>
      <c r="E1304" t="s">
        <v>2403</v>
      </c>
      <c r="F1304" t="s">
        <v>2404</v>
      </c>
      <c r="G1304" t="s">
        <v>84</v>
      </c>
      <c r="H1304" t="s">
        <v>24</v>
      </c>
      <c r="I1304" t="s">
        <v>165</v>
      </c>
      <c r="J1304" t="s">
        <v>114</v>
      </c>
      <c r="K1304" t="s">
        <v>63</v>
      </c>
      <c r="L1304" t="s">
        <v>275</v>
      </c>
      <c r="M1304" t="s">
        <v>29</v>
      </c>
      <c r="N1304" t="s">
        <v>53</v>
      </c>
      <c r="O1304" t="s">
        <v>276</v>
      </c>
      <c r="P1304">
        <v>68.16</v>
      </c>
      <c r="Q1304">
        <v>3</v>
      </c>
      <c r="R1304">
        <v>27.945599999999999</v>
      </c>
      <c r="S1304" t="s">
        <v>32</v>
      </c>
    </row>
    <row r="1305" spans="1:19" x14ac:dyDescent="0.35">
      <c r="A1305" t="s">
        <v>3400</v>
      </c>
      <c r="B1305" s="1">
        <v>43092</v>
      </c>
      <c r="C1305" s="1">
        <v>43096</v>
      </c>
      <c r="D1305" t="s">
        <v>37</v>
      </c>
      <c r="E1305" t="s">
        <v>579</v>
      </c>
      <c r="F1305" t="s">
        <v>580</v>
      </c>
      <c r="G1305" t="s">
        <v>23</v>
      </c>
      <c r="H1305" t="s">
        <v>24</v>
      </c>
      <c r="I1305" t="s">
        <v>3401</v>
      </c>
      <c r="J1305" t="s">
        <v>133</v>
      </c>
      <c r="K1305" t="s">
        <v>27</v>
      </c>
      <c r="L1305" t="s">
        <v>275</v>
      </c>
      <c r="M1305" t="s">
        <v>29</v>
      </c>
      <c r="N1305" t="s">
        <v>53</v>
      </c>
      <c r="O1305" t="s">
        <v>276</v>
      </c>
      <c r="P1305">
        <v>72.703999999999994</v>
      </c>
      <c r="Q1305">
        <v>4</v>
      </c>
      <c r="R1305">
        <v>19.084800000000001</v>
      </c>
      <c r="S1305" t="s">
        <v>90</v>
      </c>
    </row>
    <row r="1306" spans="1:19" x14ac:dyDescent="0.35">
      <c r="A1306" t="s">
        <v>3402</v>
      </c>
      <c r="B1306" s="1">
        <v>42282</v>
      </c>
      <c r="C1306" s="1">
        <v>42286</v>
      </c>
      <c r="D1306" t="s">
        <v>37</v>
      </c>
      <c r="E1306" t="s">
        <v>2864</v>
      </c>
      <c r="F1306" t="s">
        <v>2865</v>
      </c>
      <c r="G1306" t="s">
        <v>23</v>
      </c>
      <c r="H1306" t="s">
        <v>24</v>
      </c>
      <c r="I1306" t="s">
        <v>3389</v>
      </c>
      <c r="J1306" t="s">
        <v>1508</v>
      </c>
      <c r="K1306" t="s">
        <v>51</v>
      </c>
      <c r="L1306" t="s">
        <v>2301</v>
      </c>
      <c r="M1306" t="s">
        <v>29</v>
      </c>
      <c r="N1306" t="s">
        <v>30</v>
      </c>
      <c r="O1306" t="s">
        <v>2302</v>
      </c>
      <c r="P1306">
        <v>66.293999999999997</v>
      </c>
      <c r="Q1306">
        <v>1</v>
      </c>
      <c r="R1306">
        <v>-103.86060000000001</v>
      </c>
      <c r="S1306" t="s">
        <v>45</v>
      </c>
    </row>
    <row r="1307" spans="1:19" x14ac:dyDescent="0.35">
      <c r="A1307" t="s">
        <v>3402</v>
      </c>
      <c r="B1307" s="1">
        <v>42282</v>
      </c>
      <c r="C1307" s="1">
        <v>42286</v>
      </c>
      <c r="D1307" t="s">
        <v>37</v>
      </c>
      <c r="E1307" t="s">
        <v>2864</v>
      </c>
      <c r="F1307" t="s">
        <v>2865</v>
      </c>
      <c r="G1307" t="s">
        <v>23</v>
      </c>
      <c r="H1307" t="s">
        <v>24</v>
      </c>
      <c r="I1307" t="s">
        <v>3389</v>
      </c>
      <c r="J1307" t="s">
        <v>1508</v>
      </c>
      <c r="K1307" t="s">
        <v>51</v>
      </c>
      <c r="L1307" t="s">
        <v>2171</v>
      </c>
      <c r="M1307" t="s">
        <v>29</v>
      </c>
      <c r="N1307" t="s">
        <v>34</v>
      </c>
      <c r="O1307" t="s">
        <v>2172</v>
      </c>
      <c r="P1307">
        <v>291.16800000000001</v>
      </c>
      <c r="Q1307">
        <v>4</v>
      </c>
      <c r="R1307">
        <v>-14.558400000000001</v>
      </c>
      <c r="S1307" t="s">
        <v>45</v>
      </c>
    </row>
    <row r="1308" spans="1:19" x14ac:dyDescent="0.35">
      <c r="A1308" t="s">
        <v>3403</v>
      </c>
      <c r="B1308" s="1">
        <v>42989</v>
      </c>
      <c r="C1308" s="1">
        <v>42989</v>
      </c>
      <c r="D1308" t="s">
        <v>417</v>
      </c>
      <c r="E1308" t="s">
        <v>3404</v>
      </c>
      <c r="F1308" t="s">
        <v>3405</v>
      </c>
      <c r="G1308" t="s">
        <v>23</v>
      </c>
      <c r="H1308" t="s">
        <v>24</v>
      </c>
      <c r="I1308" t="s">
        <v>183</v>
      </c>
      <c r="J1308" t="s">
        <v>184</v>
      </c>
      <c r="K1308" t="s">
        <v>51</v>
      </c>
      <c r="L1308" t="s">
        <v>812</v>
      </c>
      <c r="M1308" t="s">
        <v>29</v>
      </c>
      <c r="N1308" t="s">
        <v>34</v>
      </c>
      <c r="O1308" t="s">
        <v>813</v>
      </c>
      <c r="P1308">
        <v>177.56800000000001</v>
      </c>
      <c r="Q1308">
        <v>2</v>
      </c>
      <c r="R1308">
        <v>8.8783999999999992</v>
      </c>
      <c r="S1308" t="s">
        <v>72</v>
      </c>
    </row>
    <row r="1309" spans="1:19" x14ac:dyDescent="0.35">
      <c r="A1309" t="s">
        <v>3406</v>
      </c>
      <c r="B1309" s="1">
        <v>42350</v>
      </c>
      <c r="C1309" s="1">
        <v>42354</v>
      </c>
      <c r="D1309" t="s">
        <v>37</v>
      </c>
      <c r="E1309" t="s">
        <v>2899</v>
      </c>
      <c r="F1309" t="s">
        <v>2900</v>
      </c>
      <c r="G1309" t="s">
        <v>23</v>
      </c>
      <c r="H1309" t="s">
        <v>24</v>
      </c>
      <c r="I1309" t="s">
        <v>1482</v>
      </c>
      <c r="J1309" t="s">
        <v>50</v>
      </c>
      <c r="K1309" t="s">
        <v>51</v>
      </c>
      <c r="L1309" t="s">
        <v>1775</v>
      </c>
      <c r="M1309" t="s">
        <v>29</v>
      </c>
      <c r="N1309" t="s">
        <v>53</v>
      </c>
      <c r="O1309" t="s">
        <v>1776</v>
      </c>
      <c r="P1309">
        <v>166.5</v>
      </c>
      <c r="Q1309">
        <v>3</v>
      </c>
      <c r="R1309">
        <v>21.645</v>
      </c>
      <c r="S1309" t="s">
        <v>90</v>
      </c>
    </row>
    <row r="1310" spans="1:19" x14ac:dyDescent="0.35">
      <c r="A1310" t="s">
        <v>3407</v>
      </c>
      <c r="B1310" s="1">
        <v>42883</v>
      </c>
      <c r="C1310" s="1">
        <v>42886</v>
      </c>
      <c r="D1310" t="s">
        <v>20</v>
      </c>
      <c r="E1310" t="s">
        <v>3408</v>
      </c>
      <c r="F1310" t="s">
        <v>3409</v>
      </c>
      <c r="G1310" t="s">
        <v>84</v>
      </c>
      <c r="H1310" t="s">
        <v>24</v>
      </c>
      <c r="I1310" t="s">
        <v>500</v>
      </c>
      <c r="J1310" t="s">
        <v>875</v>
      </c>
      <c r="K1310" t="s">
        <v>63</v>
      </c>
      <c r="L1310" t="s">
        <v>2101</v>
      </c>
      <c r="M1310" t="s">
        <v>29</v>
      </c>
      <c r="N1310" t="s">
        <v>53</v>
      </c>
      <c r="O1310" t="s">
        <v>2102</v>
      </c>
      <c r="P1310">
        <v>247.44</v>
      </c>
      <c r="Q1310">
        <v>8</v>
      </c>
      <c r="R1310">
        <v>101.4504</v>
      </c>
      <c r="S1310" t="s">
        <v>153</v>
      </c>
    </row>
    <row r="1311" spans="1:19" x14ac:dyDescent="0.35">
      <c r="A1311" t="s">
        <v>3410</v>
      </c>
      <c r="B1311" s="1">
        <v>42328</v>
      </c>
      <c r="C1311" s="1">
        <v>42333</v>
      </c>
      <c r="D1311" t="s">
        <v>37</v>
      </c>
      <c r="E1311" t="s">
        <v>3283</v>
      </c>
      <c r="F1311" t="s">
        <v>3284</v>
      </c>
      <c r="G1311" t="s">
        <v>94</v>
      </c>
      <c r="H1311" t="s">
        <v>24</v>
      </c>
      <c r="I1311" t="s">
        <v>183</v>
      </c>
      <c r="J1311" t="s">
        <v>184</v>
      </c>
      <c r="K1311" t="s">
        <v>51</v>
      </c>
      <c r="L1311" t="s">
        <v>1709</v>
      </c>
      <c r="M1311" t="s">
        <v>29</v>
      </c>
      <c r="N1311" t="s">
        <v>53</v>
      </c>
      <c r="O1311" t="s">
        <v>1710</v>
      </c>
      <c r="P1311">
        <v>22.14</v>
      </c>
      <c r="Q1311">
        <v>3</v>
      </c>
      <c r="R1311">
        <v>6.4206000000000003</v>
      </c>
      <c r="S1311" t="s">
        <v>32</v>
      </c>
    </row>
    <row r="1312" spans="1:19" x14ac:dyDescent="0.35">
      <c r="A1312" t="s">
        <v>3411</v>
      </c>
      <c r="B1312" s="1">
        <v>42884</v>
      </c>
      <c r="C1312" s="1">
        <v>42890</v>
      </c>
      <c r="D1312" t="s">
        <v>37</v>
      </c>
      <c r="E1312" t="s">
        <v>2507</v>
      </c>
      <c r="F1312" t="s">
        <v>2508</v>
      </c>
      <c r="G1312" t="s">
        <v>23</v>
      </c>
      <c r="H1312" t="s">
        <v>24</v>
      </c>
      <c r="I1312" t="s">
        <v>339</v>
      </c>
      <c r="J1312" t="s">
        <v>104</v>
      </c>
      <c r="K1312" t="s">
        <v>87</v>
      </c>
      <c r="L1312" t="s">
        <v>1352</v>
      </c>
      <c r="M1312" t="s">
        <v>29</v>
      </c>
      <c r="N1312" t="s">
        <v>53</v>
      </c>
      <c r="O1312" t="s">
        <v>415</v>
      </c>
      <c r="P1312">
        <v>6.24</v>
      </c>
      <c r="Q1312">
        <v>3</v>
      </c>
      <c r="R1312">
        <v>2.6208</v>
      </c>
      <c r="S1312" t="s">
        <v>153</v>
      </c>
    </row>
    <row r="1313" spans="1:19" x14ac:dyDescent="0.35">
      <c r="A1313" t="s">
        <v>3412</v>
      </c>
      <c r="B1313" s="1">
        <v>42255</v>
      </c>
      <c r="C1313" s="1">
        <v>42261</v>
      </c>
      <c r="D1313" t="s">
        <v>37</v>
      </c>
      <c r="E1313" t="s">
        <v>266</v>
      </c>
      <c r="F1313" t="s">
        <v>267</v>
      </c>
      <c r="G1313" t="s">
        <v>84</v>
      </c>
      <c r="H1313" t="s">
        <v>24</v>
      </c>
      <c r="I1313" t="s">
        <v>1607</v>
      </c>
      <c r="J1313" t="s">
        <v>1267</v>
      </c>
      <c r="K1313" t="s">
        <v>27</v>
      </c>
      <c r="L1313" t="s">
        <v>2504</v>
      </c>
      <c r="M1313" t="s">
        <v>29</v>
      </c>
      <c r="N1313" t="s">
        <v>53</v>
      </c>
      <c r="O1313" t="s">
        <v>2505</v>
      </c>
      <c r="P1313">
        <v>21.36</v>
      </c>
      <c r="Q1313">
        <v>8</v>
      </c>
      <c r="R1313">
        <v>8.1167999999999996</v>
      </c>
      <c r="S1313" t="s">
        <v>72</v>
      </c>
    </row>
    <row r="1314" spans="1:19" x14ac:dyDescent="0.35">
      <c r="A1314" t="s">
        <v>3413</v>
      </c>
      <c r="B1314" s="1">
        <v>43071</v>
      </c>
      <c r="C1314" s="1">
        <v>43075</v>
      </c>
      <c r="D1314" t="s">
        <v>37</v>
      </c>
      <c r="E1314" t="s">
        <v>1926</v>
      </c>
      <c r="F1314" t="s">
        <v>1927</v>
      </c>
      <c r="G1314" t="s">
        <v>84</v>
      </c>
      <c r="H1314" t="s">
        <v>24</v>
      </c>
      <c r="I1314" t="s">
        <v>1461</v>
      </c>
      <c r="J1314" t="s">
        <v>50</v>
      </c>
      <c r="K1314" t="s">
        <v>51</v>
      </c>
      <c r="L1314" t="s">
        <v>2540</v>
      </c>
      <c r="M1314" t="s">
        <v>29</v>
      </c>
      <c r="N1314" t="s">
        <v>34</v>
      </c>
      <c r="O1314" t="s">
        <v>2541</v>
      </c>
      <c r="P1314">
        <v>1159.056</v>
      </c>
      <c r="Q1314">
        <v>9</v>
      </c>
      <c r="R1314">
        <v>43.464599999999997</v>
      </c>
      <c r="S1314" t="s">
        <v>90</v>
      </c>
    </row>
    <row r="1315" spans="1:19" x14ac:dyDescent="0.35">
      <c r="A1315" t="s">
        <v>3414</v>
      </c>
      <c r="B1315" s="1">
        <v>42568</v>
      </c>
      <c r="C1315" s="1">
        <v>42573</v>
      </c>
      <c r="D1315" t="s">
        <v>20</v>
      </c>
      <c r="E1315" t="s">
        <v>1759</v>
      </c>
      <c r="F1315" t="s">
        <v>1760</v>
      </c>
      <c r="G1315" t="s">
        <v>23</v>
      </c>
      <c r="H1315" t="s">
        <v>24</v>
      </c>
      <c r="I1315" t="s">
        <v>183</v>
      </c>
      <c r="J1315" t="s">
        <v>184</v>
      </c>
      <c r="K1315" t="s">
        <v>51</v>
      </c>
      <c r="L1315" t="s">
        <v>1971</v>
      </c>
      <c r="M1315" t="s">
        <v>29</v>
      </c>
      <c r="N1315" t="s">
        <v>53</v>
      </c>
      <c r="O1315" t="s">
        <v>1972</v>
      </c>
      <c r="P1315">
        <v>12.42</v>
      </c>
      <c r="Q1315">
        <v>3</v>
      </c>
      <c r="R1315">
        <v>4.4711999999999996</v>
      </c>
      <c r="S1315" t="s">
        <v>66</v>
      </c>
    </row>
    <row r="1316" spans="1:19" x14ac:dyDescent="0.35">
      <c r="A1316" t="s">
        <v>3414</v>
      </c>
      <c r="B1316" s="1">
        <v>42568</v>
      </c>
      <c r="C1316" s="1">
        <v>42573</v>
      </c>
      <c r="D1316" t="s">
        <v>20</v>
      </c>
      <c r="E1316" t="s">
        <v>1759</v>
      </c>
      <c r="F1316" t="s">
        <v>1760</v>
      </c>
      <c r="G1316" t="s">
        <v>23</v>
      </c>
      <c r="H1316" t="s">
        <v>24</v>
      </c>
      <c r="I1316" t="s">
        <v>183</v>
      </c>
      <c r="J1316" t="s">
        <v>184</v>
      </c>
      <c r="K1316" t="s">
        <v>51</v>
      </c>
      <c r="L1316" t="s">
        <v>2592</v>
      </c>
      <c r="M1316" t="s">
        <v>29</v>
      </c>
      <c r="N1316" t="s">
        <v>53</v>
      </c>
      <c r="O1316" t="s">
        <v>2593</v>
      </c>
      <c r="P1316">
        <v>24.75</v>
      </c>
      <c r="Q1316">
        <v>5</v>
      </c>
      <c r="R1316">
        <v>10.89</v>
      </c>
      <c r="S1316" t="s">
        <v>66</v>
      </c>
    </row>
    <row r="1317" spans="1:19" x14ac:dyDescent="0.35">
      <c r="A1317" t="s">
        <v>3415</v>
      </c>
      <c r="B1317" s="1">
        <v>42328</v>
      </c>
      <c r="C1317" s="1">
        <v>42334</v>
      </c>
      <c r="D1317" t="s">
        <v>37</v>
      </c>
      <c r="E1317" t="s">
        <v>1429</v>
      </c>
      <c r="F1317" t="s">
        <v>1430</v>
      </c>
      <c r="G1317" t="s">
        <v>23</v>
      </c>
      <c r="H1317" t="s">
        <v>24</v>
      </c>
      <c r="I1317" t="s">
        <v>1761</v>
      </c>
      <c r="J1317" t="s">
        <v>223</v>
      </c>
      <c r="K1317" t="s">
        <v>63</v>
      </c>
      <c r="L1317" t="s">
        <v>3416</v>
      </c>
      <c r="M1317" t="s">
        <v>29</v>
      </c>
      <c r="N1317" t="s">
        <v>53</v>
      </c>
      <c r="O1317" t="s">
        <v>3417</v>
      </c>
      <c r="P1317">
        <v>63.823999999999998</v>
      </c>
      <c r="Q1317">
        <v>2</v>
      </c>
      <c r="R1317">
        <v>9.5736000000000008</v>
      </c>
      <c r="S1317" t="s">
        <v>32</v>
      </c>
    </row>
    <row r="1318" spans="1:19" x14ac:dyDescent="0.35">
      <c r="A1318" t="s">
        <v>3418</v>
      </c>
      <c r="B1318" s="1">
        <v>42637</v>
      </c>
      <c r="C1318" s="1">
        <v>42641</v>
      </c>
      <c r="D1318" t="s">
        <v>37</v>
      </c>
      <c r="E1318" t="s">
        <v>1589</v>
      </c>
      <c r="F1318" t="s">
        <v>1590</v>
      </c>
      <c r="G1318" t="s">
        <v>84</v>
      </c>
      <c r="H1318" t="s">
        <v>24</v>
      </c>
      <c r="I1318" t="s">
        <v>49</v>
      </c>
      <c r="J1318" t="s">
        <v>50</v>
      </c>
      <c r="K1318" t="s">
        <v>51</v>
      </c>
      <c r="L1318" t="s">
        <v>1523</v>
      </c>
      <c r="M1318" t="s">
        <v>29</v>
      </c>
      <c r="N1318" t="s">
        <v>34</v>
      </c>
      <c r="O1318" t="s">
        <v>1524</v>
      </c>
      <c r="P1318">
        <v>563.24</v>
      </c>
      <c r="Q1318">
        <v>5</v>
      </c>
      <c r="R1318">
        <v>56.323999999999998</v>
      </c>
      <c r="S1318" t="s">
        <v>72</v>
      </c>
    </row>
    <row r="1319" spans="1:19" x14ac:dyDescent="0.35">
      <c r="A1319" t="s">
        <v>3419</v>
      </c>
      <c r="B1319" s="1">
        <v>42664</v>
      </c>
      <c r="C1319" s="1">
        <v>42669</v>
      </c>
      <c r="D1319" t="s">
        <v>37</v>
      </c>
      <c r="E1319" t="s">
        <v>266</v>
      </c>
      <c r="F1319" t="s">
        <v>267</v>
      </c>
      <c r="G1319" t="s">
        <v>84</v>
      </c>
      <c r="H1319" t="s">
        <v>24</v>
      </c>
      <c r="I1319" t="s">
        <v>2051</v>
      </c>
      <c r="J1319" t="s">
        <v>223</v>
      </c>
      <c r="K1319" t="s">
        <v>63</v>
      </c>
      <c r="L1319" t="s">
        <v>1714</v>
      </c>
      <c r="M1319" t="s">
        <v>29</v>
      </c>
      <c r="N1319" t="s">
        <v>43</v>
      </c>
      <c r="O1319" t="s">
        <v>1715</v>
      </c>
      <c r="P1319">
        <v>661.17600000000004</v>
      </c>
      <c r="Q1319">
        <v>2</v>
      </c>
      <c r="R1319">
        <v>-231.41159999999999</v>
      </c>
      <c r="S1319" t="s">
        <v>45</v>
      </c>
    </row>
    <row r="1320" spans="1:19" x14ac:dyDescent="0.35">
      <c r="A1320" t="s">
        <v>3420</v>
      </c>
      <c r="B1320" s="1">
        <v>41828</v>
      </c>
      <c r="C1320" s="1">
        <v>41832</v>
      </c>
      <c r="D1320" t="s">
        <v>37</v>
      </c>
      <c r="E1320" t="s">
        <v>494</v>
      </c>
      <c r="F1320" t="s">
        <v>495</v>
      </c>
      <c r="G1320" t="s">
        <v>84</v>
      </c>
      <c r="H1320" t="s">
        <v>24</v>
      </c>
      <c r="I1320" t="s">
        <v>320</v>
      </c>
      <c r="J1320" t="s">
        <v>50</v>
      </c>
      <c r="K1320" t="s">
        <v>51</v>
      </c>
      <c r="L1320" t="s">
        <v>1319</v>
      </c>
      <c r="M1320" t="s">
        <v>29</v>
      </c>
      <c r="N1320" t="s">
        <v>43</v>
      </c>
      <c r="O1320" t="s">
        <v>1320</v>
      </c>
      <c r="P1320">
        <v>502.488</v>
      </c>
      <c r="Q1320">
        <v>3</v>
      </c>
      <c r="R1320">
        <v>-87.935400000000001</v>
      </c>
      <c r="S1320" t="s">
        <v>66</v>
      </c>
    </row>
    <row r="1321" spans="1:19" x14ac:dyDescent="0.35">
      <c r="A1321" t="s">
        <v>3421</v>
      </c>
      <c r="B1321" s="1">
        <v>42076</v>
      </c>
      <c r="C1321" s="1">
        <v>42081</v>
      </c>
      <c r="D1321" t="s">
        <v>20</v>
      </c>
      <c r="E1321" t="s">
        <v>1006</v>
      </c>
      <c r="F1321" t="s">
        <v>1007</v>
      </c>
      <c r="G1321" t="s">
        <v>94</v>
      </c>
      <c r="H1321" t="s">
        <v>24</v>
      </c>
      <c r="I1321" t="s">
        <v>3422</v>
      </c>
      <c r="J1321" t="s">
        <v>50</v>
      </c>
      <c r="K1321" t="s">
        <v>51</v>
      </c>
      <c r="L1321" t="s">
        <v>198</v>
      </c>
      <c r="M1321" t="s">
        <v>29</v>
      </c>
      <c r="N1321" t="s">
        <v>34</v>
      </c>
      <c r="O1321" t="s">
        <v>199</v>
      </c>
      <c r="P1321">
        <v>915.13599999999997</v>
      </c>
      <c r="Q1321">
        <v>4</v>
      </c>
      <c r="R1321">
        <v>102.9528</v>
      </c>
      <c r="S1321" t="s">
        <v>187</v>
      </c>
    </row>
    <row r="1322" spans="1:19" x14ac:dyDescent="0.35">
      <c r="A1322" t="s">
        <v>3421</v>
      </c>
      <c r="B1322" s="1">
        <v>42076</v>
      </c>
      <c r="C1322" s="1">
        <v>42081</v>
      </c>
      <c r="D1322" t="s">
        <v>20</v>
      </c>
      <c r="E1322" t="s">
        <v>1006</v>
      </c>
      <c r="F1322" t="s">
        <v>1007</v>
      </c>
      <c r="G1322" t="s">
        <v>94</v>
      </c>
      <c r="H1322" t="s">
        <v>24</v>
      </c>
      <c r="I1322" t="s">
        <v>3422</v>
      </c>
      <c r="J1322" t="s">
        <v>50</v>
      </c>
      <c r="K1322" t="s">
        <v>51</v>
      </c>
      <c r="L1322" t="s">
        <v>631</v>
      </c>
      <c r="M1322" t="s">
        <v>29</v>
      </c>
      <c r="N1322" t="s">
        <v>53</v>
      </c>
      <c r="O1322" t="s">
        <v>632</v>
      </c>
      <c r="P1322">
        <v>327.76</v>
      </c>
      <c r="Q1322">
        <v>8</v>
      </c>
      <c r="R1322">
        <v>91.772800000000004</v>
      </c>
      <c r="S1322" t="s">
        <v>187</v>
      </c>
    </row>
    <row r="1323" spans="1:19" x14ac:dyDescent="0.35">
      <c r="A1323" t="s">
        <v>3423</v>
      </c>
      <c r="B1323" s="1">
        <v>43071</v>
      </c>
      <c r="C1323" s="1">
        <v>43074</v>
      </c>
      <c r="D1323" t="s">
        <v>81</v>
      </c>
      <c r="E1323" t="s">
        <v>3424</v>
      </c>
      <c r="F1323" t="s">
        <v>3425</v>
      </c>
      <c r="G1323" t="s">
        <v>23</v>
      </c>
      <c r="H1323" t="s">
        <v>24</v>
      </c>
      <c r="I1323" t="s">
        <v>3224</v>
      </c>
      <c r="J1323" t="s">
        <v>707</v>
      </c>
      <c r="K1323" t="s">
        <v>27</v>
      </c>
      <c r="L1323" t="s">
        <v>1477</v>
      </c>
      <c r="M1323" t="s">
        <v>29</v>
      </c>
      <c r="N1323" t="s">
        <v>34</v>
      </c>
      <c r="O1323" t="s">
        <v>1478</v>
      </c>
      <c r="P1323">
        <v>701.96</v>
      </c>
      <c r="Q1323">
        <v>2</v>
      </c>
      <c r="R1323">
        <v>168.47040000000001</v>
      </c>
      <c r="S1323" t="s">
        <v>90</v>
      </c>
    </row>
    <row r="1324" spans="1:19" x14ac:dyDescent="0.35">
      <c r="A1324" t="s">
        <v>3426</v>
      </c>
      <c r="B1324" s="1">
        <v>43069</v>
      </c>
      <c r="C1324" s="1">
        <v>43072</v>
      </c>
      <c r="D1324" t="s">
        <v>81</v>
      </c>
      <c r="E1324" t="s">
        <v>3427</v>
      </c>
      <c r="F1324" t="s">
        <v>3428</v>
      </c>
      <c r="G1324" t="s">
        <v>94</v>
      </c>
      <c r="H1324" t="s">
        <v>24</v>
      </c>
      <c r="I1324" t="s">
        <v>320</v>
      </c>
      <c r="J1324" t="s">
        <v>50</v>
      </c>
      <c r="K1324" t="s">
        <v>51</v>
      </c>
      <c r="L1324" t="s">
        <v>3429</v>
      </c>
      <c r="M1324" t="s">
        <v>29</v>
      </c>
      <c r="N1324" t="s">
        <v>53</v>
      </c>
      <c r="O1324" t="s">
        <v>3430</v>
      </c>
      <c r="P1324">
        <v>25.83</v>
      </c>
      <c r="Q1324">
        <v>3</v>
      </c>
      <c r="R1324">
        <v>9.5571000000000002</v>
      </c>
      <c r="S1324" t="s">
        <v>32</v>
      </c>
    </row>
    <row r="1325" spans="1:19" x14ac:dyDescent="0.35">
      <c r="A1325" t="s">
        <v>3431</v>
      </c>
      <c r="B1325" s="1">
        <v>42678</v>
      </c>
      <c r="C1325" s="1">
        <v>42680</v>
      </c>
      <c r="D1325" t="s">
        <v>20</v>
      </c>
      <c r="E1325" t="s">
        <v>3432</v>
      </c>
      <c r="F1325" t="s">
        <v>3433</v>
      </c>
      <c r="G1325" t="s">
        <v>84</v>
      </c>
      <c r="H1325" t="s">
        <v>24</v>
      </c>
      <c r="I1325" t="s">
        <v>3434</v>
      </c>
      <c r="J1325" t="s">
        <v>1508</v>
      </c>
      <c r="K1325" t="s">
        <v>51</v>
      </c>
      <c r="L1325" t="s">
        <v>2569</v>
      </c>
      <c r="M1325" t="s">
        <v>29</v>
      </c>
      <c r="N1325" t="s">
        <v>34</v>
      </c>
      <c r="O1325" t="s">
        <v>2570</v>
      </c>
      <c r="P1325">
        <v>104.78400000000001</v>
      </c>
      <c r="Q1325">
        <v>1</v>
      </c>
      <c r="R1325">
        <v>-14.4078</v>
      </c>
      <c r="S1325" t="s">
        <v>32</v>
      </c>
    </row>
    <row r="1326" spans="1:19" x14ac:dyDescent="0.35">
      <c r="A1326" t="s">
        <v>3431</v>
      </c>
      <c r="B1326" s="1">
        <v>42678</v>
      </c>
      <c r="C1326" s="1">
        <v>42680</v>
      </c>
      <c r="D1326" t="s">
        <v>20</v>
      </c>
      <c r="E1326" t="s">
        <v>3432</v>
      </c>
      <c r="F1326" t="s">
        <v>3433</v>
      </c>
      <c r="G1326" t="s">
        <v>84</v>
      </c>
      <c r="H1326" t="s">
        <v>24</v>
      </c>
      <c r="I1326" t="s">
        <v>3434</v>
      </c>
      <c r="J1326" t="s">
        <v>1508</v>
      </c>
      <c r="K1326" t="s">
        <v>51</v>
      </c>
      <c r="L1326" t="s">
        <v>2721</v>
      </c>
      <c r="M1326" t="s">
        <v>29</v>
      </c>
      <c r="N1326" t="s">
        <v>34</v>
      </c>
      <c r="O1326" t="s">
        <v>2722</v>
      </c>
      <c r="P1326">
        <v>650.35199999999998</v>
      </c>
      <c r="Q1326">
        <v>3</v>
      </c>
      <c r="R1326">
        <v>-97.552800000000005</v>
      </c>
      <c r="S1326" t="s">
        <v>32</v>
      </c>
    </row>
    <row r="1327" spans="1:19" x14ac:dyDescent="0.35">
      <c r="A1327" t="s">
        <v>3435</v>
      </c>
      <c r="B1327" s="1">
        <v>41893</v>
      </c>
      <c r="C1327" s="1">
        <v>41898</v>
      </c>
      <c r="D1327" t="s">
        <v>37</v>
      </c>
      <c r="E1327" t="s">
        <v>3436</v>
      </c>
      <c r="F1327" t="s">
        <v>3437</v>
      </c>
      <c r="G1327" t="s">
        <v>23</v>
      </c>
      <c r="H1327" t="s">
        <v>24</v>
      </c>
      <c r="I1327" t="s">
        <v>3438</v>
      </c>
      <c r="J1327" t="s">
        <v>50</v>
      </c>
      <c r="K1327" t="s">
        <v>51</v>
      </c>
      <c r="L1327" t="s">
        <v>173</v>
      </c>
      <c r="M1327" t="s">
        <v>29</v>
      </c>
      <c r="N1327" t="s">
        <v>53</v>
      </c>
      <c r="O1327" t="s">
        <v>174</v>
      </c>
      <c r="P1327">
        <v>127.95</v>
      </c>
      <c r="Q1327">
        <v>3</v>
      </c>
      <c r="R1327">
        <v>21.7515</v>
      </c>
      <c r="S1327" t="s">
        <v>72</v>
      </c>
    </row>
    <row r="1328" spans="1:19" x14ac:dyDescent="0.35">
      <c r="A1328" t="s">
        <v>3439</v>
      </c>
      <c r="B1328" s="1">
        <v>41659</v>
      </c>
      <c r="C1328" s="1">
        <v>41665</v>
      </c>
      <c r="D1328" t="s">
        <v>37</v>
      </c>
      <c r="E1328" t="s">
        <v>3440</v>
      </c>
      <c r="F1328" t="s">
        <v>3441</v>
      </c>
      <c r="G1328" t="s">
        <v>23</v>
      </c>
      <c r="H1328" t="s">
        <v>24</v>
      </c>
      <c r="I1328" t="s">
        <v>3442</v>
      </c>
      <c r="J1328" t="s">
        <v>281</v>
      </c>
      <c r="K1328" t="s">
        <v>87</v>
      </c>
      <c r="L1328" t="s">
        <v>350</v>
      </c>
      <c r="M1328" t="s">
        <v>29</v>
      </c>
      <c r="N1328" t="s">
        <v>53</v>
      </c>
      <c r="O1328" t="s">
        <v>351</v>
      </c>
      <c r="P1328">
        <v>272.94</v>
      </c>
      <c r="Q1328">
        <v>3</v>
      </c>
      <c r="R1328">
        <v>30.023399999999999</v>
      </c>
      <c r="S1328" t="s">
        <v>161</v>
      </c>
    </row>
    <row r="1329" spans="1:19" x14ac:dyDescent="0.35">
      <c r="A1329" t="s">
        <v>3439</v>
      </c>
      <c r="B1329" s="1">
        <v>41659</v>
      </c>
      <c r="C1329" s="1">
        <v>41665</v>
      </c>
      <c r="D1329" t="s">
        <v>37</v>
      </c>
      <c r="E1329" t="s">
        <v>3440</v>
      </c>
      <c r="F1329" t="s">
        <v>3441</v>
      </c>
      <c r="G1329" t="s">
        <v>23</v>
      </c>
      <c r="H1329" t="s">
        <v>24</v>
      </c>
      <c r="I1329" t="s">
        <v>3442</v>
      </c>
      <c r="J1329" t="s">
        <v>281</v>
      </c>
      <c r="K1329" t="s">
        <v>87</v>
      </c>
      <c r="L1329" t="s">
        <v>1090</v>
      </c>
      <c r="M1329" t="s">
        <v>29</v>
      </c>
      <c r="N1329" t="s">
        <v>53</v>
      </c>
      <c r="O1329" t="s">
        <v>1091</v>
      </c>
      <c r="P1329">
        <v>14.73</v>
      </c>
      <c r="Q1329">
        <v>3</v>
      </c>
      <c r="R1329">
        <v>4.8609</v>
      </c>
      <c r="S1329" t="s">
        <v>161</v>
      </c>
    </row>
    <row r="1330" spans="1:19" x14ac:dyDescent="0.35">
      <c r="A1330" t="s">
        <v>3443</v>
      </c>
      <c r="B1330" s="1">
        <v>42612</v>
      </c>
      <c r="C1330" s="1">
        <v>42619</v>
      </c>
      <c r="D1330" t="s">
        <v>37</v>
      </c>
      <c r="E1330" t="s">
        <v>2354</v>
      </c>
      <c r="F1330" t="s">
        <v>2355</v>
      </c>
      <c r="G1330" t="s">
        <v>23</v>
      </c>
      <c r="H1330" t="s">
        <v>24</v>
      </c>
      <c r="I1330" t="s">
        <v>49</v>
      </c>
      <c r="J1330" t="s">
        <v>50</v>
      </c>
      <c r="K1330" t="s">
        <v>51</v>
      </c>
      <c r="L1330" t="s">
        <v>2400</v>
      </c>
      <c r="M1330" t="s">
        <v>29</v>
      </c>
      <c r="N1330" t="s">
        <v>53</v>
      </c>
      <c r="O1330" t="s">
        <v>2401</v>
      </c>
      <c r="P1330">
        <v>47.04</v>
      </c>
      <c r="Q1330">
        <v>4</v>
      </c>
      <c r="R1330">
        <v>15.993600000000001</v>
      </c>
      <c r="S1330" t="s">
        <v>245</v>
      </c>
    </row>
    <row r="1331" spans="1:19" x14ac:dyDescent="0.35">
      <c r="A1331" t="s">
        <v>3444</v>
      </c>
      <c r="B1331" s="1">
        <v>43013</v>
      </c>
      <c r="C1331" s="1">
        <v>43017</v>
      </c>
      <c r="D1331" t="s">
        <v>37</v>
      </c>
      <c r="E1331" t="s">
        <v>1308</v>
      </c>
      <c r="F1331" t="s">
        <v>1309</v>
      </c>
      <c r="G1331" t="s">
        <v>84</v>
      </c>
      <c r="H1331" t="s">
        <v>24</v>
      </c>
      <c r="I1331" t="s">
        <v>165</v>
      </c>
      <c r="J1331" t="s">
        <v>114</v>
      </c>
      <c r="K1331" t="s">
        <v>63</v>
      </c>
      <c r="L1331" t="s">
        <v>1019</v>
      </c>
      <c r="M1331" t="s">
        <v>29</v>
      </c>
      <c r="N1331" t="s">
        <v>34</v>
      </c>
      <c r="O1331" t="s">
        <v>1020</v>
      </c>
      <c r="P1331">
        <v>221.38200000000001</v>
      </c>
      <c r="Q1331">
        <v>2</v>
      </c>
      <c r="R1331">
        <v>2.4598</v>
      </c>
      <c r="S1331" t="s">
        <v>45</v>
      </c>
    </row>
    <row r="1332" spans="1:19" x14ac:dyDescent="0.35">
      <c r="A1332" t="s">
        <v>3445</v>
      </c>
      <c r="B1332" s="1">
        <v>42981</v>
      </c>
      <c r="C1332" s="1">
        <v>42986</v>
      </c>
      <c r="D1332" t="s">
        <v>37</v>
      </c>
      <c r="E1332" t="s">
        <v>1463</v>
      </c>
      <c r="F1332" t="s">
        <v>1464</v>
      </c>
      <c r="G1332" t="s">
        <v>23</v>
      </c>
      <c r="H1332" t="s">
        <v>24</v>
      </c>
      <c r="I1332" t="s">
        <v>1730</v>
      </c>
      <c r="J1332" t="s">
        <v>86</v>
      </c>
      <c r="K1332" t="s">
        <v>87</v>
      </c>
      <c r="L1332" t="s">
        <v>1008</v>
      </c>
      <c r="M1332" t="s">
        <v>29</v>
      </c>
      <c r="N1332" t="s">
        <v>53</v>
      </c>
      <c r="O1332" t="s">
        <v>1009</v>
      </c>
      <c r="P1332">
        <v>108.4</v>
      </c>
      <c r="Q1332">
        <v>5</v>
      </c>
      <c r="R1332">
        <v>-105.69</v>
      </c>
      <c r="S1332" t="s">
        <v>72</v>
      </c>
    </row>
    <row r="1333" spans="1:19" x14ac:dyDescent="0.35">
      <c r="A1333" t="s">
        <v>3446</v>
      </c>
      <c r="B1333" s="1">
        <v>42646</v>
      </c>
      <c r="C1333" s="1">
        <v>42650</v>
      </c>
      <c r="D1333" t="s">
        <v>37</v>
      </c>
      <c r="E1333" t="s">
        <v>3432</v>
      </c>
      <c r="F1333" t="s">
        <v>3433</v>
      </c>
      <c r="G1333" t="s">
        <v>84</v>
      </c>
      <c r="H1333" t="s">
        <v>24</v>
      </c>
      <c r="I1333" t="s">
        <v>1708</v>
      </c>
      <c r="J1333" t="s">
        <v>86</v>
      </c>
      <c r="K1333" t="s">
        <v>87</v>
      </c>
      <c r="L1333" t="s">
        <v>375</v>
      </c>
      <c r="M1333" t="s">
        <v>29</v>
      </c>
      <c r="N1333" t="s">
        <v>53</v>
      </c>
      <c r="O1333" t="s">
        <v>376</v>
      </c>
      <c r="P1333">
        <v>38.08</v>
      </c>
      <c r="Q1333">
        <v>5</v>
      </c>
      <c r="R1333">
        <v>-29.512</v>
      </c>
      <c r="S1333" t="s">
        <v>45</v>
      </c>
    </row>
    <row r="1334" spans="1:19" x14ac:dyDescent="0.35">
      <c r="A1334" t="s">
        <v>3447</v>
      </c>
      <c r="B1334" s="1">
        <v>42695</v>
      </c>
      <c r="C1334" s="1">
        <v>42695</v>
      </c>
      <c r="D1334" t="s">
        <v>417</v>
      </c>
      <c r="E1334" t="s">
        <v>1228</v>
      </c>
      <c r="F1334" t="s">
        <v>1229</v>
      </c>
      <c r="G1334" t="s">
        <v>94</v>
      </c>
      <c r="H1334" t="s">
        <v>24</v>
      </c>
      <c r="I1334" t="s">
        <v>165</v>
      </c>
      <c r="J1334" t="s">
        <v>114</v>
      </c>
      <c r="K1334" t="s">
        <v>63</v>
      </c>
      <c r="L1334" t="s">
        <v>2411</v>
      </c>
      <c r="M1334" t="s">
        <v>29</v>
      </c>
      <c r="N1334" t="s">
        <v>30</v>
      </c>
      <c r="O1334" t="s">
        <v>2412</v>
      </c>
      <c r="P1334">
        <v>113.568</v>
      </c>
      <c r="Q1334">
        <v>2</v>
      </c>
      <c r="R1334">
        <v>12.776400000000001</v>
      </c>
      <c r="S1334" t="s">
        <v>32</v>
      </c>
    </row>
    <row r="1335" spans="1:19" x14ac:dyDescent="0.35">
      <c r="A1335" t="s">
        <v>3448</v>
      </c>
      <c r="B1335" s="1">
        <v>43011</v>
      </c>
      <c r="C1335" s="1">
        <v>43013</v>
      </c>
      <c r="D1335" t="s">
        <v>20</v>
      </c>
      <c r="E1335" t="s">
        <v>873</v>
      </c>
      <c r="F1335" t="s">
        <v>874</v>
      </c>
      <c r="G1335" t="s">
        <v>94</v>
      </c>
      <c r="H1335" t="s">
        <v>24</v>
      </c>
      <c r="I1335" t="s">
        <v>165</v>
      </c>
      <c r="J1335" t="s">
        <v>114</v>
      </c>
      <c r="K1335" t="s">
        <v>63</v>
      </c>
      <c r="L1335" t="s">
        <v>178</v>
      </c>
      <c r="M1335" t="s">
        <v>29</v>
      </c>
      <c r="N1335" t="s">
        <v>53</v>
      </c>
      <c r="O1335" t="s">
        <v>179</v>
      </c>
      <c r="P1335">
        <v>83.92</v>
      </c>
      <c r="Q1335">
        <v>4</v>
      </c>
      <c r="R1335">
        <v>21.819199999999999</v>
      </c>
      <c r="S1335" t="s">
        <v>45</v>
      </c>
    </row>
    <row r="1336" spans="1:19" x14ac:dyDescent="0.35">
      <c r="A1336" t="s">
        <v>3449</v>
      </c>
      <c r="B1336" s="1">
        <v>41758</v>
      </c>
      <c r="C1336" s="1">
        <v>41762</v>
      </c>
      <c r="D1336" t="s">
        <v>37</v>
      </c>
      <c r="E1336" t="s">
        <v>975</v>
      </c>
      <c r="F1336" t="s">
        <v>976</v>
      </c>
      <c r="G1336" t="s">
        <v>84</v>
      </c>
      <c r="H1336" t="s">
        <v>24</v>
      </c>
      <c r="I1336" t="s">
        <v>132</v>
      </c>
      <c r="J1336" t="s">
        <v>133</v>
      </c>
      <c r="K1336" t="s">
        <v>27</v>
      </c>
      <c r="L1336" t="s">
        <v>842</v>
      </c>
      <c r="M1336" t="s">
        <v>29</v>
      </c>
      <c r="N1336" t="s">
        <v>34</v>
      </c>
      <c r="O1336" t="s">
        <v>843</v>
      </c>
      <c r="P1336">
        <v>561.58399999999995</v>
      </c>
      <c r="Q1336">
        <v>2</v>
      </c>
      <c r="R1336">
        <v>70.197999999999993</v>
      </c>
      <c r="S1336" t="s">
        <v>107</v>
      </c>
    </row>
    <row r="1337" spans="1:19" x14ac:dyDescent="0.35">
      <c r="A1337" t="s">
        <v>3450</v>
      </c>
      <c r="B1337" s="1">
        <v>42719</v>
      </c>
      <c r="C1337" s="1">
        <v>42726</v>
      </c>
      <c r="D1337" t="s">
        <v>37</v>
      </c>
      <c r="E1337" t="s">
        <v>1555</v>
      </c>
      <c r="F1337" t="s">
        <v>1556</v>
      </c>
      <c r="G1337" t="s">
        <v>23</v>
      </c>
      <c r="H1337" t="s">
        <v>24</v>
      </c>
      <c r="I1337" t="s">
        <v>49</v>
      </c>
      <c r="J1337" t="s">
        <v>50</v>
      </c>
      <c r="K1337" t="s">
        <v>51</v>
      </c>
      <c r="L1337" t="s">
        <v>1709</v>
      </c>
      <c r="M1337" t="s">
        <v>29</v>
      </c>
      <c r="N1337" t="s">
        <v>53</v>
      </c>
      <c r="O1337" t="s">
        <v>1710</v>
      </c>
      <c r="P1337">
        <v>14.76</v>
      </c>
      <c r="Q1337">
        <v>2</v>
      </c>
      <c r="R1337">
        <v>4.2804000000000002</v>
      </c>
      <c r="S1337" t="s">
        <v>90</v>
      </c>
    </row>
    <row r="1338" spans="1:19" x14ac:dyDescent="0.35">
      <c r="A1338" t="s">
        <v>3451</v>
      </c>
      <c r="B1338" s="1">
        <v>42458</v>
      </c>
      <c r="C1338" s="1">
        <v>42462</v>
      </c>
      <c r="D1338" t="s">
        <v>37</v>
      </c>
      <c r="E1338" t="s">
        <v>489</v>
      </c>
      <c r="F1338" t="s">
        <v>490</v>
      </c>
      <c r="G1338" t="s">
        <v>23</v>
      </c>
      <c r="H1338" t="s">
        <v>24</v>
      </c>
      <c r="I1338" t="s">
        <v>869</v>
      </c>
      <c r="J1338" t="s">
        <v>223</v>
      </c>
      <c r="K1338" t="s">
        <v>63</v>
      </c>
      <c r="L1338" t="s">
        <v>701</v>
      </c>
      <c r="M1338" t="s">
        <v>29</v>
      </c>
      <c r="N1338" t="s">
        <v>30</v>
      </c>
      <c r="O1338" t="s">
        <v>702</v>
      </c>
      <c r="P1338">
        <v>299.97500000000002</v>
      </c>
      <c r="Q1338">
        <v>5</v>
      </c>
      <c r="R1338">
        <v>-167.98599999999999</v>
      </c>
      <c r="S1338" t="s">
        <v>187</v>
      </c>
    </row>
    <row r="1339" spans="1:19" x14ac:dyDescent="0.35">
      <c r="A1339" t="s">
        <v>3452</v>
      </c>
      <c r="B1339" s="1">
        <v>42718</v>
      </c>
      <c r="C1339" s="1">
        <v>42723</v>
      </c>
      <c r="D1339" t="s">
        <v>37</v>
      </c>
      <c r="E1339" t="s">
        <v>482</v>
      </c>
      <c r="F1339" t="s">
        <v>483</v>
      </c>
      <c r="G1339" t="s">
        <v>23</v>
      </c>
      <c r="H1339" t="s">
        <v>24</v>
      </c>
      <c r="I1339" t="s">
        <v>165</v>
      </c>
      <c r="J1339" t="s">
        <v>114</v>
      </c>
      <c r="K1339" t="s">
        <v>63</v>
      </c>
      <c r="L1339" t="s">
        <v>1391</v>
      </c>
      <c r="M1339" t="s">
        <v>29</v>
      </c>
      <c r="N1339" t="s">
        <v>53</v>
      </c>
      <c r="O1339" t="s">
        <v>1392</v>
      </c>
      <c r="P1339">
        <v>396.92</v>
      </c>
      <c r="Q1339">
        <v>4</v>
      </c>
      <c r="R1339">
        <v>198.46</v>
      </c>
      <c r="S1339" t="s">
        <v>90</v>
      </c>
    </row>
    <row r="1340" spans="1:19" x14ac:dyDescent="0.35">
      <c r="A1340" t="s">
        <v>3453</v>
      </c>
      <c r="B1340" s="1">
        <v>42885</v>
      </c>
      <c r="C1340" s="1">
        <v>42886</v>
      </c>
      <c r="D1340" t="s">
        <v>81</v>
      </c>
      <c r="E1340" t="s">
        <v>624</v>
      </c>
      <c r="F1340" t="s">
        <v>625</v>
      </c>
      <c r="G1340" t="s">
        <v>23</v>
      </c>
      <c r="H1340" t="s">
        <v>24</v>
      </c>
      <c r="I1340" t="s">
        <v>1396</v>
      </c>
      <c r="J1340" t="s">
        <v>1397</v>
      </c>
      <c r="K1340" t="s">
        <v>27</v>
      </c>
      <c r="L1340" t="s">
        <v>1465</v>
      </c>
      <c r="M1340" t="s">
        <v>29</v>
      </c>
      <c r="N1340" t="s">
        <v>30</v>
      </c>
      <c r="O1340" t="s">
        <v>1466</v>
      </c>
      <c r="P1340">
        <v>241.96</v>
      </c>
      <c r="Q1340">
        <v>2</v>
      </c>
      <c r="R1340">
        <v>33.874400000000001</v>
      </c>
      <c r="S1340" t="s">
        <v>153</v>
      </c>
    </row>
    <row r="1341" spans="1:19" x14ac:dyDescent="0.35">
      <c r="A1341" t="s">
        <v>3453</v>
      </c>
      <c r="B1341" s="1">
        <v>42885</v>
      </c>
      <c r="C1341" s="1">
        <v>42886</v>
      </c>
      <c r="D1341" t="s">
        <v>81</v>
      </c>
      <c r="E1341" t="s">
        <v>624</v>
      </c>
      <c r="F1341" t="s">
        <v>625</v>
      </c>
      <c r="G1341" t="s">
        <v>23</v>
      </c>
      <c r="H1341" t="s">
        <v>24</v>
      </c>
      <c r="I1341" t="s">
        <v>1396</v>
      </c>
      <c r="J1341" t="s">
        <v>1397</v>
      </c>
      <c r="K1341" t="s">
        <v>27</v>
      </c>
      <c r="L1341" t="s">
        <v>2504</v>
      </c>
      <c r="M1341" t="s">
        <v>29</v>
      </c>
      <c r="N1341" t="s">
        <v>53</v>
      </c>
      <c r="O1341" t="s">
        <v>2505</v>
      </c>
      <c r="P1341">
        <v>8.01</v>
      </c>
      <c r="Q1341">
        <v>3</v>
      </c>
      <c r="R1341">
        <v>3.0438000000000001</v>
      </c>
      <c r="S1341" t="s">
        <v>153</v>
      </c>
    </row>
    <row r="1342" spans="1:19" x14ac:dyDescent="0.35">
      <c r="A1342" t="s">
        <v>3454</v>
      </c>
      <c r="B1342" s="1">
        <v>42978</v>
      </c>
      <c r="C1342" s="1">
        <v>42980</v>
      </c>
      <c r="D1342" t="s">
        <v>20</v>
      </c>
      <c r="E1342" t="s">
        <v>1951</v>
      </c>
      <c r="F1342" t="s">
        <v>1952</v>
      </c>
      <c r="G1342" t="s">
        <v>84</v>
      </c>
      <c r="H1342" t="s">
        <v>24</v>
      </c>
      <c r="I1342" t="s">
        <v>1557</v>
      </c>
      <c r="J1342" t="s">
        <v>184</v>
      </c>
      <c r="K1342" t="s">
        <v>51</v>
      </c>
      <c r="L1342" t="s">
        <v>505</v>
      </c>
      <c r="M1342" t="s">
        <v>29</v>
      </c>
      <c r="N1342" t="s">
        <v>34</v>
      </c>
      <c r="O1342" t="s">
        <v>506</v>
      </c>
      <c r="P1342">
        <v>569.56799999999998</v>
      </c>
      <c r="Q1342">
        <v>2</v>
      </c>
      <c r="R1342">
        <v>7.1196000000000002</v>
      </c>
      <c r="S1342" t="s">
        <v>245</v>
      </c>
    </row>
    <row r="1343" spans="1:19" x14ac:dyDescent="0.35">
      <c r="A1343" t="s">
        <v>3455</v>
      </c>
      <c r="B1343" s="1">
        <v>42869</v>
      </c>
      <c r="C1343" s="1">
        <v>42870</v>
      </c>
      <c r="D1343" t="s">
        <v>81</v>
      </c>
      <c r="E1343" t="s">
        <v>864</v>
      </c>
      <c r="F1343" t="s">
        <v>865</v>
      </c>
      <c r="G1343" t="s">
        <v>23</v>
      </c>
      <c r="H1343" t="s">
        <v>24</v>
      </c>
      <c r="I1343" t="s">
        <v>95</v>
      </c>
      <c r="J1343" t="s">
        <v>86</v>
      </c>
      <c r="K1343" t="s">
        <v>87</v>
      </c>
      <c r="L1343" t="s">
        <v>1591</v>
      </c>
      <c r="M1343" t="s">
        <v>29</v>
      </c>
      <c r="N1343" t="s">
        <v>34</v>
      </c>
      <c r="O1343" t="s">
        <v>1592</v>
      </c>
      <c r="P1343">
        <v>899.43</v>
      </c>
      <c r="Q1343">
        <v>5</v>
      </c>
      <c r="R1343">
        <v>-12.849</v>
      </c>
      <c r="S1343" t="s">
        <v>153</v>
      </c>
    </row>
    <row r="1344" spans="1:19" x14ac:dyDescent="0.35">
      <c r="A1344" t="s">
        <v>3456</v>
      </c>
      <c r="B1344" s="1">
        <v>42674</v>
      </c>
      <c r="C1344" s="1">
        <v>42679</v>
      </c>
      <c r="D1344" t="s">
        <v>37</v>
      </c>
      <c r="E1344" t="s">
        <v>819</v>
      </c>
      <c r="F1344" t="s">
        <v>820</v>
      </c>
      <c r="G1344" t="s">
        <v>84</v>
      </c>
      <c r="H1344" t="s">
        <v>24</v>
      </c>
      <c r="I1344" t="s">
        <v>2012</v>
      </c>
      <c r="J1344" t="s">
        <v>1513</v>
      </c>
      <c r="K1344" t="s">
        <v>87</v>
      </c>
      <c r="L1344" t="s">
        <v>1738</v>
      </c>
      <c r="M1344" t="s">
        <v>29</v>
      </c>
      <c r="N1344" t="s">
        <v>34</v>
      </c>
      <c r="O1344" t="s">
        <v>1739</v>
      </c>
      <c r="P1344">
        <v>368.97</v>
      </c>
      <c r="Q1344">
        <v>3</v>
      </c>
      <c r="R1344">
        <v>81.173400000000001</v>
      </c>
      <c r="S1344" t="s">
        <v>45</v>
      </c>
    </row>
    <row r="1345" spans="1:19" x14ac:dyDescent="0.35">
      <c r="A1345" t="s">
        <v>3457</v>
      </c>
      <c r="B1345" s="1">
        <v>42301</v>
      </c>
      <c r="C1345" s="1">
        <v>42304</v>
      </c>
      <c r="D1345" t="s">
        <v>81</v>
      </c>
      <c r="E1345" t="s">
        <v>984</v>
      </c>
      <c r="F1345" t="s">
        <v>985</v>
      </c>
      <c r="G1345" t="s">
        <v>94</v>
      </c>
      <c r="H1345" t="s">
        <v>24</v>
      </c>
      <c r="I1345" t="s">
        <v>1461</v>
      </c>
      <c r="J1345" t="s">
        <v>50</v>
      </c>
      <c r="K1345" t="s">
        <v>51</v>
      </c>
      <c r="L1345" t="s">
        <v>449</v>
      </c>
      <c r="M1345" t="s">
        <v>29</v>
      </c>
      <c r="N1345" t="s">
        <v>34</v>
      </c>
      <c r="O1345" t="s">
        <v>450</v>
      </c>
      <c r="P1345">
        <v>454.27199999999999</v>
      </c>
      <c r="Q1345">
        <v>8</v>
      </c>
      <c r="R1345">
        <v>-73.819199999999995</v>
      </c>
      <c r="S1345" t="s">
        <v>45</v>
      </c>
    </row>
    <row r="1346" spans="1:19" x14ac:dyDescent="0.35">
      <c r="A1346" t="s">
        <v>3458</v>
      </c>
      <c r="B1346" s="1">
        <v>41946</v>
      </c>
      <c r="C1346" s="1">
        <v>41950</v>
      </c>
      <c r="D1346" t="s">
        <v>37</v>
      </c>
      <c r="E1346" t="s">
        <v>3459</v>
      </c>
      <c r="F1346" t="s">
        <v>3460</v>
      </c>
      <c r="G1346" t="s">
        <v>23</v>
      </c>
      <c r="H1346" t="s">
        <v>24</v>
      </c>
      <c r="I1346" t="s">
        <v>597</v>
      </c>
      <c r="J1346" t="s">
        <v>1027</v>
      </c>
      <c r="K1346" t="s">
        <v>27</v>
      </c>
      <c r="L1346" t="s">
        <v>185</v>
      </c>
      <c r="M1346" t="s">
        <v>29</v>
      </c>
      <c r="N1346" t="s">
        <v>43</v>
      </c>
      <c r="O1346" t="s">
        <v>186</v>
      </c>
      <c r="P1346">
        <v>945.03599999999994</v>
      </c>
      <c r="Q1346">
        <v>6</v>
      </c>
      <c r="R1346">
        <v>-299.26139999999998</v>
      </c>
      <c r="S1346" t="s">
        <v>32</v>
      </c>
    </row>
    <row r="1347" spans="1:19" x14ac:dyDescent="0.35">
      <c r="A1347" t="s">
        <v>3458</v>
      </c>
      <c r="B1347" s="1">
        <v>41946</v>
      </c>
      <c r="C1347" s="1">
        <v>41950</v>
      </c>
      <c r="D1347" t="s">
        <v>37</v>
      </c>
      <c r="E1347" t="s">
        <v>3459</v>
      </c>
      <c r="F1347" t="s">
        <v>3460</v>
      </c>
      <c r="G1347" t="s">
        <v>23</v>
      </c>
      <c r="H1347" t="s">
        <v>24</v>
      </c>
      <c r="I1347" t="s">
        <v>597</v>
      </c>
      <c r="J1347" t="s">
        <v>1027</v>
      </c>
      <c r="K1347" t="s">
        <v>27</v>
      </c>
      <c r="L1347" t="s">
        <v>1822</v>
      </c>
      <c r="M1347" t="s">
        <v>29</v>
      </c>
      <c r="N1347" t="s">
        <v>53</v>
      </c>
      <c r="O1347" t="s">
        <v>1823</v>
      </c>
      <c r="P1347">
        <v>410.35199999999998</v>
      </c>
      <c r="Q1347">
        <v>3</v>
      </c>
      <c r="R1347">
        <v>-51.293999999999997</v>
      </c>
      <c r="S1347" t="s">
        <v>32</v>
      </c>
    </row>
    <row r="1348" spans="1:19" x14ac:dyDescent="0.35">
      <c r="A1348" t="s">
        <v>3461</v>
      </c>
      <c r="B1348" s="1">
        <v>42882</v>
      </c>
      <c r="C1348" s="1">
        <v>42884</v>
      </c>
      <c r="D1348" t="s">
        <v>81</v>
      </c>
      <c r="E1348" t="s">
        <v>1562</v>
      </c>
      <c r="F1348" t="s">
        <v>1563</v>
      </c>
      <c r="G1348" t="s">
        <v>23</v>
      </c>
      <c r="H1348" t="s">
        <v>24</v>
      </c>
      <c r="I1348" t="s">
        <v>3229</v>
      </c>
      <c r="J1348" t="s">
        <v>2271</v>
      </c>
      <c r="K1348" t="s">
        <v>51</v>
      </c>
      <c r="L1348" t="s">
        <v>2180</v>
      </c>
      <c r="M1348" t="s">
        <v>29</v>
      </c>
      <c r="N1348" t="s">
        <v>53</v>
      </c>
      <c r="O1348" t="s">
        <v>2181</v>
      </c>
      <c r="P1348">
        <v>35</v>
      </c>
      <c r="Q1348">
        <v>4</v>
      </c>
      <c r="R1348">
        <v>14.7</v>
      </c>
      <c r="S1348" t="s">
        <v>153</v>
      </c>
    </row>
    <row r="1349" spans="1:19" x14ac:dyDescent="0.35">
      <c r="A1349" t="s">
        <v>3462</v>
      </c>
      <c r="B1349" s="1">
        <v>43083</v>
      </c>
      <c r="C1349" s="1">
        <v>43088</v>
      </c>
      <c r="D1349" t="s">
        <v>37</v>
      </c>
      <c r="E1349" t="s">
        <v>213</v>
      </c>
      <c r="F1349" t="s">
        <v>214</v>
      </c>
      <c r="G1349" t="s">
        <v>23</v>
      </c>
      <c r="H1349" t="s">
        <v>24</v>
      </c>
      <c r="I1349" t="s">
        <v>2469</v>
      </c>
      <c r="J1349" t="s">
        <v>86</v>
      </c>
      <c r="K1349" t="s">
        <v>87</v>
      </c>
      <c r="L1349" t="s">
        <v>42</v>
      </c>
      <c r="M1349" t="s">
        <v>29</v>
      </c>
      <c r="N1349" t="s">
        <v>43</v>
      </c>
      <c r="O1349" t="s">
        <v>44</v>
      </c>
      <c r="P1349">
        <v>974.98800000000006</v>
      </c>
      <c r="Q1349">
        <v>4</v>
      </c>
      <c r="R1349">
        <v>-97.498800000000003</v>
      </c>
      <c r="S1349" t="s">
        <v>90</v>
      </c>
    </row>
    <row r="1350" spans="1:19" x14ac:dyDescent="0.35">
      <c r="A1350" t="s">
        <v>3463</v>
      </c>
      <c r="B1350" s="1">
        <v>41916</v>
      </c>
      <c r="C1350" s="1">
        <v>41918</v>
      </c>
      <c r="D1350" t="s">
        <v>81</v>
      </c>
      <c r="E1350" t="s">
        <v>1143</v>
      </c>
      <c r="F1350" t="s">
        <v>1144</v>
      </c>
      <c r="G1350" t="s">
        <v>23</v>
      </c>
      <c r="H1350" t="s">
        <v>24</v>
      </c>
      <c r="I1350" t="s">
        <v>165</v>
      </c>
      <c r="J1350" t="s">
        <v>114</v>
      </c>
      <c r="K1350" t="s">
        <v>63</v>
      </c>
      <c r="L1350" t="s">
        <v>2569</v>
      </c>
      <c r="M1350" t="s">
        <v>29</v>
      </c>
      <c r="N1350" t="s">
        <v>34</v>
      </c>
      <c r="O1350" t="s">
        <v>2570</v>
      </c>
      <c r="P1350">
        <v>589.41</v>
      </c>
      <c r="Q1350">
        <v>5</v>
      </c>
      <c r="R1350">
        <v>-6.5490000000000004</v>
      </c>
      <c r="S1350" t="s">
        <v>45</v>
      </c>
    </row>
    <row r="1351" spans="1:19" x14ac:dyDescent="0.35">
      <c r="A1351" t="s">
        <v>3464</v>
      </c>
      <c r="B1351" s="1">
        <v>42656</v>
      </c>
      <c r="C1351" s="1">
        <v>42663</v>
      </c>
      <c r="D1351" t="s">
        <v>37</v>
      </c>
      <c r="E1351" t="s">
        <v>1951</v>
      </c>
      <c r="F1351" t="s">
        <v>1952</v>
      </c>
      <c r="G1351" t="s">
        <v>84</v>
      </c>
      <c r="H1351" t="s">
        <v>24</v>
      </c>
      <c r="I1351" t="s">
        <v>165</v>
      </c>
      <c r="J1351" t="s">
        <v>114</v>
      </c>
      <c r="K1351" t="s">
        <v>63</v>
      </c>
      <c r="L1351" t="s">
        <v>1140</v>
      </c>
      <c r="M1351" t="s">
        <v>29</v>
      </c>
      <c r="N1351" t="s">
        <v>53</v>
      </c>
      <c r="O1351" t="s">
        <v>1141</v>
      </c>
      <c r="P1351">
        <v>82.26</v>
      </c>
      <c r="Q1351">
        <v>3</v>
      </c>
      <c r="R1351">
        <v>33.726599999999998</v>
      </c>
      <c r="S1351" t="s">
        <v>45</v>
      </c>
    </row>
    <row r="1352" spans="1:19" x14ac:dyDescent="0.35">
      <c r="A1352" t="s">
        <v>3465</v>
      </c>
      <c r="B1352" s="1">
        <v>42798</v>
      </c>
      <c r="C1352" s="1">
        <v>42800</v>
      </c>
      <c r="D1352" t="s">
        <v>20</v>
      </c>
      <c r="E1352" t="s">
        <v>3466</v>
      </c>
      <c r="F1352" t="s">
        <v>3467</v>
      </c>
      <c r="G1352" t="s">
        <v>94</v>
      </c>
      <c r="H1352" t="s">
        <v>24</v>
      </c>
      <c r="I1352" t="s">
        <v>95</v>
      </c>
      <c r="J1352" t="s">
        <v>86</v>
      </c>
      <c r="K1352" t="s">
        <v>87</v>
      </c>
      <c r="L1352" t="s">
        <v>78</v>
      </c>
      <c r="M1352" t="s">
        <v>29</v>
      </c>
      <c r="N1352" t="s">
        <v>53</v>
      </c>
      <c r="O1352" t="s">
        <v>79</v>
      </c>
      <c r="P1352">
        <v>103.5</v>
      </c>
      <c r="Q1352">
        <v>5</v>
      </c>
      <c r="R1352">
        <v>-77.625</v>
      </c>
      <c r="S1352" t="s">
        <v>187</v>
      </c>
    </row>
    <row r="1353" spans="1:19" x14ac:dyDescent="0.35">
      <c r="A1353" t="s">
        <v>3468</v>
      </c>
      <c r="B1353" s="1">
        <v>42947</v>
      </c>
      <c r="C1353" s="1">
        <v>42950</v>
      </c>
      <c r="D1353" t="s">
        <v>81</v>
      </c>
      <c r="E1353" t="s">
        <v>3469</v>
      </c>
      <c r="F1353" t="s">
        <v>3470</v>
      </c>
      <c r="G1353" t="s">
        <v>23</v>
      </c>
      <c r="H1353" t="s">
        <v>24</v>
      </c>
      <c r="I1353" t="s">
        <v>320</v>
      </c>
      <c r="J1353" t="s">
        <v>50</v>
      </c>
      <c r="K1353" t="s">
        <v>51</v>
      </c>
      <c r="L1353" t="s">
        <v>1649</v>
      </c>
      <c r="M1353" t="s">
        <v>29</v>
      </c>
      <c r="N1353" t="s">
        <v>53</v>
      </c>
      <c r="O1353" t="s">
        <v>1650</v>
      </c>
      <c r="P1353">
        <v>36.96</v>
      </c>
      <c r="Q1353">
        <v>7</v>
      </c>
      <c r="R1353">
        <v>11.457599999999999</v>
      </c>
      <c r="S1353" t="s">
        <v>66</v>
      </c>
    </row>
    <row r="1354" spans="1:19" x14ac:dyDescent="0.35">
      <c r="A1354" t="s">
        <v>3471</v>
      </c>
      <c r="B1354" s="1">
        <v>42869</v>
      </c>
      <c r="C1354" s="1">
        <v>42872</v>
      </c>
      <c r="D1354" t="s">
        <v>81</v>
      </c>
      <c r="E1354" t="s">
        <v>867</v>
      </c>
      <c r="F1354" t="s">
        <v>868</v>
      </c>
      <c r="G1354" t="s">
        <v>84</v>
      </c>
      <c r="H1354" t="s">
        <v>24</v>
      </c>
      <c r="I1354" t="s">
        <v>2745</v>
      </c>
      <c r="J1354" t="s">
        <v>1080</v>
      </c>
      <c r="K1354" t="s">
        <v>63</v>
      </c>
      <c r="L1354" t="s">
        <v>2569</v>
      </c>
      <c r="M1354" t="s">
        <v>29</v>
      </c>
      <c r="N1354" t="s">
        <v>34</v>
      </c>
      <c r="O1354" t="s">
        <v>2570</v>
      </c>
      <c r="P1354">
        <v>261.95999999999998</v>
      </c>
      <c r="Q1354">
        <v>2</v>
      </c>
      <c r="R1354">
        <v>23.5764</v>
      </c>
      <c r="S1354" t="s">
        <v>153</v>
      </c>
    </row>
    <row r="1355" spans="1:19" x14ac:dyDescent="0.35">
      <c r="A1355" t="s">
        <v>3472</v>
      </c>
      <c r="B1355" s="1">
        <v>42635</v>
      </c>
      <c r="C1355" s="1">
        <v>42641</v>
      </c>
      <c r="D1355" t="s">
        <v>37</v>
      </c>
      <c r="E1355" t="s">
        <v>2815</v>
      </c>
      <c r="F1355" t="s">
        <v>2816</v>
      </c>
      <c r="G1355" t="s">
        <v>94</v>
      </c>
      <c r="H1355" t="s">
        <v>24</v>
      </c>
      <c r="I1355" t="s">
        <v>856</v>
      </c>
      <c r="J1355" t="s">
        <v>26</v>
      </c>
      <c r="K1355" t="s">
        <v>27</v>
      </c>
      <c r="L1355" t="s">
        <v>2317</v>
      </c>
      <c r="M1355" t="s">
        <v>29</v>
      </c>
      <c r="N1355" t="s">
        <v>53</v>
      </c>
      <c r="O1355" t="s">
        <v>2318</v>
      </c>
      <c r="P1355">
        <v>13.28</v>
      </c>
      <c r="Q1355">
        <v>2</v>
      </c>
      <c r="R1355">
        <v>6.3743999999999996</v>
      </c>
      <c r="S1355" t="s">
        <v>72</v>
      </c>
    </row>
    <row r="1356" spans="1:19" x14ac:dyDescent="0.35">
      <c r="A1356" t="s">
        <v>3473</v>
      </c>
      <c r="B1356" s="1">
        <v>42706</v>
      </c>
      <c r="C1356" s="1">
        <v>42712</v>
      </c>
      <c r="D1356" t="s">
        <v>37</v>
      </c>
      <c r="E1356" t="s">
        <v>3387</v>
      </c>
      <c r="F1356" t="s">
        <v>3388</v>
      </c>
      <c r="G1356" t="s">
        <v>94</v>
      </c>
      <c r="H1356" t="s">
        <v>24</v>
      </c>
      <c r="I1356" t="s">
        <v>1635</v>
      </c>
      <c r="J1356" t="s">
        <v>1636</v>
      </c>
      <c r="K1356" t="s">
        <v>63</v>
      </c>
      <c r="L1356" t="s">
        <v>542</v>
      </c>
      <c r="M1356" t="s">
        <v>29</v>
      </c>
      <c r="N1356" t="s">
        <v>53</v>
      </c>
      <c r="O1356" t="s">
        <v>3116</v>
      </c>
      <c r="P1356">
        <v>72.42</v>
      </c>
      <c r="Q1356">
        <v>6</v>
      </c>
      <c r="R1356">
        <v>23.898599999999998</v>
      </c>
      <c r="S1356" t="s">
        <v>90</v>
      </c>
    </row>
    <row r="1357" spans="1:19" x14ac:dyDescent="0.35">
      <c r="A1357" t="s">
        <v>3474</v>
      </c>
      <c r="B1357" s="1">
        <v>41653</v>
      </c>
      <c r="C1357" s="1">
        <v>41654</v>
      </c>
      <c r="D1357" t="s">
        <v>81</v>
      </c>
      <c r="E1357" t="s">
        <v>3475</v>
      </c>
      <c r="F1357" t="s">
        <v>3476</v>
      </c>
      <c r="G1357" t="s">
        <v>84</v>
      </c>
      <c r="H1357" t="s">
        <v>24</v>
      </c>
      <c r="I1357" t="s">
        <v>61</v>
      </c>
      <c r="J1357" t="s">
        <v>62</v>
      </c>
      <c r="K1357" t="s">
        <v>63</v>
      </c>
      <c r="L1357" t="s">
        <v>1166</v>
      </c>
      <c r="M1357" t="s">
        <v>29</v>
      </c>
      <c r="N1357" t="s">
        <v>30</v>
      </c>
      <c r="O1357" t="s">
        <v>1167</v>
      </c>
      <c r="P1357">
        <v>61.96</v>
      </c>
      <c r="Q1357">
        <v>4</v>
      </c>
      <c r="R1357">
        <v>-53.285600000000002</v>
      </c>
      <c r="S1357" t="s">
        <v>161</v>
      </c>
    </row>
    <row r="1358" spans="1:19" x14ac:dyDescent="0.35">
      <c r="A1358" t="s">
        <v>3477</v>
      </c>
      <c r="B1358" s="1">
        <v>42889</v>
      </c>
      <c r="C1358" s="1">
        <v>42896</v>
      </c>
      <c r="D1358" t="s">
        <v>37</v>
      </c>
      <c r="E1358" t="s">
        <v>2927</v>
      </c>
      <c r="F1358" t="s">
        <v>2928</v>
      </c>
      <c r="G1358" t="s">
        <v>23</v>
      </c>
      <c r="H1358" t="s">
        <v>24</v>
      </c>
      <c r="I1358" t="s">
        <v>431</v>
      </c>
      <c r="J1358" t="s">
        <v>41</v>
      </c>
      <c r="K1358" t="s">
        <v>27</v>
      </c>
      <c r="L1358" t="s">
        <v>520</v>
      </c>
      <c r="M1358" t="s">
        <v>29</v>
      </c>
      <c r="N1358" t="s">
        <v>30</v>
      </c>
      <c r="O1358" t="s">
        <v>521</v>
      </c>
      <c r="P1358">
        <v>241.56800000000001</v>
      </c>
      <c r="Q1358">
        <v>2</v>
      </c>
      <c r="R1358">
        <v>0</v>
      </c>
      <c r="S1358" t="s">
        <v>55</v>
      </c>
    </row>
    <row r="1359" spans="1:19" x14ac:dyDescent="0.35">
      <c r="A1359" t="s">
        <v>3478</v>
      </c>
      <c r="B1359" s="1">
        <v>42889</v>
      </c>
      <c r="C1359" s="1">
        <v>42895</v>
      </c>
      <c r="D1359" t="s">
        <v>37</v>
      </c>
      <c r="E1359" t="s">
        <v>3479</v>
      </c>
      <c r="F1359" t="s">
        <v>3480</v>
      </c>
      <c r="G1359" t="s">
        <v>84</v>
      </c>
      <c r="H1359" t="s">
        <v>24</v>
      </c>
      <c r="I1359" t="s">
        <v>165</v>
      </c>
      <c r="J1359" t="s">
        <v>114</v>
      </c>
      <c r="K1359" t="s">
        <v>63</v>
      </c>
      <c r="L1359" t="s">
        <v>1068</v>
      </c>
      <c r="M1359" t="s">
        <v>29</v>
      </c>
      <c r="N1359" t="s">
        <v>43</v>
      </c>
      <c r="O1359" t="s">
        <v>1069</v>
      </c>
      <c r="P1359">
        <v>384.76799999999997</v>
      </c>
      <c r="Q1359">
        <v>2</v>
      </c>
      <c r="R1359">
        <v>-115.43040000000001</v>
      </c>
      <c r="S1359" t="s">
        <v>55</v>
      </c>
    </row>
    <row r="1360" spans="1:19" x14ac:dyDescent="0.35">
      <c r="A1360" t="s">
        <v>3481</v>
      </c>
      <c r="B1360" s="1">
        <v>41897</v>
      </c>
      <c r="C1360" s="1">
        <v>41901</v>
      </c>
      <c r="D1360" t="s">
        <v>37</v>
      </c>
      <c r="E1360" t="s">
        <v>2949</v>
      </c>
      <c r="F1360" t="s">
        <v>2950</v>
      </c>
      <c r="G1360" t="s">
        <v>84</v>
      </c>
      <c r="H1360" t="s">
        <v>24</v>
      </c>
      <c r="I1360" t="s">
        <v>61</v>
      </c>
      <c r="J1360" t="s">
        <v>62</v>
      </c>
      <c r="K1360" t="s">
        <v>63</v>
      </c>
      <c r="L1360" t="s">
        <v>747</v>
      </c>
      <c r="M1360" t="s">
        <v>29</v>
      </c>
      <c r="N1360" t="s">
        <v>53</v>
      </c>
      <c r="O1360" t="s">
        <v>748</v>
      </c>
      <c r="P1360">
        <v>103.93600000000001</v>
      </c>
      <c r="Q1360">
        <v>4</v>
      </c>
      <c r="R1360">
        <v>16.889600000000002</v>
      </c>
      <c r="S1360" t="s">
        <v>72</v>
      </c>
    </row>
    <row r="1361" spans="1:19" x14ac:dyDescent="0.35">
      <c r="A1361" t="s">
        <v>3482</v>
      </c>
      <c r="B1361" s="1">
        <v>42694</v>
      </c>
      <c r="C1361" s="1">
        <v>42699</v>
      </c>
      <c r="D1361" t="s">
        <v>37</v>
      </c>
      <c r="E1361" t="s">
        <v>1526</v>
      </c>
      <c r="F1361" t="s">
        <v>1527</v>
      </c>
      <c r="G1361" t="s">
        <v>84</v>
      </c>
      <c r="H1361" t="s">
        <v>24</v>
      </c>
      <c r="I1361" t="s">
        <v>3483</v>
      </c>
      <c r="J1361" t="s">
        <v>41</v>
      </c>
      <c r="K1361" t="s">
        <v>27</v>
      </c>
      <c r="L1361" t="s">
        <v>269</v>
      </c>
      <c r="M1361" t="s">
        <v>29</v>
      </c>
      <c r="N1361" t="s">
        <v>30</v>
      </c>
      <c r="O1361" t="s">
        <v>270</v>
      </c>
      <c r="P1361">
        <v>289.56799999999998</v>
      </c>
      <c r="Q1361">
        <v>2</v>
      </c>
      <c r="R1361">
        <v>10.8588</v>
      </c>
      <c r="S1361" t="s">
        <v>32</v>
      </c>
    </row>
    <row r="1362" spans="1:19" x14ac:dyDescent="0.35">
      <c r="A1362" t="s">
        <v>3484</v>
      </c>
      <c r="B1362" s="1">
        <v>42209</v>
      </c>
      <c r="C1362" s="1">
        <v>42213</v>
      </c>
      <c r="D1362" t="s">
        <v>37</v>
      </c>
      <c r="E1362" t="s">
        <v>3485</v>
      </c>
      <c r="F1362" t="s">
        <v>3486</v>
      </c>
      <c r="G1362" t="s">
        <v>94</v>
      </c>
      <c r="H1362" t="s">
        <v>24</v>
      </c>
      <c r="I1362" t="s">
        <v>856</v>
      </c>
      <c r="J1362" t="s">
        <v>26</v>
      </c>
      <c r="K1362" t="s">
        <v>27</v>
      </c>
      <c r="L1362" t="s">
        <v>52</v>
      </c>
      <c r="M1362" t="s">
        <v>29</v>
      </c>
      <c r="N1362" t="s">
        <v>53</v>
      </c>
      <c r="O1362" t="s">
        <v>54</v>
      </c>
      <c r="P1362">
        <v>20.94</v>
      </c>
      <c r="Q1362">
        <v>3</v>
      </c>
      <c r="R1362">
        <v>6.0726000000000004</v>
      </c>
      <c r="S1362" t="s">
        <v>66</v>
      </c>
    </row>
    <row r="1363" spans="1:19" x14ac:dyDescent="0.35">
      <c r="A1363" t="s">
        <v>3487</v>
      </c>
      <c r="B1363" s="1">
        <v>42652</v>
      </c>
      <c r="C1363" s="1">
        <v>42654</v>
      </c>
      <c r="D1363" t="s">
        <v>20</v>
      </c>
      <c r="E1363" t="s">
        <v>3488</v>
      </c>
      <c r="F1363" t="s">
        <v>3489</v>
      </c>
      <c r="G1363" t="s">
        <v>84</v>
      </c>
      <c r="H1363" t="s">
        <v>24</v>
      </c>
      <c r="I1363" t="s">
        <v>61</v>
      </c>
      <c r="J1363" t="s">
        <v>62</v>
      </c>
      <c r="K1363" t="s">
        <v>63</v>
      </c>
      <c r="L1363" t="s">
        <v>708</v>
      </c>
      <c r="M1363" t="s">
        <v>29</v>
      </c>
      <c r="N1363" t="s">
        <v>53</v>
      </c>
      <c r="O1363" t="s">
        <v>709</v>
      </c>
      <c r="P1363">
        <v>332.83199999999999</v>
      </c>
      <c r="Q1363">
        <v>4</v>
      </c>
      <c r="R1363">
        <v>-24.962399999999999</v>
      </c>
      <c r="S1363" t="s">
        <v>45</v>
      </c>
    </row>
    <row r="1364" spans="1:19" x14ac:dyDescent="0.35">
      <c r="A1364" t="s">
        <v>3490</v>
      </c>
      <c r="B1364" s="1">
        <v>42993</v>
      </c>
      <c r="C1364" s="1">
        <v>42997</v>
      </c>
      <c r="D1364" t="s">
        <v>37</v>
      </c>
      <c r="E1364" t="s">
        <v>1652</v>
      </c>
      <c r="F1364" t="s">
        <v>1653</v>
      </c>
      <c r="G1364" t="s">
        <v>23</v>
      </c>
      <c r="H1364" t="s">
        <v>24</v>
      </c>
      <c r="I1364" t="s">
        <v>320</v>
      </c>
      <c r="J1364" t="s">
        <v>50</v>
      </c>
      <c r="K1364" t="s">
        <v>51</v>
      </c>
      <c r="L1364" t="s">
        <v>1208</v>
      </c>
      <c r="M1364" t="s">
        <v>29</v>
      </c>
      <c r="N1364" t="s">
        <v>34</v>
      </c>
      <c r="O1364" t="s">
        <v>1209</v>
      </c>
      <c r="P1364">
        <v>218.352</v>
      </c>
      <c r="Q1364">
        <v>3</v>
      </c>
      <c r="R1364">
        <v>0</v>
      </c>
      <c r="S1364" t="s">
        <v>72</v>
      </c>
    </row>
    <row r="1365" spans="1:19" x14ac:dyDescent="0.35">
      <c r="A1365" t="s">
        <v>3490</v>
      </c>
      <c r="B1365" s="1">
        <v>42993</v>
      </c>
      <c r="C1365" s="1">
        <v>42997</v>
      </c>
      <c r="D1365" t="s">
        <v>37</v>
      </c>
      <c r="E1365" t="s">
        <v>1652</v>
      </c>
      <c r="F1365" t="s">
        <v>1653</v>
      </c>
      <c r="G1365" t="s">
        <v>23</v>
      </c>
      <c r="H1365" t="s">
        <v>24</v>
      </c>
      <c r="I1365" t="s">
        <v>320</v>
      </c>
      <c r="J1365" t="s">
        <v>50</v>
      </c>
      <c r="K1365" t="s">
        <v>51</v>
      </c>
      <c r="L1365" t="s">
        <v>1382</v>
      </c>
      <c r="M1365" t="s">
        <v>29</v>
      </c>
      <c r="N1365" t="s">
        <v>53</v>
      </c>
      <c r="O1365" t="s">
        <v>1383</v>
      </c>
      <c r="P1365">
        <v>529.9</v>
      </c>
      <c r="Q1365">
        <v>5</v>
      </c>
      <c r="R1365">
        <v>105.98</v>
      </c>
      <c r="S1365" t="s">
        <v>72</v>
      </c>
    </row>
    <row r="1366" spans="1:19" x14ac:dyDescent="0.35">
      <c r="A1366" t="s">
        <v>3491</v>
      </c>
      <c r="B1366" s="1">
        <v>42751</v>
      </c>
      <c r="C1366" s="1">
        <v>42753</v>
      </c>
      <c r="D1366" t="s">
        <v>20</v>
      </c>
      <c r="E1366" t="s">
        <v>2666</v>
      </c>
      <c r="F1366" t="s">
        <v>2667</v>
      </c>
      <c r="G1366" t="s">
        <v>23</v>
      </c>
      <c r="H1366" t="s">
        <v>24</v>
      </c>
      <c r="I1366" t="s">
        <v>468</v>
      </c>
      <c r="J1366" t="s">
        <v>281</v>
      </c>
      <c r="K1366" t="s">
        <v>87</v>
      </c>
      <c r="L1366" t="s">
        <v>3008</v>
      </c>
      <c r="M1366" t="s">
        <v>29</v>
      </c>
      <c r="N1366" t="s">
        <v>34</v>
      </c>
      <c r="O1366" t="s">
        <v>3009</v>
      </c>
      <c r="P1366">
        <v>302.67</v>
      </c>
      <c r="Q1366">
        <v>3</v>
      </c>
      <c r="R1366">
        <v>72.640799999999999</v>
      </c>
      <c r="S1366" t="s">
        <v>161</v>
      </c>
    </row>
    <row r="1367" spans="1:19" x14ac:dyDescent="0.35">
      <c r="A1367" t="s">
        <v>3492</v>
      </c>
      <c r="B1367" s="1">
        <v>41960</v>
      </c>
      <c r="C1367" s="1">
        <v>41965</v>
      </c>
      <c r="D1367" t="s">
        <v>37</v>
      </c>
      <c r="E1367" t="s">
        <v>864</v>
      </c>
      <c r="F1367" t="s">
        <v>865</v>
      </c>
      <c r="G1367" t="s">
        <v>23</v>
      </c>
      <c r="H1367" t="s">
        <v>24</v>
      </c>
      <c r="I1367" t="s">
        <v>2945</v>
      </c>
      <c r="J1367" t="s">
        <v>114</v>
      </c>
      <c r="K1367" t="s">
        <v>63</v>
      </c>
      <c r="L1367" t="s">
        <v>1686</v>
      </c>
      <c r="M1367" t="s">
        <v>29</v>
      </c>
      <c r="N1367" t="s">
        <v>30</v>
      </c>
      <c r="O1367" t="s">
        <v>1687</v>
      </c>
      <c r="P1367">
        <v>4007.84</v>
      </c>
      <c r="Q1367">
        <v>10</v>
      </c>
      <c r="R1367">
        <v>-50.097999999999999</v>
      </c>
      <c r="S1367" t="s">
        <v>32</v>
      </c>
    </row>
    <row r="1368" spans="1:19" x14ac:dyDescent="0.35">
      <c r="A1368" t="s">
        <v>3493</v>
      </c>
      <c r="B1368" s="1">
        <v>41932</v>
      </c>
      <c r="C1368" s="1">
        <v>41935</v>
      </c>
      <c r="D1368" t="s">
        <v>81</v>
      </c>
      <c r="E1368" t="s">
        <v>3258</v>
      </c>
      <c r="F1368" t="s">
        <v>3259</v>
      </c>
      <c r="G1368" t="s">
        <v>84</v>
      </c>
      <c r="H1368" t="s">
        <v>24</v>
      </c>
      <c r="I1368" t="s">
        <v>3115</v>
      </c>
      <c r="J1368" t="s">
        <v>133</v>
      </c>
      <c r="K1368" t="s">
        <v>27</v>
      </c>
      <c r="L1368" t="s">
        <v>1225</v>
      </c>
      <c r="M1368" t="s">
        <v>29</v>
      </c>
      <c r="N1368" t="s">
        <v>43</v>
      </c>
      <c r="O1368" t="s">
        <v>1226</v>
      </c>
      <c r="P1368">
        <v>328.59</v>
      </c>
      <c r="Q1368">
        <v>3</v>
      </c>
      <c r="R1368">
        <v>-147.8655</v>
      </c>
      <c r="S1368" t="s">
        <v>45</v>
      </c>
    </row>
    <row r="1369" spans="1:19" x14ac:dyDescent="0.35">
      <c r="A1369" t="s">
        <v>3494</v>
      </c>
      <c r="B1369" s="1">
        <v>42302</v>
      </c>
      <c r="C1369" s="1">
        <v>42307</v>
      </c>
      <c r="D1369" t="s">
        <v>37</v>
      </c>
      <c r="E1369" t="s">
        <v>261</v>
      </c>
      <c r="F1369" t="s">
        <v>262</v>
      </c>
      <c r="G1369" t="s">
        <v>84</v>
      </c>
      <c r="H1369" t="s">
        <v>24</v>
      </c>
      <c r="I1369" t="s">
        <v>222</v>
      </c>
      <c r="J1369" t="s">
        <v>192</v>
      </c>
      <c r="K1369" t="s">
        <v>63</v>
      </c>
      <c r="L1369" t="s">
        <v>1883</v>
      </c>
      <c r="M1369" t="s">
        <v>29</v>
      </c>
      <c r="N1369" t="s">
        <v>34</v>
      </c>
      <c r="O1369" t="s">
        <v>1884</v>
      </c>
      <c r="P1369">
        <v>291.10000000000002</v>
      </c>
      <c r="Q1369">
        <v>5</v>
      </c>
      <c r="R1369">
        <v>75.686000000000007</v>
      </c>
      <c r="S1369" t="s">
        <v>45</v>
      </c>
    </row>
    <row r="1370" spans="1:19" x14ac:dyDescent="0.35">
      <c r="A1370" t="s">
        <v>3495</v>
      </c>
      <c r="B1370" s="1">
        <v>43055</v>
      </c>
      <c r="C1370" s="1">
        <v>43058</v>
      </c>
      <c r="D1370" t="s">
        <v>81</v>
      </c>
      <c r="E1370" t="s">
        <v>1143</v>
      </c>
      <c r="F1370" t="s">
        <v>1144</v>
      </c>
      <c r="G1370" t="s">
        <v>23</v>
      </c>
      <c r="H1370" t="s">
        <v>24</v>
      </c>
      <c r="I1370" t="s">
        <v>183</v>
      </c>
      <c r="J1370" t="s">
        <v>184</v>
      </c>
      <c r="K1370" t="s">
        <v>51</v>
      </c>
      <c r="L1370" t="s">
        <v>716</v>
      </c>
      <c r="M1370" t="s">
        <v>29</v>
      </c>
      <c r="N1370" t="s">
        <v>53</v>
      </c>
      <c r="O1370" t="s">
        <v>717</v>
      </c>
      <c r="P1370">
        <v>139.91999999999999</v>
      </c>
      <c r="Q1370">
        <v>2</v>
      </c>
      <c r="R1370">
        <v>23.7864</v>
      </c>
      <c r="S1370" t="s">
        <v>32</v>
      </c>
    </row>
    <row r="1371" spans="1:19" x14ac:dyDescent="0.35">
      <c r="A1371" t="s">
        <v>3496</v>
      </c>
      <c r="B1371" s="1">
        <v>41699</v>
      </c>
      <c r="C1371" s="1">
        <v>41703</v>
      </c>
      <c r="D1371" t="s">
        <v>37</v>
      </c>
      <c r="E1371" t="s">
        <v>2852</v>
      </c>
      <c r="F1371" t="s">
        <v>2853</v>
      </c>
      <c r="G1371" t="s">
        <v>94</v>
      </c>
      <c r="H1371" t="s">
        <v>24</v>
      </c>
      <c r="I1371" t="s">
        <v>3497</v>
      </c>
      <c r="J1371" t="s">
        <v>126</v>
      </c>
      <c r="K1371" t="s">
        <v>87</v>
      </c>
      <c r="L1371" t="s">
        <v>151</v>
      </c>
      <c r="M1371" t="s">
        <v>29</v>
      </c>
      <c r="N1371" t="s">
        <v>34</v>
      </c>
      <c r="O1371" t="s">
        <v>152</v>
      </c>
      <c r="P1371">
        <v>634.11599999999999</v>
      </c>
      <c r="Q1371">
        <v>6</v>
      </c>
      <c r="R1371">
        <v>-172.1172</v>
      </c>
      <c r="S1371" t="s">
        <v>187</v>
      </c>
    </row>
    <row r="1372" spans="1:19" x14ac:dyDescent="0.35">
      <c r="A1372" t="s">
        <v>3498</v>
      </c>
      <c r="B1372" s="1">
        <v>42215</v>
      </c>
      <c r="C1372" s="1">
        <v>42217</v>
      </c>
      <c r="D1372" t="s">
        <v>81</v>
      </c>
      <c r="E1372" t="s">
        <v>2590</v>
      </c>
      <c r="F1372" t="s">
        <v>2591</v>
      </c>
      <c r="G1372" t="s">
        <v>94</v>
      </c>
      <c r="H1372" t="s">
        <v>24</v>
      </c>
      <c r="I1372" t="s">
        <v>316</v>
      </c>
      <c r="J1372" t="s">
        <v>158</v>
      </c>
      <c r="K1372" t="s">
        <v>87</v>
      </c>
      <c r="L1372" t="s">
        <v>994</v>
      </c>
      <c r="M1372" t="s">
        <v>29</v>
      </c>
      <c r="N1372" t="s">
        <v>34</v>
      </c>
      <c r="O1372" t="s">
        <v>995</v>
      </c>
      <c r="P1372">
        <v>155.88</v>
      </c>
      <c r="Q1372">
        <v>6</v>
      </c>
      <c r="R1372">
        <v>38.97</v>
      </c>
      <c r="S1372" t="s">
        <v>66</v>
      </c>
    </row>
    <row r="1373" spans="1:19" x14ac:dyDescent="0.35">
      <c r="A1373" t="s">
        <v>3499</v>
      </c>
      <c r="B1373" s="1">
        <v>42309</v>
      </c>
      <c r="C1373" s="1">
        <v>42311</v>
      </c>
      <c r="D1373" t="s">
        <v>20</v>
      </c>
      <c r="E1373" t="s">
        <v>2248</v>
      </c>
      <c r="F1373" t="s">
        <v>2249</v>
      </c>
      <c r="G1373" t="s">
        <v>23</v>
      </c>
      <c r="H1373" t="s">
        <v>24</v>
      </c>
      <c r="I1373" t="s">
        <v>165</v>
      </c>
      <c r="J1373" t="s">
        <v>114</v>
      </c>
      <c r="K1373" t="s">
        <v>63</v>
      </c>
      <c r="L1373" t="s">
        <v>2171</v>
      </c>
      <c r="M1373" t="s">
        <v>29</v>
      </c>
      <c r="N1373" t="s">
        <v>34</v>
      </c>
      <c r="O1373" t="s">
        <v>2172</v>
      </c>
      <c r="P1373">
        <v>327.56400000000002</v>
      </c>
      <c r="Q1373">
        <v>4</v>
      </c>
      <c r="R1373">
        <v>21.837599999999998</v>
      </c>
      <c r="S1373" t="s">
        <v>32</v>
      </c>
    </row>
    <row r="1374" spans="1:19" x14ac:dyDescent="0.35">
      <c r="A1374" t="s">
        <v>3500</v>
      </c>
      <c r="B1374" s="1">
        <v>42160</v>
      </c>
      <c r="C1374" s="1">
        <v>42165</v>
      </c>
      <c r="D1374" t="s">
        <v>37</v>
      </c>
      <c r="E1374" t="s">
        <v>2372</v>
      </c>
      <c r="F1374" t="s">
        <v>2373</v>
      </c>
      <c r="G1374" t="s">
        <v>84</v>
      </c>
      <c r="H1374" t="s">
        <v>24</v>
      </c>
      <c r="I1374" t="s">
        <v>2945</v>
      </c>
      <c r="J1374" t="s">
        <v>114</v>
      </c>
      <c r="K1374" t="s">
        <v>63</v>
      </c>
      <c r="L1374" t="s">
        <v>616</v>
      </c>
      <c r="M1374" t="s">
        <v>29</v>
      </c>
      <c r="N1374" t="s">
        <v>34</v>
      </c>
      <c r="O1374" t="s">
        <v>617</v>
      </c>
      <c r="P1374">
        <v>1522.6379999999999</v>
      </c>
      <c r="Q1374">
        <v>9</v>
      </c>
      <c r="R1374">
        <v>169.18199999999999</v>
      </c>
      <c r="S1374" t="s">
        <v>55</v>
      </c>
    </row>
    <row r="1375" spans="1:19" x14ac:dyDescent="0.35">
      <c r="A1375" t="s">
        <v>3501</v>
      </c>
      <c r="B1375" s="1">
        <v>41766</v>
      </c>
      <c r="C1375" s="1">
        <v>41771</v>
      </c>
      <c r="D1375" t="s">
        <v>37</v>
      </c>
      <c r="E1375" t="s">
        <v>1639</v>
      </c>
      <c r="F1375" t="s">
        <v>1640</v>
      </c>
      <c r="G1375" t="s">
        <v>23</v>
      </c>
      <c r="H1375" t="s">
        <v>24</v>
      </c>
      <c r="I1375" t="s">
        <v>462</v>
      </c>
      <c r="J1375" t="s">
        <v>425</v>
      </c>
      <c r="K1375" t="s">
        <v>63</v>
      </c>
      <c r="L1375" t="s">
        <v>2557</v>
      </c>
      <c r="M1375" t="s">
        <v>29</v>
      </c>
      <c r="N1375" t="s">
        <v>43</v>
      </c>
      <c r="O1375" t="s">
        <v>2558</v>
      </c>
      <c r="P1375">
        <v>194.25</v>
      </c>
      <c r="Q1375">
        <v>2</v>
      </c>
      <c r="R1375">
        <v>-38.85</v>
      </c>
      <c r="S1375" t="s">
        <v>153</v>
      </c>
    </row>
    <row r="1376" spans="1:19" x14ac:dyDescent="0.35">
      <c r="A1376" t="s">
        <v>3501</v>
      </c>
      <c r="B1376" s="1">
        <v>41766</v>
      </c>
      <c r="C1376" s="1">
        <v>41771</v>
      </c>
      <c r="D1376" t="s">
        <v>37</v>
      </c>
      <c r="E1376" t="s">
        <v>1639</v>
      </c>
      <c r="F1376" t="s">
        <v>1640</v>
      </c>
      <c r="G1376" t="s">
        <v>23</v>
      </c>
      <c r="H1376" t="s">
        <v>24</v>
      </c>
      <c r="I1376" t="s">
        <v>462</v>
      </c>
      <c r="J1376" t="s">
        <v>425</v>
      </c>
      <c r="K1376" t="s">
        <v>63</v>
      </c>
      <c r="L1376" t="s">
        <v>807</v>
      </c>
      <c r="M1376" t="s">
        <v>29</v>
      </c>
      <c r="N1376" t="s">
        <v>34</v>
      </c>
      <c r="O1376" t="s">
        <v>808</v>
      </c>
      <c r="P1376">
        <v>872.32</v>
      </c>
      <c r="Q1376">
        <v>4</v>
      </c>
      <c r="R1376">
        <v>244.24959999999999</v>
      </c>
      <c r="S1376" t="s">
        <v>153</v>
      </c>
    </row>
    <row r="1377" spans="1:19" x14ac:dyDescent="0.35">
      <c r="A1377" t="s">
        <v>3502</v>
      </c>
      <c r="B1377" s="1">
        <v>41747</v>
      </c>
      <c r="C1377" s="1">
        <v>41751</v>
      </c>
      <c r="D1377" t="s">
        <v>37</v>
      </c>
      <c r="E1377" t="s">
        <v>118</v>
      </c>
      <c r="F1377" t="s">
        <v>119</v>
      </c>
      <c r="G1377" t="s">
        <v>23</v>
      </c>
      <c r="H1377" t="s">
        <v>24</v>
      </c>
      <c r="I1377" t="s">
        <v>95</v>
      </c>
      <c r="J1377" t="s">
        <v>86</v>
      </c>
      <c r="K1377" t="s">
        <v>87</v>
      </c>
      <c r="L1377" t="s">
        <v>386</v>
      </c>
      <c r="M1377" t="s">
        <v>29</v>
      </c>
      <c r="N1377" t="s">
        <v>34</v>
      </c>
      <c r="O1377" t="s">
        <v>387</v>
      </c>
      <c r="P1377">
        <v>317.05799999999999</v>
      </c>
      <c r="Q1377">
        <v>3</v>
      </c>
      <c r="R1377">
        <v>-18.117599999999999</v>
      </c>
      <c r="S1377" t="s">
        <v>107</v>
      </c>
    </row>
    <row r="1378" spans="1:19" x14ac:dyDescent="0.35">
      <c r="A1378" t="s">
        <v>3503</v>
      </c>
      <c r="B1378" s="1">
        <v>42797</v>
      </c>
      <c r="C1378" s="1">
        <v>42802</v>
      </c>
      <c r="D1378" t="s">
        <v>37</v>
      </c>
      <c r="E1378" t="s">
        <v>2555</v>
      </c>
      <c r="F1378" t="s">
        <v>2556</v>
      </c>
      <c r="G1378" t="s">
        <v>23</v>
      </c>
      <c r="H1378" t="s">
        <v>24</v>
      </c>
      <c r="I1378" t="s">
        <v>49</v>
      </c>
      <c r="J1378" t="s">
        <v>50</v>
      </c>
      <c r="K1378" t="s">
        <v>51</v>
      </c>
      <c r="L1378" t="s">
        <v>115</v>
      </c>
      <c r="M1378" t="s">
        <v>29</v>
      </c>
      <c r="N1378" t="s">
        <v>34</v>
      </c>
      <c r="O1378" t="s">
        <v>116</v>
      </c>
      <c r="P1378">
        <v>170.352</v>
      </c>
      <c r="Q1378">
        <v>3</v>
      </c>
      <c r="R1378">
        <v>-17.0352</v>
      </c>
      <c r="S1378" t="s">
        <v>187</v>
      </c>
    </row>
    <row r="1379" spans="1:19" x14ac:dyDescent="0.35">
      <c r="A1379" t="s">
        <v>3504</v>
      </c>
      <c r="B1379" s="1">
        <v>42665</v>
      </c>
      <c r="C1379" s="1">
        <v>42665</v>
      </c>
      <c r="D1379" t="s">
        <v>417</v>
      </c>
      <c r="E1379" t="s">
        <v>2061</v>
      </c>
      <c r="F1379" t="s">
        <v>2062</v>
      </c>
      <c r="G1379" t="s">
        <v>23</v>
      </c>
      <c r="H1379" t="s">
        <v>24</v>
      </c>
      <c r="I1379" t="s">
        <v>183</v>
      </c>
      <c r="J1379" t="s">
        <v>184</v>
      </c>
      <c r="K1379" t="s">
        <v>51</v>
      </c>
      <c r="L1379" t="s">
        <v>3505</v>
      </c>
      <c r="M1379" t="s">
        <v>29</v>
      </c>
      <c r="N1379" t="s">
        <v>53</v>
      </c>
      <c r="O1379" t="s">
        <v>3506</v>
      </c>
      <c r="P1379">
        <v>101.94</v>
      </c>
      <c r="Q1379">
        <v>3</v>
      </c>
      <c r="R1379">
        <v>30.582000000000001</v>
      </c>
      <c r="S1379" t="s">
        <v>45</v>
      </c>
    </row>
    <row r="1380" spans="1:19" x14ac:dyDescent="0.35">
      <c r="A1380" t="s">
        <v>3507</v>
      </c>
      <c r="B1380" s="1">
        <v>42937</v>
      </c>
      <c r="C1380" s="1">
        <v>42943</v>
      </c>
      <c r="D1380" t="s">
        <v>37</v>
      </c>
      <c r="E1380" t="s">
        <v>1630</v>
      </c>
      <c r="F1380" t="s">
        <v>1631</v>
      </c>
      <c r="G1380" t="s">
        <v>23</v>
      </c>
      <c r="H1380" t="s">
        <v>24</v>
      </c>
      <c r="I1380" t="s">
        <v>3224</v>
      </c>
      <c r="J1380" t="s">
        <v>707</v>
      </c>
      <c r="K1380" t="s">
        <v>27</v>
      </c>
      <c r="L1380" t="s">
        <v>329</v>
      </c>
      <c r="M1380" t="s">
        <v>29</v>
      </c>
      <c r="N1380" t="s">
        <v>53</v>
      </c>
      <c r="O1380" t="s">
        <v>330</v>
      </c>
      <c r="P1380">
        <v>8.8000000000000007</v>
      </c>
      <c r="Q1380">
        <v>5</v>
      </c>
      <c r="R1380">
        <v>3.8719999999999999</v>
      </c>
      <c r="S1380" t="s">
        <v>66</v>
      </c>
    </row>
    <row r="1381" spans="1:19" x14ac:dyDescent="0.35">
      <c r="A1381" t="s">
        <v>3507</v>
      </c>
      <c r="B1381" s="1">
        <v>42937</v>
      </c>
      <c r="C1381" s="1">
        <v>42943</v>
      </c>
      <c r="D1381" t="s">
        <v>37</v>
      </c>
      <c r="E1381" t="s">
        <v>1630</v>
      </c>
      <c r="F1381" t="s">
        <v>1631</v>
      </c>
      <c r="G1381" t="s">
        <v>23</v>
      </c>
      <c r="H1381" t="s">
        <v>24</v>
      </c>
      <c r="I1381" t="s">
        <v>3224</v>
      </c>
      <c r="J1381" t="s">
        <v>707</v>
      </c>
      <c r="K1381" t="s">
        <v>27</v>
      </c>
      <c r="L1381" t="s">
        <v>889</v>
      </c>
      <c r="M1381" t="s">
        <v>29</v>
      </c>
      <c r="N1381" t="s">
        <v>30</v>
      </c>
      <c r="O1381" t="s">
        <v>890</v>
      </c>
      <c r="P1381">
        <v>302.94</v>
      </c>
      <c r="Q1381">
        <v>3</v>
      </c>
      <c r="R1381">
        <v>69.676199999999994</v>
      </c>
      <c r="S1381" t="s">
        <v>66</v>
      </c>
    </row>
    <row r="1382" spans="1:19" x14ac:dyDescent="0.35">
      <c r="A1382" t="s">
        <v>3508</v>
      </c>
      <c r="B1382" s="1">
        <v>41975</v>
      </c>
      <c r="C1382" s="1">
        <v>41980</v>
      </c>
      <c r="D1382" t="s">
        <v>37</v>
      </c>
      <c r="E1382" t="s">
        <v>3509</v>
      </c>
      <c r="F1382" t="s">
        <v>3510</v>
      </c>
      <c r="G1382" t="s">
        <v>84</v>
      </c>
      <c r="H1382" t="s">
        <v>24</v>
      </c>
      <c r="I1382" t="s">
        <v>2513</v>
      </c>
      <c r="J1382" t="s">
        <v>1080</v>
      </c>
      <c r="K1382" t="s">
        <v>63</v>
      </c>
      <c r="L1382" t="s">
        <v>639</v>
      </c>
      <c r="M1382" t="s">
        <v>29</v>
      </c>
      <c r="N1382" t="s">
        <v>53</v>
      </c>
      <c r="O1382" t="s">
        <v>640</v>
      </c>
      <c r="P1382">
        <v>60.72</v>
      </c>
      <c r="Q1382">
        <v>3</v>
      </c>
      <c r="R1382">
        <v>23.680800000000001</v>
      </c>
      <c r="S1382" t="s">
        <v>90</v>
      </c>
    </row>
    <row r="1383" spans="1:19" x14ac:dyDescent="0.35">
      <c r="A1383" t="s">
        <v>3508</v>
      </c>
      <c r="B1383" s="1">
        <v>41975</v>
      </c>
      <c r="C1383" s="1">
        <v>41980</v>
      </c>
      <c r="D1383" t="s">
        <v>37</v>
      </c>
      <c r="E1383" t="s">
        <v>3509</v>
      </c>
      <c r="F1383" t="s">
        <v>3510</v>
      </c>
      <c r="G1383" t="s">
        <v>84</v>
      </c>
      <c r="H1383" t="s">
        <v>24</v>
      </c>
      <c r="I1383" t="s">
        <v>2513</v>
      </c>
      <c r="J1383" t="s">
        <v>1080</v>
      </c>
      <c r="K1383" t="s">
        <v>63</v>
      </c>
      <c r="L1383" t="s">
        <v>1504</v>
      </c>
      <c r="M1383" t="s">
        <v>29</v>
      </c>
      <c r="N1383" t="s">
        <v>34</v>
      </c>
      <c r="O1383" t="s">
        <v>1505</v>
      </c>
      <c r="P1383">
        <v>239.84</v>
      </c>
      <c r="Q1383">
        <v>8</v>
      </c>
      <c r="R1383">
        <v>64.756799999999998</v>
      </c>
      <c r="S1383" t="s">
        <v>90</v>
      </c>
    </row>
    <row r="1384" spans="1:19" x14ac:dyDescent="0.35">
      <c r="A1384" t="s">
        <v>3511</v>
      </c>
      <c r="B1384" s="1">
        <v>42516</v>
      </c>
      <c r="C1384" s="1">
        <v>42521</v>
      </c>
      <c r="D1384" t="s">
        <v>37</v>
      </c>
      <c r="E1384" t="s">
        <v>2908</v>
      </c>
      <c r="F1384" t="s">
        <v>2909</v>
      </c>
      <c r="G1384" t="s">
        <v>23</v>
      </c>
      <c r="H1384" t="s">
        <v>24</v>
      </c>
      <c r="I1384" t="s">
        <v>840</v>
      </c>
      <c r="J1384" t="s">
        <v>50</v>
      </c>
      <c r="K1384" t="s">
        <v>51</v>
      </c>
      <c r="L1384" t="s">
        <v>287</v>
      </c>
      <c r="M1384" t="s">
        <v>29</v>
      </c>
      <c r="N1384" t="s">
        <v>34</v>
      </c>
      <c r="O1384" t="s">
        <v>288</v>
      </c>
      <c r="P1384">
        <v>484.70400000000001</v>
      </c>
      <c r="Q1384">
        <v>6</v>
      </c>
      <c r="R1384">
        <v>-84.8232</v>
      </c>
      <c r="S1384" t="s">
        <v>153</v>
      </c>
    </row>
    <row r="1385" spans="1:19" x14ac:dyDescent="0.35">
      <c r="A1385" t="s">
        <v>3512</v>
      </c>
      <c r="B1385" s="1">
        <v>42115</v>
      </c>
      <c r="C1385" s="1">
        <v>42122</v>
      </c>
      <c r="D1385" t="s">
        <v>37</v>
      </c>
      <c r="E1385" t="s">
        <v>3266</v>
      </c>
      <c r="F1385" t="s">
        <v>3267</v>
      </c>
      <c r="G1385" t="s">
        <v>23</v>
      </c>
      <c r="H1385" t="s">
        <v>24</v>
      </c>
      <c r="I1385" t="s">
        <v>856</v>
      </c>
      <c r="J1385" t="s">
        <v>26</v>
      </c>
      <c r="K1385" t="s">
        <v>27</v>
      </c>
      <c r="L1385" t="s">
        <v>348</v>
      </c>
      <c r="M1385" t="s">
        <v>29</v>
      </c>
      <c r="N1385" t="s">
        <v>34</v>
      </c>
      <c r="O1385" t="s">
        <v>349</v>
      </c>
      <c r="P1385">
        <v>191.96</v>
      </c>
      <c r="Q1385">
        <v>2</v>
      </c>
      <c r="R1385">
        <v>51.8292</v>
      </c>
      <c r="S1385" t="s">
        <v>107</v>
      </c>
    </row>
    <row r="1386" spans="1:19" x14ac:dyDescent="0.35">
      <c r="A1386" t="s">
        <v>3512</v>
      </c>
      <c r="B1386" s="1">
        <v>42115</v>
      </c>
      <c r="C1386" s="1">
        <v>42122</v>
      </c>
      <c r="D1386" t="s">
        <v>37</v>
      </c>
      <c r="E1386" t="s">
        <v>3266</v>
      </c>
      <c r="F1386" t="s">
        <v>3267</v>
      </c>
      <c r="G1386" t="s">
        <v>23</v>
      </c>
      <c r="H1386" t="s">
        <v>24</v>
      </c>
      <c r="I1386" t="s">
        <v>856</v>
      </c>
      <c r="J1386" t="s">
        <v>26</v>
      </c>
      <c r="K1386" t="s">
        <v>27</v>
      </c>
      <c r="L1386" t="s">
        <v>716</v>
      </c>
      <c r="M1386" t="s">
        <v>29</v>
      </c>
      <c r="N1386" t="s">
        <v>53</v>
      </c>
      <c r="O1386" t="s">
        <v>717</v>
      </c>
      <c r="P1386">
        <v>209.88</v>
      </c>
      <c r="Q1386">
        <v>3</v>
      </c>
      <c r="R1386">
        <v>35.679600000000001</v>
      </c>
      <c r="S1386" t="s">
        <v>107</v>
      </c>
    </row>
    <row r="1387" spans="1:19" x14ac:dyDescent="0.35">
      <c r="A1387" t="s">
        <v>3513</v>
      </c>
      <c r="B1387" s="1">
        <v>42538</v>
      </c>
      <c r="C1387" s="1">
        <v>42540</v>
      </c>
      <c r="D1387" t="s">
        <v>81</v>
      </c>
      <c r="E1387" t="s">
        <v>3514</v>
      </c>
      <c r="F1387" t="s">
        <v>3515</v>
      </c>
      <c r="G1387" t="s">
        <v>23</v>
      </c>
      <c r="H1387" t="s">
        <v>24</v>
      </c>
      <c r="I1387" t="s">
        <v>49</v>
      </c>
      <c r="J1387" t="s">
        <v>50</v>
      </c>
      <c r="K1387" t="s">
        <v>51</v>
      </c>
      <c r="L1387" t="s">
        <v>2613</v>
      </c>
      <c r="M1387" t="s">
        <v>29</v>
      </c>
      <c r="N1387" t="s">
        <v>30</v>
      </c>
      <c r="O1387" t="s">
        <v>2614</v>
      </c>
      <c r="P1387">
        <v>239.666</v>
      </c>
      <c r="Q1387">
        <v>2</v>
      </c>
      <c r="R1387">
        <v>14.098000000000001</v>
      </c>
      <c r="S1387" t="s">
        <v>55</v>
      </c>
    </row>
    <row r="1388" spans="1:19" x14ac:dyDescent="0.35">
      <c r="A1388" t="s">
        <v>3516</v>
      </c>
      <c r="B1388" s="1">
        <v>42748</v>
      </c>
      <c r="C1388" s="1">
        <v>42753</v>
      </c>
      <c r="D1388" t="s">
        <v>20</v>
      </c>
      <c r="E1388" t="s">
        <v>2049</v>
      </c>
      <c r="F1388" t="s">
        <v>2050</v>
      </c>
      <c r="G1388" t="s">
        <v>84</v>
      </c>
      <c r="H1388" t="s">
        <v>24</v>
      </c>
      <c r="I1388" t="s">
        <v>869</v>
      </c>
      <c r="J1388" t="s">
        <v>556</v>
      </c>
      <c r="K1388" t="s">
        <v>87</v>
      </c>
      <c r="L1388" t="s">
        <v>2470</v>
      </c>
      <c r="M1388" t="s">
        <v>29</v>
      </c>
      <c r="N1388" t="s">
        <v>30</v>
      </c>
      <c r="O1388" t="s">
        <v>2471</v>
      </c>
      <c r="P1388">
        <v>212.94</v>
      </c>
      <c r="Q1388">
        <v>3</v>
      </c>
      <c r="R1388">
        <v>53.234999999999999</v>
      </c>
      <c r="S1388" t="s">
        <v>161</v>
      </c>
    </row>
    <row r="1389" spans="1:19" x14ac:dyDescent="0.35">
      <c r="A1389" t="s">
        <v>3517</v>
      </c>
      <c r="B1389" s="1">
        <v>41888</v>
      </c>
      <c r="C1389" s="1">
        <v>41891</v>
      </c>
      <c r="D1389" t="s">
        <v>81</v>
      </c>
      <c r="E1389" t="s">
        <v>3518</v>
      </c>
      <c r="F1389" t="s">
        <v>3519</v>
      </c>
      <c r="G1389" t="s">
        <v>84</v>
      </c>
      <c r="H1389" t="s">
        <v>24</v>
      </c>
      <c r="I1389" t="s">
        <v>320</v>
      </c>
      <c r="J1389" t="s">
        <v>50</v>
      </c>
      <c r="K1389" t="s">
        <v>51</v>
      </c>
      <c r="L1389" t="s">
        <v>52</v>
      </c>
      <c r="M1389" t="s">
        <v>29</v>
      </c>
      <c r="N1389" t="s">
        <v>53</v>
      </c>
      <c r="O1389" t="s">
        <v>54</v>
      </c>
      <c r="P1389">
        <v>41.88</v>
      </c>
      <c r="Q1389">
        <v>6</v>
      </c>
      <c r="R1389">
        <v>12.145200000000001</v>
      </c>
      <c r="S1389" t="s">
        <v>72</v>
      </c>
    </row>
    <row r="1390" spans="1:19" x14ac:dyDescent="0.35">
      <c r="A1390" t="s">
        <v>3520</v>
      </c>
      <c r="B1390" s="1">
        <v>42023</v>
      </c>
      <c r="C1390" s="1">
        <v>42027</v>
      </c>
      <c r="D1390" t="s">
        <v>37</v>
      </c>
      <c r="E1390" t="s">
        <v>3521</v>
      </c>
      <c r="F1390" t="s">
        <v>3522</v>
      </c>
      <c r="G1390" t="s">
        <v>23</v>
      </c>
      <c r="H1390" t="s">
        <v>24</v>
      </c>
      <c r="I1390" t="s">
        <v>3523</v>
      </c>
      <c r="J1390" t="s">
        <v>86</v>
      </c>
      <c r="K1390" t="s">
        <v>87</v>
      </c>
      <c r="L1390" t="s">
        <v>1618</v>
      </c>
      <c r="M1390" t="s">
        <v>29</v>
      </c>
      <c r="N1390" t="s">
        <v>43</v>
      </c>
      <c r="O1390" t="s">
        <v>1619</v>
      </c>
      <c r="P1390">
        <v>102.438</v>
      </c>
      <c r="Q1390">
        <v>1</v>
      </c>
      <c r="R1390">
        <v>-13.1706</v>
      </c>
      <c r="S1390" t="s">
        <v>161</v>
      </c>
    </row>
    <row r="1391" spans="1:19" x14ac:dyDescent="0.35">
      <c r="A1391" t="s">
        <v>3520</v>
      </c>
      <c r="B1391" s="1">
        <v>42023</v>
      </c>
      <c r="C1391" s="1">
        <v>42027</v>
      </c>
      <c r="D1391" t="s">
        <v>37</v>
      </c>
      <c r="E1391" t="s">
        <v>3521</v>
      </c>
      <c r="F1391" t="s">
        <v>3522</v>
      </c>
      <c r="G1391" t="s">
        <v>23</v>
      </c>
      <c r="H1391" t="s">
        <v>24</v>
      </c>
      <c r="I1391" t="s">
        <v>3523</v>
      </c>
      <c r="J1391" t="s">
        <v>86</v>
      </c>
      <c r="K1391" t="s">
        <v>87</v>
      </c>
      <c r="L1391" t="s">
        <v>2185</v>
      </c>
      <c r="M1391" t="s">
        <v>29</v>
      </c>
      <c r="N1391" t="s">
        <v>34</v>
      </c>
      <c r="O1391" t="s">
        <v>2186</v>
      </c>
      <c r="P1391">
        <v>199.304</v>
      </c>
      <c r="Q1391">
        <v>4</v>
      </c>
      <c r="R1391">
        <v>-8.5416000000000007</v>
      </c>
      <c r="S1391" t="s">
        <v>161</v>
      </c>
    </row>
    <row r="1392" spans="1:19" x14ac:dyDescent="0.35">
      <c r="A1392" t="s">
        <v>3524</v>
      </c>
      <c r="B1392" s="1">
        <v>42729</v>
      </c>
      <c r="C1392" s="1">
        <v>42734</v>
      </c>
      <c r="D1392" t="s">
        <v>37</v>
      </c>
      <c r="E1392" t="s">
        <v>1600</v>
      </c>
      <c r="F1392" t="s">
        <v>1601</v>
      </c>
      <c r="G1392" t="s">
        <v>23</v>
      </c>
      <c r="H1392" t="s">
        <v>24</v>
      </c>
      <c r="I1392" t="s">
        <v>183</v>
      </c>
      <c r="J1392" t="s">
        <v>184</v>
      </c>
      <c r="K1392" t="s">
        <v>51</v>
      </c>
      <c r="L1392" t="s">
        <v>1297</v>
      </c>
      <c r="M1392" t="s">
        <v>29</v>
      </c>
      <c r="N1392" t="s">
        <v>34</v>
      </c>
      <c r="O1392" t="s">
        <v>1298</v>
      </c>
      <c r="P1392">
        <v>698.35199999999998</v>
      </c>
      <c r="Q1392">
        <v>3</v>
      </c>
      <c r="R1392">
        <v>52.376399999999997</v>
      </c>
      <c r="S1392" t="s">
        <v>90</v>
      </c>
    </row>
    <row r="1393" spans="1:19" x14ac:dyDescent="0.35">
      <c r="A1393" t="s">
        <v>3524</v>
      </c>
      <c r="B1393" s="1">
        <v>42729</v>
      </c>
      <c r="C1393" s="1">
        <v>42734</v>
      </c>
      <c r="D1393" t="s">
        <v>37</v>
      </c>
      <c r="E1393" t="s">
        <v>1600</v>
      </c>
      <c r="F1393" t="s">
        <v>1601</v>
      </c>
      <c r="G1393" t="s">
        <v>23</v>
      </c>
      <c r="H1393" t="s">
        <v>24</v>
      </c>
      <c r="I1393" t="s">
        <v>183</v>
      </c>
      <c r="J1393" t="s">
        <v>184</v>
      </c>
      <c r="K1393" t="s">
        <v>51</v>
      </c>
      <c r="L1393" t="s">
        <v>1452</v>
      </c>
      <c r="M1393" t="s">
        <v>29</v>
      </c>
      <c r="N1393" t="s">
        <v>43</v>
      </c>
      <c r="O1393" t="s">
        <v>1453</v>
      </c>
      <c r="P1393">
        <v>1747.25</v>
      </c>
      <c r="Q1393">
        <v>5</v>
      </c>
      <c r="R1393">
        <v>629.01</v>
      </c>
      <c r="S1393" t="s">
        <v>90</v>
      </c>
    </row>
    <row r="1394" spans="1:19" x14ac:dyDescent="0.35">
      <c r="A1394" t="s">
        <v>3525</v>
      </c>
      <c r="B1394" s="1">
        <v>41943</v>
      </c>
      <c r="C1394" s="1">
        <v>41945</v>
      </c>
      <c r="D1394" t="s">
        <v>20</v>
      </c>
      <c r="E1394" t="s">
        <v>867</v>
      </c>
      <c r="F1394" t="s">
        <v>868</v>
      </c>
      <c r="G1394" t="s">
        <v>84</v>
      </c>
      <c r="H1394" t="s">
        <v>24</v>
      </c>
      <c r="I1394" t="s">
        <v>860</v>
      </c>
      <c r="J1394" t="s">
        <v>223</v>
      </c>
      <c r="K1394" t="s">
        <v>63</v>
      </c>
      <c r="L1394" t="s">
        <v>1662</v>
      </c>
      <c r="M1394" t="s">
        <v>29</v>
      </c>
      <c r="N1394" t="s">
        <v>43</v>
      </c>
      <c r="O1394" t="s">
        <v>1663</v>
      </c>
      <c r="P1394">
        <v>1421.664</v>
      </c>
      <c r="Q1394">
        <v>8</v>
      </c>
      <c r="R1394">
        <v>-734.52639999999997</v>
      </c>
      <c r="S1394" t="s">
        <v>45</v>
      </c>
    </row>
    <row r="1395" spans="1:19" x14ac:dyDescent="0.35">
      <c r="A1395" t="s">
        <v>3526</v>
      </c>
      <c r="B1395" s="1">
        <v>42719</v>
      </c>
      <c r="C1395" s="1">
        <v>42725</v>
      </c>
      <c r="D1395" t="s">
        <v>37</v>
      </c>
      <c r="E1395" t="s">
        <v>1342</v>
      </c>
      <c r="F1395" t="s">
        <v>1343</v>
      </c>
      <c r="G1395" t="s">
        <v>94</v>
      </c>
      <c r="H1395" t="s">
        <v>24</v>
      </c>
      <c r="I1395" t="s">
        <v>869</v>
      </c>
      <c r="J1395" t="s">
        <v>1508</v>
      </c>
      <c r="K1395" t="s">
        <v>51</v>
      </c>
      <c r="L1395" t="s">
        <v>298</v>
      </c>
      <c r="M1395" t="s">
        <v>29</v>
      </c>
      <c r="N1395" t="s">
        <v>43</v>
      </c>
      <c r="O1395" t="s">
        <v>299</v>
      </c>
      <c r="P1395">
        <v>564.19500000000005</v>
      </c>
      <c r="Q1395">
        <v>3</v>
      </c>
      <c r="R1395">
        <v>-304.6653</v>
      </c>
      <c r="S1395" t="s">
        <v>90</v>
      </c>
    </row>
    <row r="1396" spans="1:19" x14ac:dyDescent="0.35">
      <c r="A1396" t="s">
        <v>3527</v>
      </c>
      <c r="B1396" s="1">
        <v>42986</v>
      </c>
      <c r="C1396" s="1">
        <v>42989</v>
      </c>
      <c r="D1396" t="s">
        <v>81</v>
      </c>
      <c r="E1396" t="s">
        <v>1847</v>
      </c>
      <c r="F1396" t="s">
        <v>1848</v>
      </c>
      <c r="G1396" t="s">
        <v>84</v>
      </c>
      <c r="H1396" t="s">
        <v>24</v>
      </c>
      <c r="I1396" t="s">
        <v>680</v>
      </c>
      <c r="J1396" t="s">
        <v>86</v>
      </c>
      <c r="K1396" t="s">
        <v>87</v>
      </c>
      <c r="L1396" t="s">
        <v>934</v>
      </c>
      <c r="M1396" t="s">
        <v>29</v>
      </c>
      <c r="N1396" t="s">
        <v>53</v>
      </c>
      <c r="O1396" t="s">
        <v>935</v>
      </c>
      <c r="P1396">
        <v>21.184000000000001</v>
      </c>
      <c r="Q1396">
        <v>2</v>
      </c>
      <c r="R1396">
        <v>-11.651199999999999</v>
      </c>
      <c r="S1396" t="s">
        <v>72</v>
      </c>
    </row>
    <row r="1397" spans="1:19" x14ac:dyDescent="0.35">
      <c r="A1397" t="s">
        <v>3527</v>
      </c>
      <c r="B1397" s="1">
        <v>42986</v>
      </c>
      <c r="C1397" s="1">
        <v>42989</v>
      </c>
      <c r="D1397" t="s">
        <v>81</v>
      </c>
      <c r="E1397" t="s">
        <v>1847</v>
      </c>
      <c r="F1397" t="s">
        <v>1848</v>
      </c>
      <c r="G1397" t="s">
        <v>84</v>
      </c>
      <c r="H1397" t="s">
        <v>24</v>
      </c>
      <c r="I1397" t="s">
        <v>680</v>
      </c>
      <c r="J1397" t="s">
        <v>86</v>
      </c>
      <c r="K1397" t="s">
        <v>87</v>
      </c>
      <c r="L1397" t="s">
        <v>2419</v>
      </c>
      <c r="M1397" t="s">
        <v>29</v>
      </c>
      <c r="N1397" t="s">
        <v>34</v>
      </c>
      <c r="O1397" t="s">
        <v>2420</v>
      </c>
      <c r="P1397">
        <v>213.43</v>
      </c>
      <c r="Q1397">
        <v>5</v>
      </c>
      <c r="R1397">
        <v>-39.637</v>
      </c>
      <c r="S1397" t="s">
        <v>72</v>
      </c>
    </row>
    <row r="1398" spans="1:19" x14ac:dyDescent="0.35">
      <c r="A1398" t="s">
        <v>3528</v>
      </c>
      <c r="B1398" s="1">
        <v>42786</v>
      </c>
      <c r="C1398" s="1">
        <v>42793</v>
      </c>
      <c r="D1398" t="s">
        <v>37</v>
      </c>
      <c r="E1398" t="s">
        <v>2286</v>
      </c>
      <c r="F1398" t="s">
        <v>2287</v>
      </c>
      <c r="G1398" t="s">
        <v>94</v>
      </c>
      <c r="H1398" t="s">
        <v>24</v>
      </c>
      <c r="I1398" t="s">
        <v>2024</v>
      </c>
      <c r="J1398" t="s">
        <v>511</v>
      </c>
      <c r="K1398" t="s">
        <v>51</v>
      </c>
      <c r="L1398" t="s">
        <v>736</v>
      </c>
      <c r="M1398" t="s">
        <v>29</v>
      </c>
      <c r="N1398" t="s">
        <v>53</v>
      </c>
      <c r="O1398" t="s">
        <v>737</v>
      </c>
      <c r="P1398">
        <v>68.703999999999994</v>
      </c>
      <c r="Q1398">
        <v>2</v>
      </c>
      <c r="R1398">
        <v>16.3172</v>
      </c>
      <c r="S1398" t="s">
        <v>289</v>
      </c>
    </row>
    <row r="1399" spans="1:19" x14ac:dyDescent="0.35">
      <c r="A1399" t="s">
        <v>3528</v>
      </c>
      <c r="B1399" s="1">
        <v>42786</v>
      </c>
      <c r="C1399" s="1">
        <v>42793</v>
      </c>
      <c r="D1399" t="s">
        <v>37</v>
      </c>
      <c r="E1399" t="s">
        <v>2286</v>
      </c>
      <c r="F1399" t="s">
        <v>2287</v>
      </c>
      <c r="G1399" t="s">
        <v>94</v>
      </c>
      <c r="H1399" t="s">
        <v>24</v>
      </c>
      <c r="I1399" t="s">
        <v>2024</v>
      </c>
      <c r="J1399" t="s">
        <v>511</v>
      </c>
      <c r="K1399" t="s">
        <v>51</v>
      </c>
      <c r="L1399" t="s">
        <v>1250</v>
      </c>
      <c r="M1399" t="s">
        <v>29</v>
      </c>
      <c r="N1399" t="s">
        <v>43</v>
      </c>
      <c r="O1399" t="s">
        <v>1054</v>
      </c>
      <c r="P1399">
        <v>386.91</v>
      </c>
      <c r="Q1399">
        <v>9</v>
      </c>
      <c r="R1399">
        <v>-185.71680000000001</v>
      </c>
      <c r="S1399" t="s">
        <v>289</v>
      </c>
    </row>
    <row r="1400" spans="1:19" x14ac:dyDescent="0.35">
      <c r="A1400" t="s">
        <v>3529</v>
      </c>
      <c r="B1400" s="1">
        <v>43034</v>
      </c>
      <c r="C1400" s="1">
        <v>43040</v>
      </c>
      <c r="D1400" t="s">
        <v>37</v>
      </c>
      <c r="E1400" t="s">
        <v>601</v>
      </c>
      <c r="F1400" t="s">
        <v>602</v>
      </c>
      <c r="G1400" t="s">
        <v>23</v>
      </c>
      <c r="H1400" t="s">
        <v>24</v>
      </c>
      <c r="I1400" t="s">
        <v>3530</v>
      </c>
      <c r="J1400" t="s">
        <v>707</v>
      </c>
      <c r="K1400" t="s">
        <v>27</v>
      </c>
      <c r="L1400" t="s">
        <v>898</v>
      </c>
      <c r="M1400" t="s">
        <v>29</v>
      </c>
      <c r="N1400" t="s">
        <v>43</v>
      </c>
      <c r="O1400" t="s">
        <v>899</v>
      </c>
      <c r="P1400">
        <v>356.85</v>
      </c>
      <c r="Q1400">
        <v>5</v>
      </c>
      <c r="R1400">
        <v>60.664499999999997</v>
      </c>
      <c r="S1400" t="s">
        <v>45</v>
      </c>
    </row>
    <row r="1401" spans="1:19" x14ac:dyDescent="0.35">
      <c r="A1401" t="s">
        <v>3531</v>
      </c>
      <c r="B1401" s="1">
        <v>42867</v>
      </c>
      <c r="C1401" s="1">
        <v>42869</v>
      </c>
      <c r="D1401" t="s">
        <v>20</v>
      </c>
      <c r="E1401" t="s">
        <v>609</v>
      </c>
      <c r="F1401" t="s">
        <v>610</v>
      </c>
      <c r="G1401" t="s">
        <v>23</v>
      </c>
      <c r="H1401" t="s">
        <v>24</v>
      </c>
      <c r="I1401" t="s">
        <v>1286</v>
      </c>
      <c r="J1401" t="s">
        <v>354</v>
      </c>
      <c r="K1401" t="s">
        <v>63</v>
      </c>
      <c r="L1401" t="s">
        <v>2892</v>
      </c>
      <c r="M1401" t="s">
        <v>29</v>
      </c>
      <c r="N1401" t="s">
        <v>53</v>
      </c>
      <c r="O1401" t="s">
        <v>2893</v>
      </c>
      <c r="P1401">
        <v>42.85</v>
      </c>
      <c r="Q1401">
        <v>5</v>
      </c>
      <c r="R1401">
        <v>15.426</v>
      </c>
      <c r="S1401" t="s">
        <v>153</v>
      </c>
    </row>
    <row r="1402" spans="1:19" x14ac:dyDescent="0.35">
      <c r="A1402" t="s">
        <v>3532</v>
      </c>
      <c r="B1402" s="1">
        <v>42252</v>
      </c>
      <c r="C1402" s="1">
        <v>42259</v>
      </c>
      <c r="D1402" t="s">
        <v>37</v>
      </c>
      <c r="E1402" t="s">
        <v>3533</v>
      </c>
      <c r="F1402" t="s">
        <v>3534</v>
      </c>
      <c r="G1402" t="s">
        <v>94</v>
      </c>
      <c r="H1402" t="s">
        <v>24</v>
      </c>
      <c r="I1402" t="s">
        <v>3535</v>
      </c>
      <c r="J1402" t="s">
        <v>707</v>
      </c>
      <c r="K1402" t="s">
        <v>27</v>
      </c>
      <c r="L1402" t="s">
        <v>3536</v>
      </c>
      <c r="M1402" t="s">
        <v>29</v>
      </c>
      <c r="N1402" t="s">
        <v>53</v>
      </c>
      <c r="O1402" t="s">
        <v>3537</v>
      </c>
      <c r="P1402">
        <v>67.959999999999994</v>
      </c>
      <c r="Q1402">
        <v>4</v>
      </c>
      <c r="R1402">
        <v>12.232799999999999</v>
      </c>
      <c r="S1402" t="s">
        <v>72</v>
      </c>
    </row>
    <row r="1403" spans="1:19" x14ac:dyDescent="0.35">
      <c r="A1403" t="s">
        <v>3538</v>
      </c>
      <c r="B1403" s="1">
        <v>41922</v>
      </c>
      <c r="C1403" s="1">
        <v>41926</v>
      </c>
      <c r="D1403" t="s">
        <v>37</v>
      </c>
      <c r="E1403" t="s">
        <v>1248</v>
      </c>
      <c r="F1403" t="s">
        <v>1249</v>
      </c>
      <c r="G1403" t="s">
        <v>94</v>
      </c>
      <c r="H1403" t="s">
        <v>24</v>
      </c>
      <c r="I1403" t="s">
        <v>510</v>
      </c>
      <c r="J1403" t="s">
        <v>511</v>
      </c>
      <c r="K1403" t="s">
        <v>51</v>
      </c>
      <c r="L1403" t="s">
        <v>1138</v>
      </c>
      <c r="M1403" t="s">
        <v>29</v>
      </c>
      <c r="N1403" t="s">
        <v>53</v>
      </c>
      <c r="O1403" t="s">
        <v>1139</v>
      </c>
      <c r="P1403">
        <v>46.872</v>
      </c>
      <c r="Q1403">
        <v>7</v>
      </c>
      <c r="R1403">
        <v>3.5154000000000001</v>
      </c>
      <c r="S1403" t="s">
        <v>45</v>
      </c>
    </row>
    <row r="1404" spans="1:19" x14ac:dyDescent="0.35">
      <c r="A1404" t="s">
        <v>3539</v>
      </c>
      <c r="B1404" s="1">
        <v>41948</v>
      </c>
      <c r="C1404" s="1">
        <v>41953</v>
      </c>
      <c r="D1404" t="s">
        <v>37</v>
      </c>
      <c r="E1404" t="s">
        <v>2434</v>
      </c>
      <c r="F1404" t="s">
        <v>2435</v>
      </c>
      <c r="G1404" t="s">
        <v>94</v>
      </c>
      <c r="H1404" t="s">
        <v>24</v>
      </c>
      <c r="I1404" t="s">
        <v>49</v>
      </c>
      <c r="J1404" t="s">
        <v>50</v>
      </c>
      <c r="K1404" t="s">
        <v>51</v>
      </c>
      <c r="L1404" t="s">
        <v>2416</v>
      </c>
      <c r="M1404" t="s">
        <v>29</v>
      </c>
      <c r="N1404" t="s">
        <v>53</v>
      </c>
      <c r="O1404" t="s">
        <v>2417</v>
      </c>
      <c r="P1404">
        <v>20.04</v>
      </c>
      <c r="Q1404">
        <v>6</v>
      </c>
      <c r="R1404">
        <v>8.8176000000000005</v>
      </c>
      <c r="S1404" t="s">
        <v>32</v>
      </c>
    </row>
    <row r="1405" spans="1:19" x14ac:dyDescent="0.35">
      <c r="A1405" t="s">
        <v>3540</v>
      </c>
      <c r="B1405" s="1">
        <v>42355</v>
      </c>
      <c r="C1405" s="1">
        <v>42360</v>
      </c>
      <c r="D1405" t="s">
        <v>37</v>
      </c>
      <c r="E1405" t="s">
        <v>1363</v>
      </c>
      <c r="F1405" t="s">
        <v>1364</v>
      </c>
      <c r="G1405" t="s">
        <v>23</v>
      </c>
      <c r="H1405" t="s">
        <v>24</v>
      </c>
      <c r="I1405" t="s">
        <v>203</v>
      </c>
      <c r="J1405" t="s">
        <v>126</v>
      </c>
      <c r="K1405" t="s">
        <v>87</v>
      </c>
      <c r="L1405" t="s">
        <v>870</v>
      </c>
      <c r="M1405" t="s">
        <v>29</v>
      </c>
      <c r="N1405" t="s">
        <v>53</v>
      </c>
      <c r="O1405" t="s">
        <v>871</v>
      </c>
      <c r="P1405">
        <v>41.552</v>
      </c>
      <c r="Q1405">
        <v>2</v>
      </c>
      <c r="R1405">
        <v>-19.737200000000001</v>
      </c>
      <c r="S1405" t="s">
        <v>90</v>
      </c>
    </row>
    <row r="1406" spans="1:19" x14ac:dyDescent="0.35">
      <c r="A1406" t="s">
        <v>3541</v>
      </c>
      <c r="B1406" s="1">
        <v>42937</v>
      </c>
      <c r="C1406" s="1">
        <v>42941</v>
      </c>
      <c r="D1406" t="s">
        <v>37</v>
      </c>
      <c r="E1406" t="s">
        <v>1894</v>
      </c>
      <c r="F1406" t="s">
        <v>1895</v>
      </c>
      <c r="G1406" t="s">
        <v>23</v>
      </c>
      <c r="H1406" t="s">
        <v>24</v>
      </c>
      <c r="I1406" t="s">
        <v>630</v>
      </c>
      <c r="J1406" t="s">
        <v>50</v>
      </c>
      <c r="K1406" t="s">
        <v>51</v>
      </c>
      <c r="L1406" t="s">
        <v>1523</v>
      </c>
      <c r="M1406" t="s">
        <v>29</v>
      </c>
      <c r="N1406" t="s">
        <v>34</v>
      </c>
      <c r="O1406" t="s">
        <v>1524</v>
      </c>
      <c r="P1406">
        <v>225.29599999999999</v>
      </c>
      <c r="Q1406">
        <v>2</v>
      </c>
      <c r="R1406">
        <v>22.529599999999999</v>
      </c>
      <c r="S1406" t="s">
        <v>66</v>
      </c>
    </row>
    <row r="1407" spans="1:19" x14ac:dyDescent="0.35">
      <c r="A1407" t="s">
        <v>3542</v>
      </c>
      <c r="B1407" s="1">
        <v>42144</v>
      </c>
      <c r="C1407" s="1">
        <v>42148</v>
      </c>
      <c r="D1407" t="s">
        <v>37</v>
      </c>
      <c r="E1407" t="s">
        <v>1359</v>
      </c>
      <c r="F1407" t="s">
        <v>1360</v>
      </c>
      <c r="G1407" t="s">
        <v>23</v>
      </c>
      <c r="H1407" t="s">
        <v>24</v>
      </c>
      <c r="I1407" t="s">
        <v>3543</v>
      </c>
      <c r="J1407" t="s">
        <v>1027</v>
      </c>
      <c r="K1407" t="s">
        <v>27</v>
      </c>
      <c r="L1407" t="s">
        <v>1528</v>
      </c>
      <c r="M1407" t="s">
        <v>29</v>
      </c>
      <c r="N1407" t="s">
        <v>53</v>
      </c>
      <c r="O1407" t="s">
        <v>1529</v>
      </c>
      <c r="P1407">
        <v>163.136</v>
      </c>
      <c r="Q1407">
        <v>4</v>
      </c>
      <c r="R1407">
        <v>20.391999999999999</v>
      </c>
      <c r="S1407" t="s">
        <v>153</v>
      </c>
    </row>
    <row r="1408" spans="1:19" x14ac:dyDescent="0.35">
      <c r="A1408" t="s">
        <v>3544</v>
      </c>
      <c r="B1408" s="1">
        <v>42322</v>
      </c>
      <c r="C1408" s="1">
        <v>42327</v>
      </c>
      <c r="D1408" t="s">
        <v>37</v>
      </c>
      <c r="E1408" t="s">
        <v>2781</v>
      </c>
      <c r="F1408" t="s">
        <v>2782</v>
      </c>
      <c r="G1408" t="s">
        <v>23</v>
      </c>
      <c r="H1408" t="s">
        <v>24</v>
      </c>
      <c r="I1408" t="s">
        <v>3545</v>
      </c>
      <c r="J1408" t="s">
        <v>1887</v>
      </c>
      <c r="K1408" t="s">
        <v>51</v>
      </c>
      <c r="L1408" t="s">
        <v>238</v>
      </c>
      <c r="M1408" t="s">
        <v>29</v>
      </c>
      <c r="N1408" t="s">
        <v>34</v>
      </c>
      <c r="O1408" t="s">
        <v>239</v>
      </c>
      <c r="P1408">
        <v>883.84</v>
      </c>
      <c r="Q1408">
        <v>4</v>
      </c>
      <c r="R1408">
        <v>99.432000000000002</v>
      </c>
      <c r="S1408" t="s">
        <v>32</v>
      </c>
    </row>
    <row r="1409" spans="1:19" x14ac:dyDescent="0.35">
      <c r="A1409" t="s">
        <v>3544</v>
      </c>
      <c r="B1409" s="1">
        <v>42322</v>
      </c>
      <c r="C1409" s="1">
        <v>42327</v>
      </c>
      <c r="D1409" t="s">
        <v>37</v>
      </c>
      <c r="E1409" t="s">
        <v>2781</v>
      </c>
      <c r="F1409" t="s">
        <v>2782</v>
      </c>
      <c r="G1409" t="s">
        <v>23</v>
      </c>
      <c r="H1409" t="s">
        <v>24</v>
      </c>
      <c r="I1409" t="s">
        <v>3545</v>
      </c>
      <c r="J1409" t="s">
        <v>1887</v>
      </c>
      <c r="K1409" t="s">
        <v>51</v>
      </c>
      <c r="L1409" t="s">
        <v>348</v>
      </c>
      <c r="M1409" t="s">
        <v>29</v>
      </c>
      <c r="N1409" t="s">
        <v>34</v>
      </c>
      <c r="O1409" t="s">
        <v>349</v>
      </c>
      <c r="P1409">
        <v>230.352</v>
      </c>
      <c r="Q1409">
        <v>3</v>
      </c>
      <c r="R1409">
        <v>20.155799999999999</v>
      </c>
      <c r="S1409" t="s">
        <v>32</v>
      </c>
    </row>
    <row r="1410" spans="1:19" x14ac:dyDescent="0.35">
      <c r="A1410" t="s">
        <v>3546</v>
      </c>
      <c r="B1410" s="1">
        <v>43083</v>
      </c>
      <c r="C1410" s="1">
        <v>43083</v>
      </c>
      <c r="D1410" t="s">
        <v>417</v>
      </c>
      <c r="E1410" t="s">
        <v>232</v>
      </c>
      <c r="F1410" t="s">
        <v>233</v>
      </c>
      <c r="G1410" t="s">
        <v>23</v>
      </c>
      <c r="H1410" t="s">
        <v>24</v>
      </c>
      <c r="I1410" t="s">
        <v>2200</v>
      </c>
      <c r="J1410" t="s">
        <v>126</v>
      </c>
      <c r="K1410" t="s">
        <v>87</v>
      </c>
      <c r="L1410" t="s">
        <v>1844</v>
      </c>
      <c r="M1410" t="s">
        <v>29</v>
      </c>
      <c r="N1410" t="s">
        <v>53</v>
      </c>
      <c r="O1410" t="s">
        <v>1845</v>
      </c>
      <c r="P1410">
        <v>266.35199999999998</v>
      </c>
      <c r="Q1410">
        <v>6</v>
      </c>
      <c r="R1410">
        <v>-292.98719999999997</v>
      </c>
      <c r="S1410" t="s">
        <v>90</v>
      </c>
    </row>
    <row r="1411" spans="1:19" x14ac:dyDescent="0.35">
      <c r="A1411" t="s">
        <v>3546</v>
      </c>
      <c r="B1411" s="1">
        <v>43083</v>
      </c>
      <c r="C1411" s="1">
        <v>43083</v>
      </c>
      <c r="D1411" t="s">
        <v>417</v>
      </c>
      <c r="E1411" t="s">
        <v>232</v>
      </c>
      <c r="F1411" t="s">
        <v>233</v>
      </c>
      <c r="G1411" t="s">
        <v>23</v>
      </c>
      <c r="H1411" t="s">
        <v>24</v>
      </c>
      <c r="I1411" t="s">
        <v>2200</v>
      </c>
      <c r="J1411" t="s">
        <v>126</v>
      </c>
      <c r="K1411" t="s">
        <v>87</v>
      </c>
      <c r="L1411" t="s">
        <v>346</v>
      </c>
      <c r="M1411" t="s">
        <v>29</v>
      </c>
      <c r="N1411" t="s">
        <v>53</v>
      </c>
      <c r="O1411" t="s">
        <v>347</v>
      </c>
      <c r="P1411">
        <v>56.328000000000003</v>
      </c>
      <c r="Q1411">
        <v>3</v>
      </c>
      <c r="R1411">
        <v>-26.755800000000001</v>
      </c>
      <c r="S1411" t="s">
        <v>90</v>
      </c>
    </row>
    <row r="1412" spans="1:19" x14ac:dyDescent="0.35">
      <c r="A1412" t="s">
        <v>3547</v>
      </c>
      <c r="B1412" s="1">
        <v>42468</v>
      </c>
      <c r="C1412" s="1">
        <v>42475</v>
      </c>
      <c r="D1412" t="s">
        <v>37</v>
      </c>
      <c r="E1412" t="s">
        <v>739</v>
      </c>
      <c r="F1412" t="s">
        <v>740</v>
      </c>
      <c r="G1412" t="s">
        <v>94</v>
      </c>
      <c r="H1412" t="s">
        <v>24</v>
      </c>
      <c r="I1412" t="s">
        <v>3548</v>
      </c>
      <c r="J1412" t="s">
        <v>1049</v>
      </c>
      <c r="K1412" t="s">
        <v>27</v>
      </c>
      <c r="L1412" t="s">
        <v>1114</v>
      </c>
      <c r="M1412" t="s">
        <v>29</v>
      </c>
      <c r="N1412" t="s">
        <v>53</v>
      </c>
      <c r="O1412" t="s">
        <v>1115</v>
      </c>
      <c r="P1412">
        <v>159.91999999999999</v>
      </c>
      <c r="Q1412">
        <v>4</v>
      </c>
      <c r="R1412">
        <v>31.984000000000002</v>
      </c>
      <c r="S1412" t="s">
        <v>107</v>
      </c>
    </row>
    <row r="1413" spans="1:19" x14ac:dyDescent="0.35">
      <c r="A1413" t="s">
        <v>3549</v>
      </c>
      <c r="B1413" s="1">
        <v>42678</v>
      </c>
      <c r="C1413" s="1">
        <v>42683</v>
      </c>
      <c r="D1413" t="s">
        <v>37</v>
      </c>
      <c r="E1413" t="s">
        <v>2520</v>
      </c>
      <c r="F1413" t="s">
        <v>2521</v>
      </c>
      <c r="G1413" t="s">
        <v>84</v>
      </c>
      <c r="H1413" t="s">
        <v>24</v>
      </c>
      <c r="I1413" t="s">
        <v>997</v>
      </c>
      <c r="J1413" t="s">
        <v>41</v>
      </c>
      <c r="K1413" t="s">
        <v>27</v>
      </c>
      <c r="L1413" t="s">
        <v>1568</v>
      </c>
      <c r="M1413" t="s">
        <v>29</v>
      </c>
      <c r="N1413" t="s">
        <v>53</v>
      </c>
      <c r="O1413" t="s">
        <v>1569</v>
      </c>
      <c r="P1413">
        <v>50.496000000000002</v>
      </c>
      <c r="Q1413">
        <v>6</v>
      </c>
      <c r="R1413">
        <v>8.2056000000000004</v>
      </c>
      <c r="S1413" t="s">
        <v>32</v>
      </c>
    </row>
    <row r="1414" spans="1:19" x14ac:dyDescent="0.35">
      <c r="A1414" t="s">
        <v>3550</v>
      </c>
      <c r="B1414" s="1">
        <v>42173</v>
      </c>
      <c r="C1414" s="1">
        <v>42175</v>
      </c>
      <c r="D1414" t="s">
        <v>81</v>
      </c>
      <c r="E1414" t="s">
        <v>789</v>
      </c>
      <c r="F1414" t="s">
        <v>790</v>
      </c>
      <c r="G1414" t="s">
        <v>84</v>
      </c>
      <c r="H1414" t="s">
        <v>24</v>
      </c>
      <c r="I1414" t="s">
        <v>1233</v>
      </c>
      <c r="J1414" t="s">
        <v>133</v>
      </c>
      <c r="K1414" t="s">
        <v>27</v>
      </c>
      <c r="L1414" t="s">
        <v>321</v>
      </c>
      <c r="M1414" t="s">
        <v>29</v>
      </c>
      <c r="N1414" t="s">
        <v>34</v>
      </c>
      <c r="O1414" t="s">
        <v>322</v>
      </c>
      <c r="P1414">
        <v>643.13599999999997</v>
      </c>
      <c r="Q1414">
        <v>4</v>
      </c>
      <c r="R1414">
        <v>56.2744</v>
      </c>
      <c r="S1414" t="s">
        <v>55</v>
      </c>
    </row>
    <row r="1415" spans="1:19" x14ac:dyDescent="0.35">
      <c r="A1415" t="s">
        <v>3551</v>
      </c>
      <c r="B1415" s="1">
        <v>41785</v>
      </c>
      <c r="C1415" s="1">
        <v>41790</v>
      </c>
      <c r="D1415" t="s">
        <v>37</v>
      </c>
      <c r="E1415" t="s">
        <v>1432</v>
      </c>
      <c r="F1415" t="s">
        <v>1433</v>
      </c>
      <c r="G1415" t="s">
        <v>23</v>
      </c>
      <c r="H1415" t="s">
        <v>24</v>
      </c>
      <c r="I1415" t="s">
        <v>125</v>
      </c>
      <c r="J1415" t="s">
        <v>126</v>
      </c>
      <c r="K1415" t="s">
        <v>87</v>
      </c>
      <c r="L1415" t="s">
        <v>1591</v>
      </c>
      <c r="M1415" t="s">
        <v>29</v>
      </c>
      <c r="N1415" t="s">
        <v>34</v>
      </c>
      <c r="O1415" t="s">
        <v>1592</v>
      </c>
      <c r="P1415">
        <v>359.77199999999999</v>
      </c>
      <c r="Q1415">
        <v>2</v>
      </c>
      <c r="R1415">
        <v>-5.1395999999999997</v>
      </c>
      <c r="S1415" t="s">
        <v>153</v>
      </c>
    </row>
    <row r="1416" spans="1:19" x14ac:dyDescent="0.35">
      <c r="A1416" t="s">
        <v>3552</v>
      </c>
      <c r="B1416" s="1">
        <v>42922</v>
      </c>
      <c r="C1416" s="1">
        <v>42927</v>
      </c>
      <c r="D1416" t="s">
        <v>37</v>
      </c>
      <c r="E1416" t="s">
        <v>395</v>
      </c>
      <c r="F1416" t="s">
        <v>396</v>
      </c>
      <c r="G1416" t="s">
        <v>23</v>
      </c>
      <c r="H1416" t="s">
        <v>24</v>
      </c>
      <c r="I1416" t="s">
        <v>49</v>
      </c>
      <c r="J1416" t="s">
        <v>50</v>
      </c>
      <c r="K1416" t="s">
        <v>51</v>
      </c>
      <c r="L1416" t="s">
        <v>127</v>
      </c>
      <c r="M1416" t="s">
        <v>29</v>
      </c>
      <c r="N1416" t="s">
        <v>34</v>
      </c>
      <c r="O1416" t="s">
        <v>209</v>
      </c>
      <c r="P1416">
        <v>122.136</v>
      </c>
      <c r="Q1416">
        <v>3</v>
      </c>
      <c r="R1416">
        <v>-13.7403</v>
      </c>
      <c r="S1416" t="s">
        <v>66</v>
      </c>
    </row>
    <row r="1417" spans="1:19" x14ac:dyDescent="0.35">
      <c r="A1417" t="s">
        <v>3553</v>
      </c>
      <c r="B1417" s="1">
        <v>42549</v>
      </c>
      <c r="C1417" s="1">
        <v>42551</v>
      </c>
      <c r="D1417" t="s">
        <v>20</v>
      </c>
      <c r="E1417" t="s">
        <v>2163</v>
      </c>
      <c r="F1417" t="s">
        <v>2164</v>
      </c>
      <c r="G1417" t="s">
        <v>23</v>
      </c>
      <c r="H1417" t="s">
        <v>24</v>
      </c>
      <c r="I1417" t="s">
        <v>3554</v>
      </c>
      <c r="J1417" t="s">
        <v>354</v>
      </c>
      <c r="K1417" t="s">
        <v>63</v>
      </c>
      <c r="L1417" t="s">
        <v>2419</v>
      </c>
      <c r="M1417" t="s">
        <v>29</v>
      </c>
      <c r="N1417" t="s">
        <v>34</v>
      </c>
      <c r="O1417" t="s">
        <v>2420</v>
      </c>
      <c r="P1417">
        <v>121.96</v>
      </c>
      <c r="Q1417">
        <v>2</v>
      </c>
      <c r="R1417">
        <v>20.7332</v>
      </c>
      <c r="S1417" t="s">
        <v>55</v>
      </c>
    </row>
    <row r="1418" spans="1:19" x14ac:dyDescent="0.35">
      <c r="A1418" t="s">
        <v>3555</v>
      </c>
      <c r="B1418" s="1">
        <v>42993</v>
      </c>
      <c r="C1418" s="1">
        <v>42997</v>
      </c>
      <c r="D1418" t="s">
        <v>37</v>
      </c>
      <c r="E1418" t="s">
        <v>3556</v>
      </c>
      <c r="F1418" t="s">
        <v>3557</v>
      </c>
      <c r="G1418" t="s">
        <v>84</v>
      </c>
      <c r="H1418" t="s">
        <v>24</v>
      </c>
      <c r="I1418" t="s">
        <v>2051</v>
      </c>
      <c r="J1418" t="s">
        <v>354</v>
      </c>
      <c r="K1418" t="s">
        <v>63</v>
      </c>
      <c r="L1418" t="s">
        <v>2195</v>
      </c>
      <c r="M1418" t="s">
        <v>29</v>
      </c>
      <c r="N1418" t="s">
        <v>53</v>
      </c>
      <c r="O1418" t="s">
        <v>2196</v>
      </c>
      <c r="P1418">
        <v>47.4</v>
      </c>
      <c r="Q1418">
        <v>5</v>
      </c>
      <c r="R1418">
        <v>18.96</v>
      </c>
      <c r="S1418" t="s">
        <v>72</v>
      </c>
    </row>
    <row r="1419" spans="1:19" x14ac:dyDescent="0.35">
      <c r="A1419" t="s">
        <v>3555</v>
      </c>
      <c r="B1419" s="1">
        <v>42993</v>
      </c>
      <c r="C1419" s="1">
        <v>42997</v>
      </c>
      <c r="D1419" t="s">
        <v>37</v>
      </c>
      <c r="E1419" t="s">
        <v>3556</v>
      </c>
      <c r="F1419" t="s">
        <v>3557</v>
      </c>
      <c r="G1419" t="s">
        <v>84</v>
      </c>
      <c r="H1419" t="s">
        <v>24</v>
      </c>
      <c r="I1419" t="s">
        <v>2051</v>
      </c>
      <c r="J1419" t="s">
        <v>354</v>
      </c>
      <c r="K1419" t="s">
        <v>63</v>
      </c>
      <c r="L1419" t="s">
        <v>2564</v>
      </c>
      <c r="M1419" t="s">
        <v>29</v>
      </c>
      <c r="N1419" t="s">
        <v>34</v>
      </c>
      <c r="O1419" t="s">
        <v>2565</v>
      </c>
      <c r="P1419">
        <v>512.96</v>
      </c>
      <c r="Q1419">
        <v>4</v>
      </c>
      <c r="R1419">
        <v>143.62880000000001</v>
      </c>
      <c r="S1419" t="s">
        <v>72</v>
      </c>
    </row>
    <row r="1420" spans="1:19" x14ac:dyDescent="0.35">
      <c r="A1420" t="s">
        <v>3558</v>
      </c>
      <c r="B1420" s="1">
        <v>42575</v>
      </c>
      <c r="C1420" s="1">
        <v>42577</v>
      </c>
      <c r="D1420" t="s">
        <v>20</v>
      </c>
      <c r="E1420" t="s">
        <v>3185</v>
      </c>
      <c r="F1420" t="s">
        <v>3186</v>
      </c>
      <c r="G1420" t="s">
        <v>84</v>
      </c>
      <c r="H1420" t="s">
        <v>24</v>
      </c>
      <c r="I1420" t="s">
        <v>165</v>
      </c>
      <c r="J1420" t="s">
        <v>114</v>
      </c>
      <c r="K1420" t="s">
        <v>63</v>
      </c>
      <c r="L1420" t="s">
        <v>1132</v>
      </c>
      <c r="M1420" t="s">
        <v>29</v>
      </c>
      <c r="N1420" t="s">
        <v>34</v>
      </c>
      <c r="O1420" t="s">
        <v>1133</v>
      </c>
      <c r="P1420">
        <v>253.76400000000001</v>
      </c>
      <c r="Q1420">
        <v>2</v>
      </c>
      <c r="R1420">
        <v>31.015599999999999</v>
      </c>
      <c r="S1420" t="s">
        <v>66</v>
      </c>
    </row>
    <row r="1421" spans="1:19" x14ac:dyDescent="0.35">
      <c r="A1421" t="s">
        <v>3559</v>
      </c>
      <c r="B1421" s="1">
        <v>42845</v>
      </c>
      <c r="C1421" s="1">
        <v>42849</v>
      </c>
      <c r="D1421" t="s">
        <v>37</v>
      </c>
      <c r="E1421" t="s">
        <v>2350</v>
      </c>
      <c r="F1421" t="s">
        <v>2351</v>
      </c>
      <c r="G1421" t="s">
        <v>23</v>
      </c>
      <c r="H1421" t="s">
        <v>24</v>
      </c>
      <c r="I1421" t="s">
        <v>125</v>
      </c>
      <c r="J1421" t="s">
        <v>126</v>
      </c>
      <c r="K1421" t="s">
        <v>87</v>
      </c>
      <c r="L1421" t="s">
        <v>386</v>
      </c>
      <c r="M1421" t="s">
        <v>29</v>
      </c>
      <c r="N1421" t="s">
        <v>34</v>
      </c>
      <c r="O1421" t="s">
        <v>387</v>
      </c>
      <c r="P1421">
        <v>317.05799999999999</v>
      </c>
      <c r="Q1421">
        <v>3</v>
      </c>
      <c r="R1421">
        <v>-18.117599999999999</v>
      </c>
      <c r="S1421" t="s">
        <v>107</v>
      </c>
    </row>
    <row r="1422" spans="1:19" x14ac:dyDescent="0.35">
      <c r="A1422" t="s">
        <v>3559</v>
      </c>
      <c r="B1422" s="1">
        <v>42845</v>
      </c>
      <c r="C1422" s="1">
        <v>42849</v>
      </c>
      <c r="D1422" t="s">
        <v>37</v>
      </c>
      <c r="E1422" t="s">
        <v>2350</v>
      </c>
      <c r="F1422" t="s">
        <v>2351</v>
      </c>
      <c r="G1422" t="s">
        <v>23</v>
      </c>
      <c r="H1422" t="s">
        <v>24</v>
      </c>
      <c r="I1422" t="s">
        <v>125</v>
      </c>
      <c r="J1422" t="s">
        <v>126</v>
      </c>
      <c r="K1422" t="s">
        <v>87</v>
      </c>
      <c r="L1422" t="s">
        <v>1339</v>
      </c>
      <c r="M1422" t="s">
        <v>29</v>
      </c>
      <c r="N1422" t="s">
        <v>53</v>
      </c>
      <c r="O1422" t="s">
        <v>1340</v>
      </c>
      <c r="P1422">
        <v>14.56</v>
      </c>
      <c r="Q1422">
        <v>5</v>
      </c>
      <c r="R1422">
        <v>-6.1879999999999997</v>
      </c>
      <c r="S1422" t="s">
        <v>107</v>
      </c>
    </row>
    <row r="1423" spans="1:19" x14ac:dyDescent="0.35">
      <c r="A1423" t="s">
        <v>3560</v>
      </c>
      <c r="B1423" s="1">
        <v>42616</v>
      </c>
      <c r="C1423" s="1">
        <v>42621</v>
      </c>
      <c r="D1423" t="s">
        <v>20</v>
      </c>
      <c r="E1423" t="s">
        <v>2026</v>
      </c>
      <c r="F1423" t="s">
        <v>2027</v>
      </c>
      <c r="G1423" t="s">
        <v>23</v>
      </c>
      <c r="H1423" t="s">
        <v>24</v>
      </c>
      <c r="I1423" t="s">
        <v>2745</v>
      </c>
      <c r="J1423" t="s">
        <v>1080</v>
      </c>
      <c r="K1423" t="s">
        <v>63</v>
      </c>
      <c r="L1423" t="s">
        <v>1467</v>
      </c>
      <c r="M1423" t="s">
        <v>29</v>
      </c>
      <c r="N1423" t="s">
        <v>30</v>
      </c>
      <c r="O1423" t="s">
        <v>1468</v>
      </c>
      <c r="P1423">
        <v>344.94</v>
      </c>
      <c r="Q1423">
        <v>3</v>
      </c>
      <c r="R1423">
        <v>31.044599999999999</v>
      </c>
      <c r="S1423" t="s">
        <v>72</v>
      </c>
    </row>
    <row r="1424" spans="1:19" x14ac:dyDescent="0.35">
      <c r="A1424" t="s">
        <v>3560</v>
      </c>
      <c r="B1424" s="1">
        <v>42616</v>
      </c>
      <c r="C1424" s="1">
        <v>42621</v>
      </c>
      <c r="D1424" t="s">
        <v>20</v>
      </c>
      <c r="E1424" t="s">
        <v>2026</v>
      </c>
      <c r="F1424" t="s">
        <v>2027</v>
      </c>
      <c r="G1424" t="s">
        <v>23</v>
      </c>
      <c r="H1424" t="s">
        <v>24</v>
      </c>
      <c r="I1424" t="s">
        <v>2745</v>
      </c>
      <c r="J1424" t="s">
        <v>1080</v>
      </c>
      <c r="K1424" t="s">
        <v>63</v>
      </c>
      <c r="L1424" t="s">
        <v>1709</v>
      </c>
      <c r="M1424" t="s">
        <v>29</v>
      </c>
      <c r="N1424" t="s">
        <v>53</v>
      </c>
      <c r="O1424" t="s">
        <v>1710</v>
      </c>
      <c r="P1424">
        <v>14.76</v>
      </c>
      <c r="Q1424">
        <v>2</v>
      </c>
      <c r="R1424">
        <v>4.2804000000000002</v>
      </c>
      <c r="S1424" t="s">
        <v>72</v>
      </c>
    </row>
    <row r="1425" spans="1:19" x14ac:dyDescent="0.35">
      <c r="A1425" t="s">
        <v>3561</v>
      </c>
      <c r="B1425" s="1">
        <v>42941</v>
      </c>
      <c r="C1425" s="1">
        <v>42944</v>
      </c>
      <c r="D1425" t="s">
        <v>20</v>
      </c>
      <c r="E1425" t="s">
        <v>2497</v>
      </c>
      <c r="F1425" t="s">
        <v>2498</v>
      </c>
      <c r="G1425" t="s">
        <v>23</v>
      </c>
      <c r="H1425" t="s">
        <v>24</v>
      </c>
      <c r="I1425" t="s">
        <v>61</v>
      </c>
      <c r="J1425" t="s">
        <v>62</v>
      </c>
      <c r="K1425" t="s">
        <v>63</v>
      </c>
      <c r="L1425" t="s">
        <v>668</v>
      </c>
      <c r="M1425" t="s">
        <v>29</v>
      </c>
      <c r="N1425" t="s">
        <v>53</v>
      </c>
      <c r="O1425" t="s">
        <v>669</v>
      </c>
      <c r="P1425">
        <v>20.096</v>
      </c>
      <c r="Q1425">
        <v>4</v>
      </c>
      <c r="R1425">
        <v>3.0144000000000002</v>
      </c>
      <c r="S1425" t="s">
        <v>66</v>
      </c>
    </row>
    <row r="1426" spans="1:19" x14ac:dyDescent="0.35">
      <c r="A1426" t="s">
        <v>3561</v>
      </c>
      <c r="B1426" s="1">
        <v>42941</v>
      </c>
      <c r="C1426" s="1">
        <v>42944</v>
      </c>
      <c r="D1426" t="s">
        <v>20</v>
      </c>
      <c r="E1426" t="s">
        <v>2497</v>
      </c>
      <c r="F1426" t="s">
        <v>2498</v>
      </c>
      <c r="G1426" t="s">
        <v>23</v>
      </c>
      <c r="H1426" t="s">
        <v>24</v>
      </c>
      <c r="I1426" t="s">
        <v>61</v>
      </c>
      <c r="J1426" t="s">
        <v>62</v>
      </c>
      <c r="K1426" t="s">
        <v>63</v>
      </c>
      <c r="L1426" t="s">
        <v>3156</v>
      </c>
      <c r="M1426" t="s">
        <v>29</v>
      </c>
      <c r="N1426" t="s">
        <v>43</v>
      </c>
      <c r="O1426" t="s">
        <v>3157</v>
      </c>
      <c r="P1426">
        <v>138.58799999999999</v>
      </c>
      <c r="Q1426">
        <v>1</v>
      </c>
      <c r="R1426">
        <v>-34.646999999999998</v>
      </c>
      <c r="S1426" t="s">
        <v>66</v>
      </c>
    </row>
    <row r="1427" spans="1:19" x14ac:dyDescent="0.35">
      <c r="A1427" t="s">
        <v>3562</v>
      </c>
      <c r="B1427" s="1">
        <v>42260</v>
      </c>
      <c r="C1427" s="1">
        <v>42267</v>
      </c>
      <c r="D1427" t="s">
        <v>37</v>
      </c>
      <c r="E1427" t="s">
        <v>358</v>
      </c>
      <c r="F1427" t="s">
        <v>359</v>
      </c>
      <c r="G1427" t="s">
        <v>23</v>
      </c>
      <c r="H1427" t="s">
        <v>24</v>
      </c>
      <c r="I1427" t="s">
        <v>2129</v>
      </c>
      <c r="J1427" t="s">
        <v>658</v>
      </c>
      <c r="K1427" t="s">
        <v>27</v>
      </c>
      <c r="L1427" t="s">
        <v>981</v>
      </c>
      <c r="M1427" t="s">
        <v>29</v>
      </c>
      <c r="N1427" t="s">
        <v>53</v>
      </c>
      <c r="O1427" t="s">
        <v>982</v>
      </c>
      <c r="P1427">
        <v>129.93</v>
      </c>
      <c r="Q1427">
        <v>3</v>
      </c>
      <c r="R1427">
        <v>12.993</v>
      </c>
      <c r="S1427" t="s">
        <v>72</v>
      </c>
    </row>
    <row r="1428" spans="1:19" x14ac:dyDescent="0.35">
      <c r="A1428" t="s">
        <v>3563</v>
      </c>
      <c r="B1428" s="1">
        <v>42684</v>
      </c>
      <c r="C1428" s="1">
        <v>42689</v>
      </c>
      <c r="D1428" t="s">
        <v>37</v>
      </c>
      <c r="E1428" t="s">
        <v>1728</v>
      </c>
      <c r="F1428" t="s">
        <v>1729</v>
      </c>
      <c r="G1428" t="s">
        <v>94</v>
      </c>
      <c r="H1428" t="s">
        <v>24</v>
      </c>
      <c r="I1428" t="s">
        <v>1840</v>
      </c>
      <c r="J1428" t="s">
        <v>50</v>
      </c>
      <c r="K1428" t="s">
        <v>51</v>
      </c>
      <c r="L1428" t="s">
        <v>2650</v>
      </c>
      <c r="M1428" t="s">
        <v>29</v>
      </c>
      <c r="N1428" t="s">
        <v>53</v>
      </c>
      <c r="O1428" t="s">
        <v>2651</v>
      </c>
      <c r="P1428">
        <v>9.98</v>
      </c>
      <c r="Q1428">
        <v>1</v>
      </c>
      <c r="R1428">
        <v>2.7944</v>
      </c>
      <c r="S1428" t="s">
        <v>32</v>
      </c>
    </row>
    <row r="1429" spans="1:19" x14ac:dyDescent="0.35">
      <c r="A1429" t="s">
        <v>3564</v>
      </c>
      <c r="B1429" s="1">
        <v>42324</v>
      </c>
      <c r="C1429" s="1">
        <v>42328</v>
      </c>
      <c r="D1429" t="s">
        <v>37</v>
      </c>
      <c r="E1429" t="s">
        <v>560</v>
      </c>
      <c r="F1429" t="s">
        <v>561</v>
      </c>
      <c r="G1429" t="s">
        <v>84</v>
      </c>
      <c r="H1429" t="s">
        <v>24</v>
      </c>
      <c r="I1429" t="s">
        <v>125</v>
      </c>
      <c r="J1429" t="s">
        <v>126</v>
      </c>
      <c r="K1429" t="s">
        <v>87</v>
      </c>
      <c r="L1429" t="s">
        <v>2681</v>
      </c>
      <c r="M1429" t="s">
        <v>29</v>
      </c>
      <c r="N1429" t="s">
        <v>53</v>
      </c>
      <c r="O1429" t="s">
        <v>2682</v>
      </c>
      <c r="P1429">
        <v>34.503999999999998</v>
      </c>
      <c r="Q1429">
        <v>2</v>
      </c>
      <c r="R1429">
        <v>-15.5268</v>
      </c>
      <c r="S1429" t="s">
        <v>32</v>
      </c>
    </row>
    <row r="1430" spans="1:19" x14ac:dyDescent="0.35">
      <c r="A1430" t="s">
        <v>3565</v>
      </c>
      <c r="B1430" s="1">
        <v>42241</v>
      </c>
      <c r="C1430" s="1">
        <v>42241</v>
      </c>
      <c r="D1430" t="s">
        <v>417</v>
      </c>
      <c r="E1430" t="s">
        <v>1363</v>
      </c>
      <c r="F1430" t="s">
        <v>1364</v>
      </c>
      <c r="G1430" t="s">
        <v>23</v>
      </c>
      <c r="H1430" t="s">
        <v>24</v>
      </c>
      <c r="I1430" t="s">
        <v>95</v>
      </c>
      <c r="J1430" t="s">
        <v>86</v>
      </c>
      <c r="K1430" t="s">
        <v>87</v>
      </c>
      <c r="L1430" t="s">
        <v>1281</v>
      </c>
      <c r="M1430" t="s">
        <v>29</v>
      </c>
      <c r="N1430" t="s">
        <v>53</v>
      </c>
      <c r="O1430" t="s">
        <v>1749</v>
      </c>
      <c r="P1430">
        <v>20.103999999999999</v>
      </c>
      <c r="Q1430">
        <v>2</v>
      </c>
      <c r="R1430">
        <v>-16.585799999999999</v>
      </c>
      <c r="S1430" t="s">
        <v>245</v>
      </c>
    </row>
    <row r="1431" spans="1:19" x14ac:dyDescent="0.35">
      <c r="A1431" t="s">
        <v>3565</v>
      </c>
      <c r="B1431" s="1">
        <v>42241</v>
      </c>
      <c r="C1431" s="1">
        <v>42241</v>
      </c>
      <c r="D1431" t="s">
        <v>417</v>
      </c>
      <c r="E1431" t="s">
        <v>1363</v>
      </c>
      <c r="F1431" t="s">
        <v>1364</v>
      </c>
      <c r="G1431" t="s">
        <v>23</v>
      </c>
      <c r="H1431" t="s">
        <v>24</v>
      </c>
      <c r="I1431" t="s">
        <v>95</v>
      </c>
      <c r="J1431" t="s">
        <v>86</v>
      </c>
      <c r="K1431" t="s">
        <v>87</v>
      </c>
      <c r="L1431" t="s">
        <v>3566</v>
      </c>
      <c r="M1431" t="s">
        <v>29</v>
      </c>
      <c r="N1431" t="s">
        <v>53</v>
      </c>
      <c r="O1431" t="s">
        <v>3567</v>
      </c>
      <c r="P1431">
        <v>7.88</v>
      </c>
      <c r="Q1431">
        <v>5</v>
      </c>
      <c r="R1431">
        <v>-3.94</v>
      </c>
      <c r="S1431" t="s">
        <v>245</v>
      </c>
    </row>
    <row r="1432" spans="1:19" x14ac:dyDescent="0.35">
      <c r="A1432" t="s">
        <v>3568</v>
      </c>
      <c r="B1432" s="1">
        <v>42729</v>
      </c>
      <c r="C1432" s="1">
        <v>42736</v>
      </c>
      <c r="D1432" t="s">
        <v>37</v>
      </c>
      <c r="E1432" t="s">
        <v>1612</v>
      </c>
      <c r="F1432" t="s">
        <v>1613</v>
      </c>
      <c r="G1432" t="s">
        <v>84</v>
      </c>
      <c r="H1432" t="s">
        <v>24</v>
      </c>
      <c r="I1432" t="s">
        <v>510</v>
      </c>
      <c r="J1432" t="s">
        <v>511</v>
      </c>
      <c r="K1432" t="s">
        <v>51</v>
      </c>
      <c r="L1432" t="s">
        <v>309</v>
      </c>
      <c r="M1432" t="s">
        <v>29</v>
      </c>
      <c r="N1432" t="s">
        <v>43</v>
      </c>
      <c r="O1432" t="s">
        <v>310</v>
      </c>
      <c r="P1432">
        <v>35.445</v>
      </c>
      <c r="Q1432">
        <v>1</v>
      </c>
      <c r="R1432">
        <v>-24.102599999999999</v>
      </c>
      <c r="S1432" t="s">
        <v>90</v>
      </c>
    </row>
    <row r="1433" spans="1:19" x14ac:dyDescent="0.35">
      <c r="A1433" t="s">
        <v>3568</v>
      </c>
      <c r="B1433" s="1">
        <v>42729</v>
      </c>
      <c r="C1433" s="1">
        <v>42736</v>
      </c>
      <c r="D1433" t="s">
        <v>37</v>
      </c>
      <c r="E1433" t="s">
        <v>1612</v>
      </c>
      <c r="F1433" t="s">
        <v>1613</v>
      </c>
      <c r="G1433" t="s">
        <v>84</v>
      </c>
      <c r="H1433" t="s">
        <v>24</v>
      </c>
      <c r="I1433" t="s">
        <v>510</v>
      </c>
      <c r="J1433" t="s">
        <v>511</v>
      </c>
      <c r="K1433" t="s">
        <v>51</v>
      </c>
      <c r="L1433" t="s">
        <v>1504</v>
      </c>
      <c r="M1433" t="s">
        <v>29</v>
      </c>
      <c r="N1433" t="s">
        <v>34</v>
      </c>
      <c r="O1433" t="s">
        <v>1505</v>
      </c>
      <c r="P1433">
        <v>47.968000000000004</v>
      </c>
      <c r="Q1433">
        <v>2</v>
      </c>
      <c r="R1433">
        <v>4.1971999999999996</v>
      </c>
      <c r="S1433" t="s">
        <v>90</v>
      </c>
    </row>
    <row r="1434" spans="1:19" x14ac:dyDescent="0.35">
      <c r="A1434" t="s">
        <v>3569</v>
      </c>
      <c r="B1434" s="1">
        <v>42094</v>
      </c>
      <c r="C1434" s="1">
        <v>42099</v>
      </c>
      <c r="D1434" t="s">
        <v>37</v>
      </c>
      <c r="E1434" t="s">
        <v>494</v>
      </c>
      <c r="F1434" t="s">
        <v>495</v>
      </c>
      <c r="G1434" t="s">
        <v>84</v>
      </c>
      <c r="H1434" t="s">
        <v>24</v>
      </c>
      <c r="I1434" t="s">
        <v>95</v>
      </c>
      <c r="J1434" t="s">
        <v>86</v>
      </c>
      <c r="K1434" t="s">
        <v>87</v>
      </c>
      <c r="L1434" t="s">
        <v>2639</v>
      </c>
      <c r="M1434" t="s">
        <v>29</v>
      </c>
      <c r="N1434" t="s">
        <v>53</v>
      </c>
      <c r="O1434" t="s">
        <v>2640</v>
      </c>
      <c r="P1434">
        <v>22.38</v>
      </c>
      <c r="Q1434">
        <v>3</v>
      </c>
      <c r="R1434">
        <v>-7.8330000000000002</v>
      </c>
      <c r="S1434" t="s">
        <v>187</v>
      </c>
    </row>
    <row r="1435" spans="1:19" x14ac:dyDescent="0.35">
      <c r="A1435" t="s">
        <v>3570</v>
      </c>
      <c r="B1435" s="1">
        <v>42992</v>
      </c>
      <c r="C1435" s="1">
        <v>42993</v>
      </c>
      <c r="D1435" t="s">
        <v>81</v>
      </c>
      <c r="E1435" t="s">
        <v>3571</v>
      </c>
      <c r="F1435" t="s">
        <v>3572</v>
      </c>
      <c r="G1435" t="s">
        <v>23</v>
      </c>
      <c r="H1435" t="s">
        <v>24</v>
      </c>
      <c r="I1435" t="s">
        <v>61</v>
      </c>
      <c r="J1435" t="s">
        <v>62</v>
      </c>
      <c r="K1435" t="s">
        <v>63</v>
      </c>
      <c r="L1435" t="s">
        <v>486</v>
      </c>
      <c r="M1435" t="s">
        <v>29</v>
      </c>
      <c r="N1435" t="s">
        <v>34</v>
      </c>
      <c r="O1435" t="s">
        <v>487</v>
      </c>
      <c r="P1435">
        <v>113.372</v>
      </c>
      <c r="Q1435">
        <v>2</v>
      </c>
      <c r="R1435">
        <v>-29.152799999999999</v>
      </c>
      <c r="S1435" t="s">
        <v>72</v>
      </c>
    </row>
    <row r="1436" spans="1:19" x14ac:dyDescent="0.35">
      <c r="A1436" t="s">
        <v>3570</v>
      </c>
      <c r="B1436" s="1">
        <v>42992</v>
      </c>
      <c r="C1436" s="1">
        <v>42993</v>
      </c>
      <c r="D1436" t="s">
        <v>81</v>
      </c>
      <c r="E1436" t="s">
        <v>3571</v>
      </c>
      <c r="F1436" t="s">
        <v>3572</v>
      </c>
      <c r="G1436" t="s">
        <v>23</v>
      </c>
      <c r="H1436" t="s">
        <v>24</v>
      </c>
      <c r="I1436" t="s">
        <v>61</v>
      </c>
      <c r="J1436" t="s">
        <v>62</v>
      </c>
      <c r="K1436" t="s">
        <v>63</v>
      </c>
      <c r="L1436" t="s">
        <v>3573</v>
      </c>
      <c r="M1436" t="s">
        <v>29</v>
      </c>
      <c r="N1436" t="s">
        <v>53</v>
      </c>
      <c r="O1436" t="s">
        <v>3574</v>
      </c>
      <c r="P1436">
        <v>127.93600000000001</v>
      </c>
      <c r="Q1436">
        <v>8</v>
      </c>
      <c r="R1436">
        <v>4.7976000000000001</v>
      </c>
      <c r="S1436" t="s">
        <v>72</v>
      </c>
    </row>
    <row r="1437" spans="1:19" x14ac:dyDescent="0.35">
      <c r="A1437" t="s">
        <v>3575</v>
      </c>
      <c r="B1437" s="1">
        <v>41807</v>
      </c>
      <c r="C1437" s="1">
        <v>41811</v>
      </c>
      <c r="D1437" t="s">
        <v>37</v>
      </c>
      <c r="E1437" t="s">
        <v>1333</v>
      </c>
      <c r="F1437" t="s">
        <v>1334</v>
      </c>
      <c r="G1437" t="s">
        <v>23</v>
      </c>
      <c r="H1437" t="s">
        <v>24</v>
      </c>
      <c r="I1437" t="s">
        <v>183</v>
      </c>
      <c r="J1437" t="s">
        <v>184</v>
      </c>
      <c r="K1437" t="s">
        <v>51</v>
      </c>
      <c r="L1437" t="s">
        <v>1352</v>
      </c>
      <c r="M1437" t="s">
        <v>29</v>
      </c>
      <c r="N1437" t="s">
        <v>53</v>
      </c>
      <c r="O1437" t="s">
        <v>415</v>
      </c>
      <c r="P1437">
        <v>6.24</v>
      </c>
      <c r="Q1437">
        <v>3</v>
      </c>
      <c r="R1437">
        <v>2.6208</v>
      </c>
      <c r="S1437" t="s">
        <v>55</v>
      </c>
    </row>
    <row r="1438" spans="1:19" x14ac:dyDescent="0.35">
      <c r="A1438" t="s">
        <v>3576</v>
      </c>
      <c r="B1438" s="1">
        <v>43097</v>
      </c>
      <c r="C1438" s="1">
        <v>43101</v>
      </c>
      <c r="D1438" t="s">
        <v>37</v>
      </c>
      <c r="E1438" t="s">
        <v>3408</v>
      </c>
      <c r="F1438" t="s">
        <v>3409</v>
      </c>
      <c r="G1438" t="s">
        <v>84</v>
      </c>
      <c r="H1438" t="s">
        <v>24</v>
      </c>
      <c r="I1438" t="s">
        <v>1370</v>
      </c>
      <c r="J1438" t="s">
        <v>126</v>
      </c>
      <c r="K1438" t="s">
        <v>87</v>
      </c>
      <c r="L1438" t="s">
        <v>2317</v>
      </c>
      <c r="M1438" t="s">
        <v>29</v>
      </c>
      <c r="N1438" t="s">
        <v>53</v>
      </c>
      <c r="O1438" t="s">
        <v>2318</v>
      </c>
      <c r="P1438">
        <v>7.968</v>
      </c>
      <c r="Q1438">
        <v>3</v>
      </c>
      <c r="R1438">
        <v>-2.3904000000000001</v>
      </c>
      <c r="S1438" t="s">
        <v>90</v>
      </c>
    </row>
    <row r="1439" spans="1:19" x14ac:dyDescent="0.35">
      <c r="A1439" t="s">
        <v>3576</v>
      </c>
      <c r="B1439" s="1">
        <v>43097</v>
      </c>
      <c r="C1439" s="1">
        <v>43101</v>
      </c>
      <c r="D1439" t="s">
        <v>37</v>
      </c>
      <c r="E1439" t="s">
        <v>3408</v>
      </c>
      <c r="F1439" t="s">
        <v>3409</v>
      </c>
      <c r="G1439" t="s">
        <v>84</v>
      </c>
      <c r="H1439" t="s">
        <v>24</v>
      </c>
      <c r="I1439" t="s">
        <v>1370</v>
      </c>
      <c r="J1439" t="s">
        <v>126</v>
      </c>
      <c r="K1439" t="s">
        <v>87</v>
      </c>
      <c r="L1439" t="s">
        <v>247</v>
      </c>
      <c r="M1439" t="s">
        <v>29</v>
      </c>
      <c r="N1439" t="s">
        <v>34</v>
      </c>
      <c r="O1439" t="s">
        <v>248</v>
      </c>
      <c r="P1439">
        <v>113.372</v>
      </c>
      <c r="Q1439">
        <v>2</v>
      </c>
      <c r="R1439">
        <v>-3.2391999999999999</v>
      </c>
      <c r="S1439" t="s">
        <v>90</v>
      </c>
    </row>
    <row r="1440" spans="1:19" x14ac:dyDescent="0.35">
      <c r="A1440" t="s">
        <v>3576</v>
      </c>
      <c r="B1440" s="1">
        <v>43097</v>
      </c>
      <c r="C1440" s="1">
        <v>43101</v>
      </c>
      <c r="D1440" t="s">
        <v>37</v>
      </c>
      <c r="E1440" t="s">
        <v>3408</v>
      </c>
      <c r="F1440" t="s">
        <v>3409</v>
      </c>
      <c r="G1440" t="s">
        <v>84</v>
      </c>
      <c r="H1440" t="s">
        <v>24</v>
      </c>
      <c r="I1440" t="s">
        <v>1370</v>
      </c>
      <c r="J1440" t="s">
        <v>126</v>
      </c>
      <c r="K1440" t="s">
        <v>87</v>
      </c>
      <c r="L1440" t="s">
        <v>437</v>
      </c>
      <c r="M1440" t="s">
        <v>29</v>
      </c>
      <c r="N1440" t="s">
        <v>53</v>
      </c>
      <c r="O1440" t="s">
        <v>438</v>
      </c>
      <c r="P1440">
        <v>2.96</v>
      </c>
      <c r="Q1440">
        <v>2</v>
      </c>
      <c r="R1440">
        <v>-1.4059999999999999</v>
      </c>
      <c r="S1440" t="s">
        <v>90</v>
      </c>
    </row>
    <row r="1441" spans="1:19" x14ac:dyDescent="0.35">
      <c r="A1441" t="s">
        <v>3577</v>
      </c>
      <c r="B1441" s="1">
        <v>42210</v>
      </c>
      <c r="C1441" s="1">
        <v>42214</v>
      </c>
      <c r="D1441" t="s">
        <v>37</v>
      </c>
      <c r="E1441" t="s">
        <v>3397</v>
      </c>
      <c r="F1441" t="s">
        <v>3398</v>
      </c>
      <c r="G1441" t="s">
        <v>84</v>
      </c>
      <c r="H1441" t="s">
        <v>24</v>
      </c>
      <c r="I1441" t="s">
        <v>1607</v>
      </c>
      <c r="J1441" t="s">
        <v>1267</v>
      </c>
      <c r="K1441" t="s">
        <v>27</v>
      </c>
      <c r="L1441" t="s">
        <v>445</v>
      </c>
      <c r="M1441" t="s">
        <v>29</v>
      </c>
      <c r="N1441" t="s">
        <v>43</v>
      </c>
      <c r="O1441" t="s">
        <v>446</v>
      </c>
      <c r="P1441">
        <v>358.58</v>
      </c>
      <c r="Q1441">
        <v>2</v>
      </c>
      <c r="R1441">
        <v>39.443800000000003</v>
      </c>
      <c r="S1441" t="s">
        <v>66</v>
      </c>
    </row>
    <row r="1442" spans="1:19" x14ac:dyDescent="0.35">
      <c r="A1442" t="s">
        <v>3578</v>
      </c>
      <c r="B1442" s="1">
        <v>42621</v>
      </c>
      <c r="C1442" s="1">
        <v>42621</v>
      </c>
      <c r="D1442" t="s">
        <v>417</v>
      </c>
      <c r="E1442" t="s">
        <v>838</v>
      </c>
      <c r="F1442" t="s">
        <v>839</v>
      </c>
      <c r="G1442" t="s">
        <v>23</v>
      </c>
      <c r="H1442" t="s">
        <v>24</v>
      </c>
      <c r="I1442" t="s">
        <v>840</v>
      </c>
      <c r="J1442" t="s">
        <v>50</v>
      </c>
      <c r="K1442" t="s">
        <v>51</v>
      </c>
      <c r="L1442" t="s">
        <v>1225</v>
      </c>
      <c r="M1442" t="s">
        <v>29</v>
      </c>
      <c r="N1442" t="s">
        <v>43</v>
      </c>
      <c r="O1442" t="s">
        <v>1226</v>
      </c>
      <c r="P1442">
        <v>146.04</v>
      </c>
      <c r="Q1442">
        <v>1</v>
      </c>
      <c r="R1442">
        <v>-12.778499999999999</v>
      </c>
      <c r="S1442" t="s">
        <v>72</v>
      </c>
    </row>
    <row r="1443" spans="1:19" x14ac:dyDescent="0.35">
      <c r="A1443" t="s">
        <v>3579</v>
      </c>
      <c r="B1443" s="1">
        <v>43023</v>
      </c>
      <c r="C1443" s="1">
        <v>43028</v>
      </c>
      <c r="D1443" t="s">
        <v>37</v>
      </c>
      <c r="E1443" t="s">
        <v>2709</v>
      </c>
      <c r="F1443" t="s">
        <v>2710</v>
      </c>
      <c r="G1443" t="s">
        <v>84</v>
      </c>
      <c r="H1443" t="s">
        <v>24</v>
      </c>
      <c r="I1443" t="s">
        <v>3580</v>
      </c>
      <c r="J1443" t="s">
        <v>50</v>
      </c>
      <c r="K1443" t="s">
        <v>51</v>
      </c>
      <c r="L1443" t="s">
        <v>275</v>
      </c>
      <c r="M1443" t="s">
        <v>29</v>
      </c>
      <c r="N1443" t="s">
        <v>53</v>
      </c>
      <c r="O1443" t="s">
        <v>276</v>
      </c>
      <c r="P1443">
        <v>22.72</v>
      </c>
      <c r="Q1443">
        <v>1</v>
      </c>
      <c r="R1443">
        <v>9.3152000000000008</v>
      </c>
      <c r="S1443" t="s">
        <v>45</v>
      </c>
    </row>
    <row r="1444" spans="1:19" x14ac:dyDescent="0.35">
      <c r="A1444" t="s">
        <v>3581</v>
      </c>
      <c r="B1444" s="1">
        <v>42625</v>
      </c>
      <c r="C1444" s="1">
        <v>42630</v>
      </c>
      <c r="D1444" t="s">
        <v>37</v>
      </c>
      <c r="E1444" t="s">
        <v>778</v>
      </c>
      <c r="F1444" t="s">
        <v>779</v>
      </c>
      <c r="G1444" t="s">
        <v>84</v>
      </c>
      <c r="H1444" t="s">
        <v>24</v>
      </c>
      <c r="I1444" t="s">
        <v>869</v>
      </c>
      <c r="J1444" t="s">
        <v>707</v>
      </c>
      <c r="K1444" t="s">
        <v>27</v>
      </c>
      <c r="L1444" t="s">
        <v>3582</v>
      </c>
      <c r="M1444" t="s">
        <v>29</v>
      </c>
      <c r="N1444" t="s">
        <v>34</v>
      </c>
      <c r="O1444" t="s">
        <v>3583</v>
      </c>
      <c r="P1444">
        <v>1059.1199999999999</v>
      </c>
      <c r="Q1444">
        <v>4</v>
      </c>
      <c r="R1444">
        <v>307.14479999999998</v>
      </c>
      <c r="S1444" t="s">
        <v>72</v>
      </c>
    </row>
    <row r="1445" spans="1:19" x14ac:dyDescent="0.35">
      <c r="A1445" t="s">
        <v>3584</v>
      </c>
      <c r="B1445" s="1">
        <v>41826</v>
      </c>
      <c r="C1445" s="1">
        <v>41832</v>
      </c>
      <c r="D1445" t="s">
        <v>37</v>
      </c>
      <c r="E1445" t="s">
        <v>1811</v>
      </c>
      <c r="F1445" t="s">
        <v>1812</v>
      </c>
      <c r="G1445" t="s">
        <v>94</v>
      </c>
      <c r="H1445" t="s">
        <v>24</v>
      </c>
      <c r="I1445" t="s">
        <v>3585</v>
      </c>
      <c r="J1445" t="s">
        <v>50</v>
      </c>
      <c r="K1445" t="s">
        <v>51</v>
      </c>
      <c r="L1445" t="s">
        <v>1576</v>
      </c>
      <c r="M1445" t="s">
        <v>29</v>
      </c>
      <c r="N1445" t="s">
        <v>34</v>
      </c>
      <c r="O1445" t="s">
        <v>1577</v>
      </c>
      <c r="P1445">
        <v>478.48</v>
      </c>
      <c r="Q1445">
        <v>2</v>
      </c>
      <c r="R1445">
        <v>47.847999999999999</v>
      </c>
      <c r="S1445" t="s">
        <v>66</v>
      </c>
    </row>
    <row r="1446" spans="1:19" x14ac:dyDescent="0.35">
      <c r="A1446" t="s">
        <v>3586</v>
      </c>
      <c r="B1446" s="1">
        <v>41749</v>
      </c>
      <c r="C1446" s="1">
        <v>41754</v>
      </c>
      <c r="D1446" t="s">
        <v>37</v>
      </c>
      <c r="E1446" t="s">
        <v>1555</v>
      </c>
      <c r="F1446" t="s">
        <v>1556</v>
      </c>
      <c r="G1446" t="s">
        <v>23</v>
      </c>
      <c r="H1446" t="s">
        <v>24</v>
      </c>
      <c r="I1446" t="s">
        <v>49</v>
      </c>
      <c r="J1446" t="s">
        <v>50</v>
      </c>
      <c r="K1446" t="s">
        <v>51</v>
      </c>
      <c r="L1446" t="s">
        <v>2120</v>
      </c>
      <c r="M1446" t="s">
        <v>29</v>
      </c>
      <c r="N1446" t="s">
        <v>53</v>
      </c>
      <c r="O1446" t="s">
        <v>2121</v>
      </c>
      <c r="P1446">
        <v>59.92</v>
      </c>
      <c r="Q1446">
        <v>4</v>
      </c>
      <c r="R1446">
        <v>27.563199999999998</v>
      </c>
      <c r="S1446" t="s">
        <v>107</v>
      </c>
    </row>
    <row r="1447" spans="1:19" x14ac:dyDescent="0.35">
      <c r="A1447" t="s">
        <v>3587</v>
      </c>
      <c r="B1447" s="1">
        <v>42377</v>
      </c>
      <c r="C1447" s="1">
        <v>42381</v>
      </c>
      <c r="D1447" t="s">
        <v>37</v>
      </c>
      <c r="E1447" t="s">
        <v>2687</v>
      </c>
      <c r="F1447" t="s">
        <v>2688</v>
      </c>
      <c r="G1447" t="s">
        <v>84</v>
      </c>
      <c r="H1447" t="s">
        <v>24</v>
      </c>
      <c r="I1447" t="s">
        <v>229</v>
      </c>
      <c r="J1447" t="s">
        <v>230</v>
      </c>
      <c r="K1447" t="s">
        <v>87</v>
      </c>
      <c r="L1447" t="s">
        <v>96</v>
      </c>
      <c r="M1447" t="s">
        <v>29</v>
      </c>
      <c r="N1447" t="s">
        <v>30</v>
      </c>
      <c r="O1447" t="s">
        <v>97</v>
      </c>
      <c r="P1447">
        <v>1565.88</v>
      </c>
      <c r="Q1447">
        <v>6</v>
      </c>
      <c r="R1447">
        <v>407.12880000000001</v>
      </c>
      <c r="S1447" t="s">
        <v>161</v>
      </c>
    </row>
    <row r="1448" spans="1:19" x14ac:dyDescent="0.35">
      <c r="A1448" t="s">
        <v>3588</v>
      </c>
      <c r="B1448" s="1">
        <v>42842</v>
      </c>
      <c r="C1448" s="1">
        <v>42847</v>
      </c>
      <c r="D1448" t="s">
        <v>37</v>
      </c>
      <c r="E1448" t="s">
        <v>3571</v>
      </c>
      <c r="F1448" t="s">
        <v>3572</v>
      </c>
      <c r="G1448" t="s">
        <v>23</v>
      </c>
      <c r="H1448" t="s">
        <v>24</v>
      </c>
      <c r="I1448" t="s">
        <v>49</v>
      </c>
      <c r="J1448" t="s">
        <v>50</v>
      </c>
      <c r="K1448" t="s">
        <v>51</v>
      </c>
      <c r="L1448" t="s">
        <v>1608</v>
      </c>
      <c r="M1448" t="s">
        <v>29</v>
      </c>
      <c r="N1448" t="s">
        <v>34</v>
      </c>
      <c r="O1448" t="s">
        <v>1609</v>
      </c>
      <c r="P1448">
        <v>218.352</v>
      </c>
      <c r="Q1448">
        <v>3</v>
      </c>
      <c r="R1448">
        <v>-19.105799999999999</v>
      </c>
      <c r="S1448" t="s">
        <v>107</v>
      </c>
    </row>
    <row r="1449" spans="1:19" x14ac:dyDescent="0.35">
      <c r="A1449" t="s">
        <v>3589</v>
      </c>
      <c r="B1449" s="1">
        <v>42603</v>
      </c>
      <c r="C1449" s="1">
        <v>42610</v>
      </c>
      <c r="D1449" t="s">
        <v>37</v>
      </c>
      <c r="E1449" t="s">
        <v>3590</v>
      </c>
      <c r="F1449" t="s">
        <v>3591</v>
      </c>
      <c r="G1449" t="s">
        <v>84</v>
      </c>
      <c r="H1449" t="s">
        <v>24</v>
      </c>
      <c r="I1449" t="s">
        <v>49</v>
      </c>
      <c r="J1449" t="s">
        <v>50</v>
      </c>
      <c r="K1449" t="s">
        <v>51</v>
      </c>
      <c r="L1449" t="s">
        <v>1982</v>
      </c>
      <c r="M1449" t="s">
        <v>29</v>
      </c>
      <c r="N1449" t="s">
        <v>43</v>
      </c>
      <c r="O1449" t="s">
        <v>1983</v>
      </c>
      <c r="P1449">
        <v>2887.056</v>
      </c>
      <c r="Q1449">
        <v>9</v>
      </c>
      <c r="R1449">
        <v>180.441</v>
      </c>
      <c r="S1449" t="s">
        <v>245</v>
      </c>
    </row>
    <row r="1450" spans="1:19" x14ac:dyDescent="0.35">
      <c r="A1450" t="s">
        <v>3592</v>
      </c>
      <c r="B1450" s="1">
        <v>42618</v>
      </c>
      <c r="C1450" s="1">
        <v>42623</v>
      </c>
      <c r="D1450" t="s">
        <v>37</v>
      </c>
      <c r="E1450" t="s">
        <v>1406</v>
      </c>
      <c r="F1450" t="s">
        <v>1407</v>
      </c>
      <c r="G1450" t="s">
        <v>23</v>
      </c>
      <c r="H1450" t="s">
        <v>24</v>
      </c>
      <c r="I1450" t="s">
        <v>2111</v>
      </c>
      <c r="J1450" t="s">
        <v>707</v>
      </c>
      <c r="K1450" t="s">
        <v>27</v>
      </c>
      <c r="L1450" t="s">
        <v>1714</v>
      </c>
      <c r="M1450" t="s">
        <v>29</v>
      </c>
      <c r="N1450" t="s">
        <v>43</v>
      </c>
      <c r="O1450" t="s">
        <v>1715</v>
      </c>
      <c r="P1450">
        <v>1652.94</v>
      </c>
      <c r="Q1450">
        <v>3</v>
      </c>
      <c r="R1450">
        <v>314.05860000000001</v>
      </c>
      <c r="S1450" t="s">
        <v>72</v>
      </c>
    </row>
    <row r="1451" spans="1:19" x14ac:dyDescent="0.35">
      <c r="A1451" t="s">
        <v>3593</v>
      </c>
      <c r="B1451" s="1">
        <v>42292</v>
      </c>
      <c r="C1451" s="1">
        <v>42292</v>
      </c>
      <c r="D1451" t="s">
        <v>417</v>
      </c>
      <c r="E1451" t="s">
        <v>21</v>
      </c>
      <c r="F1451" t="s">
        <v>22</v>
      </c>
      <c r="G1451" t="s">
        <v>23</v>
      </c>
      <c r="H1451" t="s">
        <v>24</v>
      </c>
      <c r="I1451" t="s">
        <v>1730</v>
      </c>
      <c r="J1451" t="s">
        <v>86</v>
      </c>
      <c r="K1451" t="s">
        <v>87</v>
      </c>
      <c r="L1451" t="s">
        <v>1076</v>
      </c>
      <c r="M1451" t="s">
        <v>29</v>
      </c>
      <c r="N1451" t="s">
        <v>53</v>
      </c>
      <c r="O1451" t="s">
        <v>1077</v>
      </c>
      <c r="P1451">
        <v>131.376</v>
      </c>
      <c r="Q1451">
        <v>6</v>
      </c>
      <c r="R1451">
        <v>-95.247600000000006</v>
      </c>
      <c r="S1451" t="s">
        <v>45</v>
      </c>
    </row>
    <row r="1452" spans="1:19" x14ac:dyDescent="0.35">
      <c r="A1452" t="s">
        <v>3594</v>
      </c>
      <c r="B1452" s="1">
        <v>42339</v>
      </c>
      <c r="C1452" s="1">
        <v>42343</v>
      </c>
      <c r="D1452" t="s">
        <v>20</v>
      </c>
      <c r="E1452" t="s">
        <v>3533</v>
      </c>
      <c r="F1452" t="s">
        <v>3534</v>
      </c>
      <c r="G1452" t="s">
        <v>94</v>
      </c>
      <c r="H1452" t="s">
        <v>24</v>
      </c>
      <c r="I1452" t="s">
        <v>183</v>
      </c>
      <c r="J1452" t="s">
        <v>184</v>
      </c>
      <c r="K1452" t="s">
        <v>51</v>
      </c>
      <c r="L1452" t="s">
        <v>550</v>
      </c>
      <c r="M1452" t="s">
        <v>29</v>
      </c>
      <c r="N1452" t="s">
        <v>34</v>
      </c>
      <c r="O1452" t="s">
        <v>551</v>
      </c>
      <c r="P1452">
        <v>2003.92</v>
      </c>
      <c r="Q1452">
        <v>5</v>
      </c>
      <c r="R1452">
        <v>125.245</v>
      </c>
      <c r="S1452" t="s">
        <v>90</v>
      </c>
    </row>
    <row r="1453" spans="1:19" x14ac:dyDescent="0.35">
      <c r="A1453" t="s">
        <v>3594</v>
      </c>
      <c r="B1453" s="1">
        <v>42339</v>
      </c>
      <c r="C1453" s="1">
        <v>42343</v>
      </c>
      <c r="D1453" t="s">
        <v>20</v>
      </c>
      <c r="E1453" t="s">
        <v>3533</v>
      </c>
      <c r="F1453" t="s">
        <v>3534</v>
      </c>
      <c r="G1453" t="s">
        <v>94</v>
      </c>
      <c r="H1453" t="s">
        <v>24</v>
      </c>
      <c r="I1453" t="s">
        <v>183</v>
      </c>
      <c r="J1453" t="s">
        <v>184</v>
      </c>
      <c r="K1453" t="s">
        <v>51</v>
      </c>
      <c r="L1453" t="s">
        <v>296</v>
      </c>
      <c r="M1453" t="s">
        <v>29</v>
      </c>
      <c r="N1453" t="s">
        <v>43</v>
      </c>
      <c r="O1453" t="s">
        <v>297</v>
      </c>
      <c r="P1453">
        <v>1913.4</v>
      </c>
      <c r="Q1453">
        <v>9</v>
      </c>
      <c r="R1453">
        <v>401.81400000000002</v>
      </c>
      <c r="S1453" t="s">
        <v>90</v>
      </c>
    </row>
    <row r="1454" spans="1:19" x14ac:dyDescent="0.35">
      <c r="A1454" t="s">
        <v>3595</v>
      </c>
      <c r="B1454" s="1">
        <v>42155</v>
      </c>
      <c r="C1454" s="1">
        <v>42159</v>
      </c>
      <c r="D1454" t="s">
        <v>37</v>
      </c>
      <c r="E1454" t="s">
        <v>590</v>
      </c>
      <c r="F1454" t="s">
        <v>591</v>
      </c>
      <c r="G1454" t="s">
        <v>23</v>
      </c>
      <c r="H1454" t="s">
        <v>24</v>
      </c>
      <c r="I1454" t="s">
        <v>157</v>
      </c>
      <c r="J1454" t="s">
        <v>158</v>
      </c>
      <c r="K1454" t="s">
        <v>87</v>
      </c>
      <c r="L1454" t="s">
        <v>2264</v>
      </c>
      <c r="M1454" t="s">
        <v>29</v>
      </c>
      <c r="N1454" t="s">
        <v>34</v>
      </c>
      <c r="O1454" t="s">
        <v>2265</v>
      </c>
      <c r="P1454">
        <v>2567.84</v>
      </c>
      <c r="Q1454">
        <v>8</v>
      </c>
      <c r="R1454">
        <v>770.35199999999998</v>
      </c>
      <c r="S1454" t="s">
        <v>153</v>
      </c>
    </row>
    <row r="1455" spans="1:19" x14ac:dyDescent="0.35">
      <c r="A1455" t="s">
        <v>3596</v>
      </c>
      <c r="B1455" s="1">
        <v>42996</v>
      </c>
      <c r="C1455" s="1">
        <v>43000</v>
      </c>
      <c r="D1455" t="s">
        <v>37</v>
      </c>
      <c r="E1455" t="s">
        <v>2078</v>
      </c>
      <c r="F1455" t="s">
        <v>2079</v>
      </c>
      <c r="G1455" t="s">
        <v>84</v>
      </c>
      <c r="H1455" t="s">
        <v>24</v>
      </c>
      <c r="I1455" t="s">
        <v>339</v>
      </c>
      <c r="J1455" t="s">
        <v>658</v>
      </c>
      <c r="K1455" t="s">
        <v>27</v>
      </c>
      <c r="L1455" t="s">
        <v>2381</v>
      </c>
      <c r="M1455" t="s">
        <v>29</v>
      </c>
      <c r="N1455" t="s">
        <v>53</v>
      </c>
      <c r="O1455" t="s">
        <v>2382</v>
      </c>
      <c r="P1455">
        <v>20.32</v>
      </c>
      <c r="Q1455">
        <v>4</v>
      </c>
      <c r="R1455">
        <v>6.9088000000000003</v>
      </c>
      <c r="S1455" t="s">
        <v>72</v>
      </c>
    </row>
    <row r="1456" spans="1:19" x14ac:dyDescent="0.35">
      <c r="A1456" t="s">
        <v>3597</v>
      </c>
      <c r="B1456" s="1">
        <v>42148</v>
      </c>
      <c r="C1456" s="1">
        <v>42150</v>
      </c>
      <c r="D1456" t="s">
        <v>20</v>
      </c>
      <c r="E1456" t="s">
        <v>2835</v>
      </c>
      <c r="F1456" t="s">
        <v>2836</v>
      </c>
      <c r="G1456" t="s">
        <v>23</v>
      </c>
      <c r="H1456" t="s">
        <v>24</v>
      </c>
      <c r="I1456" t="s">
        <v>3598</v>
      </c>
      <c r="J1456" t="s">
        <v>126</v>
      </c>
      <c r="K1456" t="s">
        <v>87</v>
      </c>
      <c r="L1456" t="s">
        <v>1019</v>
      </c>
      <c r="M1456" t="s">
        <v>29</v>
      </c>
      <c r="N1456" t="s">
        <v>34</v>
      </c>
      <c r="O1456" t="s">
        <v>1020</v>
      </c>
      <c r="P1456">
        <v>602.65099999999995</v>
      </c>
      <c r="Q1456">
        <v>7</v>
      </c>
      <c r="R1456">
        <v>-163.57669999999999</v>
      </c>
      <c r="S1456" t="s">
        <v>153</v>
      </c>
    </row>
    <row r="1457" spans="1:19" x14ac:dyDescent="0.35">
      <c r="A1457" t="s">
        <v>3599</v>
      </c>
      <c r="B1457" s="1">
        <v>43079</v>
      </c>
      <c r="C1457" s="1">
        <v>43084</v>
      </c>
      <c r="D1457" t="s">
        <v>37</v>
      </c>
      <c r="E1457" t="s">
        <v>227</v>
      </c>
      <c r="F1457" t="s">
        <v>228</v>
      </c>
      <c r="G1457" t="s">
        <v>84</v>
      </c>
      <c r="H1457" t="s">
        <v>24</v>
      </c>
      <c r="I1457" t="s">
        <v>3600</v>
      </c>
      <c r="J1457" t="s">
        <v>150</v>
      </c>
      <c r="K1457" t="s">
        <v>27</v>
      </c>
      <c r="L1457" t="s">
        <v>1709</v>
      </c>
      <c r="M1457" t="s">
        <v>29</v>
      </c>
      <c r="N1457" t="s">
        <v>53</v>
      </c>
      <c r="O1457" t="s">
        <v>1710</v>
      </c>
      <c r="P1457">
        <v>14.76</v>
      </c>
      <c r="Q1457">
        <v>2</v>
      </c>
      <c r="R1457">
        <v>4.2804000000000002</v>
      </c>
      <c r="S1457" t="s">
        <v>90</v>
      </c>
    </row>
    <row r="1458" spans="1:19" x14ac:dyDescent="0.35">
      <c r="A1458" t="s">
        <v>3601</v>
      </c>
      <c r="B1458" s="1">
        <v>42945</v>
      </c>
      <c r="C1458" s="1">
        <v>42949</v>
      </c>
      <c r="D1458" t="s">
        <v>37</v>
      </c>
      <c r="E1458" t="s">
        <v>956</v>
      </c>
      <c r="F1458" t="s">
        <v>957</v>
      </c>
      <c r="G1458" t="s">
        <v>23</v>
      </c>
      <c r="H1458" t="s">
        <v>24</v>
      </c>
      <c r="I1458" t="s">
        <v>183</v>
      </c>
      <c r="J1458" t="s">
        <v>184</v>
      </c>
      <c r="K1458" t="s">
        <v>51</v>
      </c>
      <c r="L1458" t="s">
        <v>340</v>
      </c>
      <c r="M1458" t="s">
        <v>29</v>
      </c>
      <c r="N1458" t="s">
        <v>30</v>
      </c>
      <c r="O1458" t="s">
        <v>341</v>
      </c>
      <c r="P1458">
        <v>115.96</v>
      </c>
      <c r="Q1458">
        <v>2</v>
      </c>
      <c r="R1458">
        <v>25.511199999999999</v>
      </c>
      <c r="S1458" t="s">
        <v>66</v>
      </c>
    </row>
    <row r="1459" spans="1:19" x14ac:dyDescent="0.35">
      <c r="A1459" t="s">
        <v>3602</v>
      </c>
      <c r="B1459" s="1">
        <v>41989</v>
      </c>
      <c r="C1459" s="1">
        <v>41994</v>
      </c>
      <c r="D1459" t="s">
        <v>37</v>
      </c>
      <c r="E1459" t="s">
        <v>2757</v>
      </c>
      <c r="F1459" t="s">
        <v>2758</v>
      </c>
      <c r="G1459" t="s">
        <v>84</v>
      </c>
      <c r="H1459" t="s">
        <v>24</v>
      </c>
      <c r="I1459" t="s">
        <v>1840</v>
      </c>
      <c r="J1459" t="s">
        <v>50</v>
      </c>
      <c r="K1459" t="s">
        <v>51</v>
      </c>
      <c r="L1459" t="s">
        <v>1477</v>
      </c>
      <c r="M1459" t="s">
        <v>29</v>
      </c>
      <c r="N1459" t="s">
        <v>34</v>
      </c>
      <c r="O1459" t="s">
        <v>1478</v>
      </c>
      <c r="P1459">
        <v>1403.92</v>
      </c>
      <c r="Q1459">
        <v>5</v>
      </c>
      <c r="R1459">
        <v>70.195999999999998</v>
      </c>
      <c r="S1459" t="s">
        <v>90</v>
      </c>
    </row>
    <row r="1460" spans="1:19" x14ac:dyDescent="0.35">
      <c r="A1460" t="s">
        <v>3603</v>
      </c>
      <c r="B1460" s="1">
        <v>42338</v>
      </c>
      <c r="C1460" s="1">
        <v>42342</v>
      </c>
      <c r="D1460" t="s">
        <v>37</v>
      </c>
      <c r="E1460" t="s">
        <v>1497</v>
      </c>
      <c r="F1460" t="s">
        <v>1498</v>
      </c>
      <c r="G1460" t="s">
        <v>23</v>
      </c>
      <c r="H1460" t="s">
        <v>24</v>
      </c>
      <c r="I1460" t="s">
        <v>165</v>
      </c>
      <c r="J1460" t="s">
        <v>114</v>
      </c>
      <c r="K1460" t="s">
        <v>63</v>
      </c>
      <c r="L1460" t="s">
        <v>2470</v>
      </c>
      <c r="M1460" t="s">
        <v>29</v>
      </c>
      <c r="N1460" t="s">
        <v>30</v>
      </c>
      <c r="O1460" t="s">
        <v>2471</v>
      </c>
      <c r="P1460">
        <v>681.40800000000002</v>
      </c>
      <c r="Q1460">
        <v>12</v>
      </c>
      <c r="R1460">
        <v>42.588000000000001</v>
      </c>
      <c r="S1460" t="s">
        <v>32</v>
      </c>
    </row>
    <row r="1461" spans="1:19" x14ac:dyDescent="0.35">
      <c r="A1461" t="s">
        <v>3604</v>
      </c>
      <c r="B1461" s="1">
        <v>41834</v>
      </c>
      <c r="C1461" s="1">
        <v>41838</v>
      </c>
      <c r="D1461" t="s">
        <v>37</v>
      </c>
      <c r="E1461" t="s">
        <v>3605</v>
      </c>
      <c r="F1461" t="s">
        <v>3606</v>
      </c>
      <c r="G1461" t="s">
        <v>23</v>
      </c>
      <c r="H1461" t="s">
        <v>24</v>
      </c>
      <c r="I1461" t="s">
        <v>61</v>
      </c>
      <c r="J1461" t="s">
        <v>62</v>
      </c>
      <c r="K1461" t="s">
        <v>63</v>
      </c>
      <c r="L1461" t="s">
        <v>3573</v>
      </c>
      <c r="M1461" t="s">
        <v>29</v>
      </c>
      <c r="N1461" t="s">
        <v>53</v>
      </c>
      <c r="O1461" t="s">
        <v>3574</v>
      </c>
      <c r="P1461">
        <v>31.984000000000002</v>
      </c>
      <c r="Q1461">
        <v>2</v>
      </c>
      <c r="R1461">
        <v>1.1994</v>
      </c>
      <c r="S1461" t="s">
        <v>66</v>
      </c>
    </row>
    <row r="1462" spans="1:19" x14ac:dyDescent="0.35">
      <c r="A1462" t="s">
        <v>3607</v>
      </c>
      <c r="B1462" s="1">
        <v>42615</v>
      </c>
      <c r="C1462" s="1">
        <v>42617</v>
      </c>
      <c r="D1462" t="s">
        <v>81</v>
      </c>
      <c r="E1462" t="s">
        <v>3151</v>
      </c>
      <c r="F1462" t="s">
        <v>3152</v>
      </c>
      <c r="G1462" t="s">
        <v>94</v>
      </c>
      <c r="H1462" t="s">
        <v>24</v>
      </c>
      <c r="I1462" t="s">
        <v>125</v>
      </c>
      <c r="J1462" t="s">
        <v>126</v>
      </c>
      <c r="K1462" t="s">
        <v>87</v>
      </c>
      <c r="L1462" t="s">
        <v>3608</v>
      </c>
      <c r="M1462" t="s">
        <v>29</v>
      </c>
      <c r="N1462" t="s">
        <v>53</v>
      </c>
      <c r="O1462" t="s">
        <v>3609</v>
      </c>
      <c r="P1462">
        <v>84.272000000000006</v>
      </c>
      <c r="Q1462">
        <v>2</v>
      </c>
      <c r="R1462">
        <v>-75.844800000000006</v>
      </c>
      <c r="S1462" t="s">
        <v>72</v>
      </c>
    </row>
    <row r="1463" spans="1:19" x14ac:dyDescent="0.35">
      <c r="A1463" t="s">
        <v>3610</v>
      </c>
      <c r="B1463" s="1">
        <v>42643</v>
      </c>
      <c r="C1463" s="1">
        <v>42647</v>
      </c>
      <c r="D1463" t="s">
        <v>37</v>
      </c>
      <c r="E1463" t="s">
        <v>1117</v>
      </c>
      <c r="F1463" t="s">
        <v>1118</v>
      </c>
      <c r="G1463" t="s">
        <v>23</v>
      </c>
      <c r="H1463" t="s">
        <v>24</v>
      </c>
      <c r="I1463" t="s">
        <v>165</v>
      </c>
      <c r="J1463" t="s">
        <v>114</v>
      </c>
      <c r="K1463" t="s">
        <v>63</v>
      </c>
      <c r="L1463" t="s">
        <v>1627</v>
      </c>
      <c r="M1463" t="s">
        <v>29</v>
      </c>
      <c r="N1463" t="s">
        <v>30</v>
      </c>
      <c r="O1463" t="s">
        <v>1628</v>
      </c>
      <c r="P1463">
        <v>523.91999999999996</v>
      </c>
      <c r="Q1463">
        <v>5</v>
      </c>
      <c r="R1463">
        <v>-26.196000000000002</v>
      </c>
      <c r="S1463" t="s">
        <v>72</v>
      </c>
    </row>
    <row r="1464" spans="1:19" x14ac:dyDescent="0.35">
      <c r="A1464" t="s">
        <v>3611</v>
      </c>
      <c r="B1464" s="1">
        <v>42119</v>
      </c>
      <c r="C1464" s="1">
        <v>42123</v>
      </c>
      <c r="D1464" t="s">
        <v>37</v>
      </c>
      <c r="E1464" t="s">
        <v>834</v>
      </c>
      <c r="F1464" t="s">
        <v>835</v>
      </c>
      <c r="G1464" t="s">
        <v>23</v>
      </c>
      <c r="H1464" t="s">
        <v>24</v>
      </c>
      <c r="I1464" t="s">
        <v>171</v>
      </c>
      <c r="J1464" t="s">
        <v>126</v>
      </c>
      <c r="K1464" t="s">
        <v>87</v>
      </c>
      <c r="L1464" t="s">
        <v>2419</v>
      </c>
      <c r="M1464" t="s">
        <v>29</v>
      </c>
      <c r="N1464" t="s">
        <v>34</v>
      </c>
      <c r="O1464" t="s">
        <v>2420</v>
      </c>
      <c r="P1464">
        <v>128.05799999999999</v>
      </c>
      <c r="Q1464">
        <v>3</v>
      </c>
      <c r="R1464">
        <v>-23.7822</v>
      </c>
      <c r="S1464" t="s">
        <v>107</v>
      </c>
    </row>
    <row r="1465" spans="1:19" x14ac:dyDescent="0.35">
      <c r="A1465" t="s">
        <v>3612</v>
      </c>
      <c r="B1465" s="1">
        <v>43058</v>
      </c>
      <c r="C1465" s="1">
        <v>43058</v>
      </c>
      <c r="D1465" t="s">
        <v>417</v>
      </c>
      <c r="E1465" t="s">
        <v>1941</v>
      </c>
      <c r="F1465" t="s">
        <v>1942</v>
      </c>
      <c r="G1465" t="s">
        <v>94</v>
      </c>
      <c r="H1465" t="s">
        <v>24</v>
      </c>
      <c r="I1465" t="s">
        <v>165</v>
      </c>
      <c r="J1465" t="s">
        <v>114</v>
      </c>
      <c r="K1465" t="s">
        <v>63</v>
      </c>
      <c r="L1465" t="s">
        <v>1240</v>
      </c>
      <c r="M1465" t="s">
        <v>29</v>
      </c>
      <c r="N1465" t="s">
        <v>43</v>
      </c>
      <c r="O1465" t="s">
        <v>1241</v>
      </c>
      <c r="P1465">
        <v>79.974000000000004</v>
      </c>
      <c r="Q1465">
        <v>3</v>
      </c>
      <c r="R1465">
        <v>-29.323799999999999</v>
      </c>
      <c r="S1465" t="s">
        <v>32</v>
      </c>
    </row>
    <row r="1466" spans="1:19" x14ac:dyDescent="0.35">
      <c r="A1466" t="s">
        <v>3613</v>
      </c>
      <c r="B1466" s="1">
        <v>42565</v>
      </c>
      <c r="C1466" s="1">
        <v>42570</v>
      </c>
      <c r="D1466" t="s">
        <v>37</v>
      </c>
      <c r="E1466" t="s">
        <v>3614</v>
      </c>
      <c r="F1466" t="s">
        <v>3615</v>
      </c>
      <c r="G1466" t="s">
        <v>23</v>
      </c>
      <c r="H1466" t="s">
        <v>24</v>
      </c>
      <c r="I1466" t="s">
        <v>339</v>
      </c>
      <c r="J1466" t="s">
        <v>658</v>
      </c>
      <c r="K1466" t="s">
        <v>27</v>
      </c>
      <c r="L1466" t="s">
        <v>78</v>
      </c>
      <c r="M1466" t="s">
        <v>29</v>
      </c>
      <c r="N1466" t="s">
        <v>53</v>
      </c>
      <c r="O1466" t="s">
        <v>79</v>
      </c>
      <c r="P1466">
        <v>51.75</v>
      </c>
      <c r="Q1466">
        <v>1</v>
      </c>
      <c r="R1466">
        <v>15.525</v>
      </c>
      <c r="S1466" t="s">
        <v>66</v>
      </c>
    </row>
    <row r="1467" spans="1:19" x14ac:dyDescent="0.35">
      <c r="A1467" t="s">
        <v>3616</v>
      </c>
      <c r="B1467" s="1">
        <v>42379</v>
      </c>
      <c r="C1467" s="1">
        <v>42382</v>
      </c>
      <c r="D1467" t="s">
        <v>20</v>
      </c>
      <c r="E1467" t="s">
        <v>2238</v>
      </c>
      <c r="F1467" t="s">
        <v>2239</v>
      </c>
      <c r="G1467" t="s">
        <v>23</v>
      </c>
      <c r="H1467" t="s">
        <v>24</v>
      </c>
      <c r="I1467" t="s">
        <v>3617</v>
      </c>
      <c r="J1467" t="s">
        <v>184</v>
      </c>
      <c r="K1467" t="s">
        <v>51</v>
      </c>
      <c r="L1467" t="s">
        <v>641</v>
      </c>
      <c r="M1467" t="s">
        <v>29</v>
      </c>
      <c r="N1467" t="s">
        <v>53</v>
      </c>
      <c r="O1467" t="s">
        <v>642</v>
      </c>
      <c r="P1467">
        <v>24.85</v>
      </c>
      <c r="Q1467">
        <v>5</v>
      </c>
      <c r="R1467">
        <v>7.7035</v>
      </c>
      <c r="S1467" t="s">
        <v>161</v>
      </c>
    </row>
    <row r="1468" spans="1:19" x14ac:dyDescent="0.35">
      <c r="A1468" t="s">
        <v>3618</v>
      </c>
      <c r="B1468" s="1">
        <v>42183</v>
      </c>
      <c r="C1468" s="1">
        <v>42187</v>
      </c>
      <c r="D1468" t="s">
        <v>37</v>
      </c>
      <c r="E1468" t="s">
        <v>3619</v>
      </c>
      <c r="F1468" t="s">
        <v>3620</v>
      </c>
      <c r="G1468" t="s">
        <v>84</v>
      </c>
      <c r="H1468" t="s">
        <v>24</v>
      </c>
      <c r="I1468" t="s">
        <v>2024</v>
      </c>
      <c r="J1468" t="s">
        <v>511</v>
      </c>
      <c r="K1468" t="s">
        <v>51</v>
      </c>
      <c r="L1468" t="s">
        <v>781</v>
      </c>
      <c r="M1468" t="s">
        <v>29</v>
      </c>
      <c r="N1468" t="s">
        <v>53</v>
      </c>
      <c r="O1468" t="s">
        <v>782</v>
      </c>
      <c r="P1468">
        <v>621.76</v>
      </c>
      <c r="Q1468">
        <v>4</v>
      </c>
      <c r="R1468">
        <v>46.631999999999998</v>
      </c>
      <c r="S1468" t="s">
        <v>55</v>
      </c>
    </row>
    <row r="1469" spans="1:19" x14ac:dyDescent="0.35">
      <c r="A1469" t="s">
        <v>3621</v>
      </c>
      <c r="B1469" s="1">
        <v>42316</v>
      </c>
      <c r="C1469" s="1">
        <v>42321</v>
      </c>
      <c r="D1469" t="s">
        <v>20</v>
      </c>
      <c r="E1469" t="s">
        <v>2458</v>
      </c>
      <c r="F1469" t="s">
        <v>2459</v>
      </c>
      <c r="G1469" t="s">
        <v>23</v>
      </c>
      <c r="H1469" t="s">
        <v>24</v>
      </c>
      <c r="I1469" t="s">
        <v>2841</v>
      </c>
      <c r="J1469" t="s">
        <v>707</v>
      </c>
      <c r="K1469" t="s">
        <v>27</v>
      </c>
      <c r="L1469" t="s">
        <v>1787</v>
      </c>
      <c r="M1469" t="s">
        <v>29</v>
      </c>
      <c r="N1469" t="s">
        <v>53</v>
      </c>
      <c r="O1469" t="s">
        <v>1788</v>
      </c>
      <c r="P1469">
        <v>186.54</v>
      </c>
      <c r="Q1469">
        <v>3</v>
      </c>
      <c r="R1469">
        <v>41.038800000000002</v>
      </c>
      <c r="S1469" t="s">
        <v>32</v>
      </c>
    </row>
    <row r="1470" spans="1:19" x14ac:dyDescent="0.35">
      <c r="A1470" t="s">
        <v>3622</v>
      </c>
      <c r="B1470" s="1">
        <v>42093</v>
      </c>
      <c r="C1470" s="1">
        <v>42097</v>
      </c>
      <c r="D1470" t="s">
        <v>37</v>
      </c>
      <c r="E1470" t="s">
        <v>2104</v>
      </c>
      <c r="F1470" t="s">
        <v>2105</v>
      </c>
      <c r="G1470" t="s">
        <v>94</v>
      </c>
      <c r="H1470" t="s">
        <v>24</v>
      </c>
      <c r="I1470" t="s">
        <v>3623</v>
      </c>
      <c r="J1470" t="s">
        <v>126</v>
      </c>
      <c r="K1470" t="s">
        <v>87</v>
      </c>
      <c r="L1470" t="s">
        <v>2569</v>
      </c>
      <c r="M1470" t="s">
        <v>29</v>
      </c>
      <c r="N1470" t="s">
        <v>34</v>
      </c>
      <c r="O1470" t="s">
        <v>2570</v>
      </c>
      <c r="P1470">
        <v>366.74400000000003</v>
      </c>
      <c r="Q1470">
        <v>4</v>
      </c>
      <c r="R1470">
        <v>-110.0232</v>
      </c>
      <c r="S1470" t="s">
        <v>187</v>
      </c>
    </row>
    <row r="1471" spans="1:19" x14ac:dyDescent="0.35">
      <c r="A1471" t="s">
        <v>3624</v>
      </c>
      <c r="B1471" s="1">
        <v>41870</v>
      </c>
      <c r="C1471" s="1">
        <v>41872</v>
      </c>
      <c r="D1471" t="s">
        <v>20</v>
      </c>
      <c r="E1471" t="s">
        <v>2347</v>
      </c>
      <c r="F1471" t="s">
        <v>2348</v>
      </c>
      <c r="G1471" t="s">
        <v>84</v>
      </c>
      <c r="H1471" t="s">
        <v>24</v>
      </c>
      <c r="I1471" t="s">
        <v>49</v>
      </c>
      <c r="J1471" t="s">
        <v>50</v>
      </c>
      <c r="K1471" t="s">
        <v>51</v>
      </c>
      <c r="L1471" t="s">
        <v>587</v>
      </c>
      <c r="M1471" t="s">
        <v>29</v>
      </c>
      <c r="N1471" t="s">
        <v>53</v>
      </c>
      <c r="O1471" t="s">
        <v>588</v>
      </c>
      <c r="P1471">
        <v>289.24</v>
      </c>
      <c r="Q1471">
        <v>7</v>
      </c>
      <c r="R1471">
        <v>26.031600000000001</v>
      </c>
      <c r="S1471" t="s">
        <v>245</v>
      </c>
    </row>
    <row r="1472" spans="1:19" x14ac:dyDescent="0.35">
      <c r="A1472" t="s">
        <v>3625</v>
      </c>
      <c r="B1472" s="1">
        <v>42309</v>
      </c>
      <c r="C1472" s="1">
        <v>42313</v>
      </c>
      <c r="D1472" t="s">
        <v>37</v>
      </c>
      <c r="E1472" t="s">
        <v>2864</v>
      </c>
      <c r="F1472" t="s">
        <v>2865</v>
      </c>
      <c r="G1472" t="s">
        <v>23</v>
      </c>
      <c r="H1472" t="s">
        <v>24</v>
      </c>
      <c r="I1472" t="s">
        <v>165</v>
      </c>
      <c r="J1472" t="s">
        <v>114</v>
      </c>
      <c r="K1472" t="s">
        <v>63</v>
      </c>
      <c r="L1472" t="s">
        <v>3207</v>
      </c>
      <c r="M1472" t="s">
        <v>29</v>
      </c>
      <c r="N1472" t="s">
        <v>34</v>
      </c>
      <c r="O1472" t="s">
        <v>3208</v>
      </c>
      <c r="P1472">
        <v>205.16399999999999</v>
      </c>
      <c r="Q1472">
        <v>2</v>
      </c>
      <c r="R1472">
        <v>13.6776</v>
      </c>
      <c r="S1472" t="s">
        <v>32</v>
      </c>
    </row>
    <row r="1473" spans="1:19" x14ac:dyDescent="0.35">
      <c r="A1473" t="s">
        <v>3626</v>
      </c>
      <c r="B1473" s="1">
        <v>41988</v>
      </c>
      <c r="C1473" s="1">
        <v>41994</v>
      </c>
      <c r="D1473" t="s">
        <v>37</v>
      </c>
      <c r="E1473" t="s">
        <v>2608</v>
      </c>
      <c r="F1473" t="s">
        <v>2609</v>
      </c>
      <c r="G1473" t="s">
        <v>84</v>
      </c>
      <c r="H1473" t="s">
        <v>24</v>
      </c>
      <c r="I1473" t="s">
        <v>125</v>
      </c>
      <c r="J1473" t="s">
        <v>126</v>
      </c>
      <c r="K1473" t="s">
        <v>87</v>
      </c>
      <c r="L1473" t="s">
        <v>2131</v>
      </c>
      <c r="M1473" t="s">
        <v>29</v>
      </c>
      <c r="N1473" t="s">
        <v>53</v>
      </c>
      <c r="O1473" t="s">
        <v>2132</v>
      </c>
      <c r="P1473">
        <v>8.5440000000000005</v>
      </c>
      <c r="Q1473">
        <v>2</v>
      </c>
      <c r="R1473">
        <v>-7.476</v>
      </c>
      <c r="S1473" t="s">
        <v>90</v>
      </c>
    </row>
    <row r="1474" spans="1:19" x14ac:dyDescent="0.35">
      <c r="A1474" t="s">
        <v>3627</v>
      </c>
      <c r="B1474" s="1">
        <v>42237</v>
      </c>
      <c r="C1474" s="1">
        <v>42241</v>
      </c>
      <c r="D1474" t="s">
        <v>37</v>
      </c>
      <c r="E1474" t="s">
        <v>3479</v>
      </c>
      <c r="F1474" t="s">
        <v>3480</v>
      </c>
      <c r="G1474" t="s">
        <v>84</v>
      </c>
      <c r="H1474" t="s">
        <v>24</v>
      </c>
      <c r="I1474" t="s">
        <v>869</v>
      </c>
      <c r="J1474" t="s">
        <v>223</v>
      </c>
      <c r="K1474" t="s">
        <v>63</v>
      </c>
      <c r="L1474" t="s">
        <v>566</v>
      </c>
      <c r="M1474" t="s">
        <v>29</v>
      </c>
      <c r="N1474" t="s">
        <v>34</v>
      </c>
      <c r="O1474" t="s">
        <v>567</v>
      </c>
      <c r="P1474">
        <v>598.45799999999997</v>
      </c>
      <c r="Q1474">
        <v>3</v>
      </c>
      <c r="R1474">
        <v>-42.747</v>
      </c>
      <c r="S1474" t="s">
        <v>245</v>
      </c>
    </row>
    <row r="1475" spans="1:19" x14ac:dyDescent="0.35">
      <c r="A1475" t="s">
        <v>3627</v>
      </c>
      <c r="B1475" s="1">
        <v>42237</v>
      </c>
      <c r="C1475" s="1">
        <v>42241</v>
      </c>
      <c r="D1475" t="s">
        <v>37</v>
      </c>
      <c r="E1475" t="s">
        <v>3479</v>
      </c>
      <c r="F1475" t="s">
        <v>3480</v>
      </c>
      <c r="G1475" t="s">
        <v>84</v>
      </c>
      <c r="H1475" t="s">
        <v>24</v>
      </c>
      <c r="I1475" t="s">
        <v>869</v>
      </c>
      <c r="J1475" t="s">
        <v>223</v>
      </c>
      <c r="K1475" t="s">
        <v>63</v>
      </c>
      <c r="L1475" t="s">
        <v>2386</v>
      </c>
      <c r="M1475" t="s">
        <v>29</v>
      </c>
      <c r="N1475" t="s">
        <v>53</v>
      </c>
      <c r="O1475" t="s">
        <v>2387</v>
      </c>
      <c r="P1475">
        <v>25.984000000000002</v>
      </c>
      <c r="Q1475">
        <v>1</v>
      </c>
      <c r="R1475">
        <v>-3.8976000000000002</v>
      </c>
      <c r="S1475" t="s">
        <v>245</v>
      </c>
    </row>
    <row r="1476" spans="1:19" x14ac:dyDescent="0.35">
      <c r="A1476" t="s">
        <v>3628</v>
      </c>
      <c r="B1476" s="1">
        <v>43078</v>
      </c>
      <c r="C1476" s="1">
        <v>43080</v>
      </c>
      <c r="D1476" t="s">
        <v>20</v>
      </c>
      <c r="E1476" t="s">
        <v>2292</v>
      </c>
      <c r="F1476" t="s">
        <v>2293</v>
      </c>
      <c r="G1476" t="s">
        <v>94</v>
      </c>
      <c r="H1476" t="s">
        <v>24</v>
      </c>
      <c r="I1476" t="s">
        <v>3629</v>
      </c>
      <c r="J1476" t="s">
        <v>50</v>
      </c>
      <c r="K1476" t="s">
        <v>51</v>
      </c>
      <c r="L1476" t="s">
        <v>851</v>
      </c>
      <c r="M1476" t="s">
        <v>29</v>
      </c>
      <c r="N1476" t="s">
        <v>30</v>
      </c>
      <c r="O1476" t="s">
        <v>852</v>
      </c>
      <c r="P1476">
        <v>148.25700000000001</v>
      </c>
      <c r="Q1476">
        <v>3</v>
      </c>
      <c r="R1476">
        <v>15.697800000000001</v>
      </c>
      <c r="S1476" t="s">
        <v>90</v>
      </c>
    </row>
    <row r="1477" spans="1:19" x14ac:dyDescent="0.35">
      <c r="A1477" t="s">
        <v>3630</v>
      </c>
      <c r="B1477" s="1">
        <v>41874</v>
      </c>
      <c r="C1477" s="1">
        <v>41878</v>
      </c>
      <c r="D1477" t="s">
        <v>37</v>
      </c>
      <c r="E1477" t="s">
        <v>1056</v>
      </c>
      <c r="F1477" t="s">
        <v>1057</v>
      </c>
      <c r="G1477" t="s">
        <v>23</v>
      </c>
      <c r="H1477" t="s">
        <v>24</v>
      </c>
      <c r="I1477" t="s">
        <v>257</v>
      </c>
      <c r="J1477" t="s">
        <v>172</v>
      </c>
      <c r="K1477" t="s">
        <v>51</v>
      </c>
      <c r="L1477" t="s">
        <v>329</v>
      </c>
      <c r="M1477" t="s">
        <v>29</v>
      </c>
      <c r="N1477" t="s">
        <v>53</v>
      </c>
      <c r="O1477" t="s">
        <v>330</v>
      </c>
      <c r="P1477">
        <v>4.2240000000000002</v>
      </c>
      <c r="Q1477">
        <v>3</v>
      </c>
      <c r="R1477">
        <v>1.2672000000000001</v>
      </c>
      <c r="S1477" t="s">
        <v>245</v>
      </c>
    </row>
    <row r="1478" spans="1:19" x14ac:dyDescent="0.35">
      <c r="A1478" t="s">
        <v>3631</v>
      </c>
      <c r="B1478" s="1">
        <v>42685</v>
      </c>
      <c r="C1478" s="1">
        <v>42690</v>
      </c>
      <c r="D1478" t="s">
        <v>37</v>
      </c>
      <c r="E1478" t="s">
        <v>2372</v>
      </c>
      <c r="F1478" t="s">
        <v>2373</v>
      </c>
      <c r="G1478" t="s">
        <v>84</v>
      </c>
      <c r="H1478" t="s">
        <v>24</v>
      </c>
      <c r="I1478" t="s">
        <v>165</v>
      </c>
      <c r="J1478" t="s">
        <v>114</v>
      </c>
      <c r="K1478" t="s">
        <v>63</v>
      </c>
      <c r="L1478" t="s">
        <v>1608</v>
      </c>
      <c r="M1478" t="s">
        <v>29</v>
      </c>
      <c r="N1478" t="s">
        <v>34</v>
      </c>
      <c r="O1478" t="s">
        <v>1609</v>
      </c>
      <c r="P1478">
        <v>245.64599999999999</v>
      </c>
      <c r="Q1478">
        <v>3</v>
      </c>
      <c r="R1478">
        <v>8.1882000000000001</v>
      </c>
      <c r="S1478" t="s">
        <v>32</v>
      </c>
    </row>
    <row r="1479" spans="1:19" x14ac:dyDescent="0.35">
      <c r="A1479" t="s">
        <v>3632</v>
      </c>
      <c r="B1479" s="1">
        <v>43048</v>
      </c>
      <c r="C1479" s="1">
        <v>43052</v>
      </c>
      <c r="D1479" t="s">
        <v>37</v>
      </c>
      <c r="E1479" t="s">
        <v>2307</v>
      </c>
      <c r="F1479" t="s">
        <v>2308</v>
      </c>
      <c r="G1479" t="s">
        <v>84</v>
      </c>
      <c r="H1479" t="s">
        <v>24</v>
      </c>
      <c r="I1479" t="s">
        <v>630</v>
      </c>
      <c r="J1479" t="s">
        <v>50</v>
      </c>
      <c r="K1479" t="s">
        <v>51</v>
      </c>
      <c r="L1479" t="s">
        <v>807</v>
      </c>
      <c r="M1479" t="s">
        <v>29</v>
      </c>
      <c r="N1479" t="s">
        <v>34</v>
      </c>
      <c r="O1479" t="s">
        <v>808</v>
      </c>
      <c r="P1479">
        <v>523.39200000000005</v>
      </c>
      <c r="Q1479">
        <v>3</v>
      </c>
      <c r="R1479">
        <v>52.339199999999998</v>
      </c>
      <c r="S1479" t="s">
        <v>32</v>
      </c>
    </row>
    <row r="1480" spans="1:19" x14ac:dyDescent="0.35">
      <c r="A1480" t="s">
        <v>3633</v>
      </c>
      <c r="B1480" s="1">
        <v>43086</v>
      </c>
      <c r="C1480" s="1">
        <v>43092</v>
      </c>
      <c r="D1480" t="s">
        <v>37</v>
      </c>
      <c r="E1480" t="s">
        <v>3634</v>
      </c>
      <c r="F1480" t="s">
        <v>3635</v>
      </c>
      <c r="G1480" t="s">
        <v>23</v>
      </c>
      <c r="H1480" t="s">
        <v>24</v>
      </c>
      <c r="I1480" t="s">
        <v>165</v>
      </c>
      <c r="J1480" t="s">
        <v>114</v>
      </c>
      <c r="K1480" t="s">
        <v>63</v>
      </c>
      <c r="L1480" t="s">
        <v>1787</v>
      </c>
      <c r="M1480" t="s">
        <v>29</v>
      </c>
      <c r="N1480" t="s">
        <v>53</v>
      </c>
      <c r="O1480" t="s">
        <v>1788</v>
      </c>
      <c r="P1480">
        <v>124.36</v>
      </c>
      <c r="Q1480">
        <v>2</v>
      </c>
      <c r="R1480">
        <v>27.359200000000001</v>
      </c>
      <c r="S1480" t="s">
        <v>90</v>
      </c>
    </row>
    <row r="1481" spans="1:19" x14ac:dyDescent="0.35">
      <c r="A1481" t="s">
        <v>3636</v>
      </c>
      <c r="B1481" s="1">
        <v>42934</v>
      </c>
      <c r="C1481" s="1">
        <v>42939</v>
      </c>
      <c r="D1481" t="s">
        <v>37</v>
      </c>
      <c r="E1481" t="s">
        <v>730</v>
      </c>
      <c r="F1481" t="s">
        <v>731</v>
      </c>
      <c r="G1481" t="s">
        <v>23</v>
      </c>
      <c r="H1481" t="s">
        <v>24</v>
      </c>
      <c r="I1481" t="s">
        <v>61</v>
      </c>
      <c r="J1481" t="s">
        <v>62</v>
      </c>
      <c r="K1481" t="s">
        <v>63</v>
      </c>
      <c r="L1481" t="s">
        <v>581</v>
      </c>
      <c r="M1481" t="s">
        <v>29</v>
      </c>
      <c r="N1481" t="s">
        <v>34</v>
      </c>
      <c r="O1481" t="s">
        <v>582</v>
      </c>
      <c r="P1481">
        <v>198.744</v>
      </c>
      <c r="Q1481">
        <v>4</v>
      </c>
      <c r="R1481">
        <v>-14.196</v>
      </c>
      <c r="S1481" t="s">
        <v>66</v>
      </c>
    </row>
    <row r="1482" spans="1:19" x14ac:dyDescent="0.35">
      <c r="A1482" t="s">
        <v>3637</v>
      </c>
      <c r="B1482" s="1">
        <v>41737</v>
      </c>
      <c r="C1482" s="1">
        <v>41741</v>
      </c>
      <c r="D1482" t="s">
        <v>37</v>
      </c>
      <c r="E1482" t="s">
        <v>384</v>
      </c>
      <c r="F1482" t="s">
        <v>385</v>
      </c>
      <c r="G1482" t="s">
        <v>94</v>
      </c>
      <c r="H1482" t="s">
        <v>24</v>
      </c>
      <c r="I1482" t="s">
        <v>500</v>
      </c>
      <c r="J1482" t="s">
        <v>50</v>
      </c>
      <c r="K1482" t="s">
        <v>51</v>
      </c>
      <c r="L1482" t="s">
        <v>282</v>
      </c>
      <c r="M1482" t="s">
        <v>29</v>
      </c>
      <c r="N1482" t="s">
        <v>43</v>
      </c>
      <c r="O1482" t="s">
        <v>283</v>
      </c>
      <c r="P1482">
        <v>99.591999999999999</v>
      </c>
      <c r="Q1482">
        <v>1</v>
      </c>
      <c r="R1482">
        <v>2.4897999999999998</v>
      </c>
      <c r="S1482" t="s">
        <v>107</v>
      </c>
    </row>
    <row r="1483" spans="1:19" x14ac:dyDescent="0.35">
      <c r="A1483" t="s">
        <v>3638</v>
      </c>
      <c r="B1483" s="1">
        <v>42715</v>
      </c>
      <c r="C1483" s="1">
        <v>42715</v>
      </c>
      <c r="D1483" t="s">
        <v>417</v>
      </c>
      <c r="E1483" t="s">
        <v>1721</v>
      </c>
      <c r="F1483" t="s">
        <v>1722</v>
      </c>
      <c r="G1483" t="s">
        <v>23</v>
      </c>
      <c r="H1483" t="s">
        <v>24</v>
      </c>
      <c r="I1483" t="s">
        <v>3038</v>
      </c>
      <c r="J1483" t="s">
        <v>50</v>
      </c>
      <c r="K1483" t="s">
        <v>51</v>
      </c>
      <c r="L1483" t="s">
        <v>1608</v>
      </c>
      <c r="M1483" t="s">
        <v>29</v>
      </c>
      <c r="N1483" t="s">
        <v>34</v>
      </c>
      <c r="O1483" t="s">
        <v>1609</v>
      </c>
      <c r="P1483">
        <v>363.92</v>
      </c>
      <c r="Q1483">
        <v>5</v>
      </c>
      <c r="R1483">
        <v>-31.843</v>
      </c>
      <c r="S1483" t="s">
        <v>90</v>
      </c>
    </row>
    <row r="1484" spans="1:19" x14ac:dyDescent="0.35">
      <c r="A1484" t="s">
        <v>3638</v>
      </c>
      <c r="B1484" s="1">
        <v>42715</v>
      </c>
      <c r="C1484" s="1">
        <v>42715</v>
      </c>
      <c r="D1484" t="s">
        <v>417</v>
      </c>
      <c r="E1484" t="s">
        <v>1721</v>
      </c>
      <c r="F1484" t="s">
        <v>1722</v>
      </c>
      <c r="G1484" t="s">
        <v>23</v>
      </c>
      <c r="H1484" t="s">
        <v>24</v>
      </c>
      <c r="I1484" t="s">
        <v>3038</v>
      </c>
      <c r="J1484" t="s">
        <v>50</v>
      </c>
      <c r="K1484" t="s">
        <v>51</v>
      </c>
      <c r="L1484" t="s">
        <v>1125</v>
      </c>
      <c r="M1484" t="s">
        <v>29</v>
      </c>
      <c r="N1484" t="s">
        <v>43</v>
      </c>
      <c r="O1484" t="s">
        <v>1126</v>
      </c>
      <c r="P1484">
        <v>892.13599999999997</v>
      </c>
      <c r="Q1484">
        <v>7</v>
      </c>
      <c r="R1484">
        <v>111.517</v>
      </c>
      <c r="S1484" t="s">
        <v>90</v>
      </c>
    </row>
    <row r="1485" spans="1:19" x14ac:dyDescent="0.35">
      <c r="A1485" t="s">
        <v>3639</v>
      </c>
      <c r="B1485" s="1">
        <v>42615</v>
      </c>
      <c r="C1485" s="1">
        <v>42619</v>
      </c>
      <c r="D1485" t="s">
        <v>37</v>
      </c>
      <c r="E1485" t="s">
        <v>1600</v>
      </c>
      <c r="F1485" t="s">
        <v>1601</v>
      </c>
      <c r="G1485" t="s">
        <v>23</v>
      </c>
      <c r="H1485" t="s">
        <v>24</v>
      </c>
      <c r="I1485" t="s">
        <v>1518</v>
      </c>
      <c r="J1485" t="s">
        <v>1027</v>
      </c>
      <c r="K1485" t="s">
        <v>27</v>
      </c>
      <c r="L1485" t="s">
        <v>185</v>
      </c>
      <c r="M1485" t="s">
        <v>29</v>
      </c>
      <c r="N1485" t="s">
        <v>43</v>
      </c>
      <c r="O1485" t="s">
        <v>186</v>
      </c>
      <c r="P1485">
        <v>472.51799999999997</v>
      </c>
      <c r="Q1485">
        <v>3</v>
      </c>
      <c r="R1485">
        <v>-149.63069999999999</v>
      </c>
      <c r="S1485" t="s">
        <v>72</v>
      </c>
    </row>
    <row r="1486" spans="1:19" x14ac:dyDescent="0.35">
      <c r="A1486" t="s">
        <v>3640</v>
      </c>
      <c r="B1486" s="1">
        <v>42905</v>
      </c>
      <c r="C1486" s="1">
        <v>42907</v>
      </c>
      <c r="D1486" t="s">
        <v>20</v>
      </c>
      <c r="E1486" t="s">
        <v>1520</v>
      </c>
      <c r="F1486" t="s">
        <v>1521</v>
      </c>
      <c r="G1486" t="s">
        <v>84</v>
      </c>
      <c r="H1486" t="s">
        <v>24</v>
      </c>
      <c r="I1486" t="s">
        <v>222</v>
      </c>
      <c r="J1486" t="s">
        <v>223</v>
      </c>
      <c r="K1486" t="s">
        <v>63</v>
      </c>
      <c r="L1486" t="s">
        <v>412</v>
      </c>
      <c r="M1486" t="s">
        <v>29</v>
      </c>
      <c r="N1486" t="s">
        <v>34</v>
      </c>
      <c r="O1486" t="s">
        <v>413</v>
      </c>
      <c r="P1486">
        <v>760.11599999999999</v>
      </c>
      <c r="Q1486">
        <v>6</v>
      </c>
      <c r="R1486">
        <v>-43.435200000000002</v>
      </c>
      <c r="S1486" t="s">
        <v>55</v>
      </c>
    </row>
    <row r="1487" spans="1:19" x14ac:dyDescent="0.35">
      <c r="A1487" t="s">
        <v>3640</v>
      </c>
      <c r="B1487" s="1">
        <v>42905</v>
      </c>
      <c r="C1487" s="1">
        <v>42907</v>
      </c>
      <c r="D1487" t="s">
        <v>20</v>
      </c>
      <c r="E1487" t="s">
        <v>1520</v>
      </c>
      <c r="F1487" t="s">
        <v>1521</v>
      </c>
      <c r="G1487" t="s">
        <v>84</v>
      </c>
      <c r="H1487" t="s">
        <v>24</v>
      </c>
      <c r="I1487" t="s">
        <v>222</v>
      </c>
      <c r="J1487" t="s">
        <v>223</v>
      </c>
      <c r="K1487" t="s">
        <v>63</v>
      </c>
      <c r="L1487" t="s">
        <v>1953</v>
      </c>
      <c r="M1487" t="s">
        <v>29</v>
      </c>
      <c r="N1487" t="s">
        <v>53</v>
      </c>
      <c r="O1487" t="s">
        <v>1954</v>
      </c>
      <c r="P1487">
        <v>38.783999999999999</v>
      </c>
      <c r="Q1487">
        <v>3</v>
      </c>
      <c r="R1487">
        <v>7.2720000000000002</v>
      </c>
      <c r="S1487" t="s">
        <v>55</v>
      </c>
    </row>
    <row r="1488" spans="1:19" x14ac:dyDescent="0.35">
      <c r="A1488" t="s">
        <v>3641</v>
      </c>
      <c r="B1488" s="1">
        <v>42495</v>
      </c>
      <c r="C1488" s="1">
        <v>42496</v>
      </c>
      <c r="D1488" t="s">
        <v>81</v>
      </c>
      <c r="E1488" t="s">
        <v>929</v>
      </c>
      <c r="F1488" t="s">
        <v>930</v>
      </c>
      <c r="G1488" t="s">
        <v>84</v>
      </c>
      <c r="H1488" t="s">
        <v>24</v>
      </c>
      <c r="I1488" t="s">
        <v>25</v>
      </c>
      <c r="J1488" t="s">
        <v>1331</v>
      </c>
      <c r="K1488" t="s">
        <v>51</v>
      </c>
      <c r="L1488" t="s">
        <v>2810</v>
      </c>
      <c r="M1488" t="s">
        <v>29</v>
      </c>
      <c r="N1488" t="s">
        <v>43</v>
      </c>
      <c r="O1488" t="s">
        <v>2811</v>
      </c>
      <c r="P1488">
        <v>1685.88</v>
      </c>
      <c r="Q1488">
        <v>6</v>
      </c>
      <c r="R1488">
        <v>320.31720000000001</v>
      </c>
      <c r="S1488" t="s">
        <v>153</v>
      </c>
    </row>
    <row r="1489" spans="1:19" x14ac:dyDescent="0.35">
      <c r="A1489" t="s">
        <v>3642</v>
      </c>
      <c r="B1489" s="1">
        <v>43070</v>
      </c>
      <c r="C1489" s="1">
        <v>43077</v>
      </c>
      <c r="D1489" t="s">
        <v>37</v>
      </c>
      <c r="E1489" t="s">
        <v>38</v>
      </c>
      <c r="F1489" t="s">
        <v>39</v>
      </c>
      <c r="G1489" t="s">
        <v>23</v>
      </c>
      <c r="H1489" t="s">
        <v>24</v>
      </c>
      <c r="I1489" t="s">
        <v>183</v>
      </c>
      <c r="J1489" t="s">
        <v>184</v>
      </c>
      <c r="K1489" t="s">
        <v>51</v>
      </c>
      <c r="L1489" t="s">
        <v>2411</v>
      </c>
      <c r="M1489" t="s">
        <v>29</v>
      </c>
      <c r="N1489" t="s">
        <v>30</v>
      </c>
      <c r="O1489" t="s">
        <v>2412</v>
      </c>
      <c r="P1489">
        <v>141.96</v>
      </c>
      <c r="Q1489">
        <v>2</v>
      </c>
      <c r="R1489">
        <v>41.168399999999998</v>
      </c>
      <c r="S1489" t="s">
        <v>90</v>
      </c>
    </row>
    <row r="1490" spans="1:19" x14ac:dyDescent="0.35">
      <c r="A1490" t="s">
        <v>3643</v>
      </c>
      <c r="B1490" s="1">
        <v>42225</v>
      </c>
      <c r="C1490" s="1">
        <v>42232</v>
      </c>
      <c r="D1490" t="s">
        <v>37</v>
      </c>
      <c r="E1490" t="s">
        <v>2949</v>
      </c>
      <c r="F1490" t="s">
        <v>2950</v>
      </c>
      <c r="G1490" t="s">
        <v>84</v>
      </c>
      <c r="H1490" t="s">
        <v>24</v>
      </c>
      <c r="I1490" t="s">
        <v>165</v>
      </c>
      <c r="J1490" t="s">
        <v>114</v>
      </c>
      <c r="K1490" t="s">
        <v>63</v>
      </c>
      <c r="L1490" t="s">
        <v>2416</v>
      </c>
      <c r="M1490" t="s">
        <v>29</v>
      </c>
      <c r="N1490" t="s">
        <v>53</v>
      </c>
      <c r="O1490" t="s">
        <v>2417</v>
      </c>
      <c r="P1490">
        <v>10.02</v>
      </c>
      <c r="Q1490">
        <v>3</v>
      </c>
      <c r="R1490">
        <v>4.4088000000000003</v>
      </c>
      <c r="S1490" t="s">
        <v>245</v>
      </c>
    </row>
    <row r="1491" spans="1:19" x14ac:dyDescent="0.35">
      <c r="A1491" t="s">
        <v>3644</v>
      </c>
      <c r="B1491" s="1">
        <v>42688</v>
      </c>
      <c r="C1491" s="1">
        <v>42694</v>
      </c>
      <c r="D1491" t="s">
        <v>37</v>
      </c>
      <c r="E1491" t="s">
        <v>2158</v>
      </c>
      <c r="F1491" t="s">
        <v>2159</v>
      </c>
      <c r="G1491" t="s">
        <v>23</v>
      </c>
      <c r="H1491" t="s">
        <v>24</v>
      </c>
      <c r="I1491" t="s">
        <v>222</v>
      </c>
      <c r="J1491" t="s">
        <v>192</v>
      </c>
      <c r="K1491" t="s">
        <v>63</v>
      </c>
      <c r="L1491" t="s">
        <v>2228</v>
      </c>
      <c r="M1491" t="s">
        <v>29</v>
      </c>
      <c r="N1491" t="s">
        <v>53</v>
      </c>
      <c r="O1491" t="s">
        <v>2229</v>
      </c>
      <c r="P1491">
        <v>19.920000000000002</v>
      </c>
      <c r="Q1491">
        <v>4</v>
      </c>
      <c r="R1491">
        <v>6.5735999999999999</v>
      </c>
      <c r="S1491" t="s">
        <v>32</v>
      </c>
    </row>
    <row r="1492" spans="1:19" x14ac:dyDescent="0.35">
      <c r="A1492" t="s">
        <v>3645</v>
      </c>
      <c r="B1492" s="1">
        <v>43065</v>
      </c>
      <c r="C1492" s="1">
        <v>43070</v>
      </c>
      <c r="D1492" t="s">
        <v>37</v>
      </c>
      <c r="E1492" t="s">
        <v>3466</v>
      </c>
      <c r="F1492" t="s">
        <v>3467</v>
      </c>
      <c r="G1492" t="s">
        <v>94</v>
      </c>
      <c r="H1492" t="s">
        <v>24</v>
      </c>
      <c r="I1492" t="s">
        <v>626</v>
      </c>
      <c r="J1492" t="s">
        <v>104</v>
      </c>
      <c r="K1492" t="s">
        <v>87</v>
      </c>
      <c r="L1492" t="s">
        <v>1250</v>
      </c>
      <c r="M1492" t="s">
        <v>29</v>
      </c>
      <c r="N1492" t="s">
        <v>43</v>
      </c>
      <c r="O1492" t="s">
        <v>1054</v>
      </c>
      <c r="P1492">
        <v>257.94</v>
      </c>
      <c r="Q1492">
        <v>3</v>
      </c>
      <c r="R1492">
        <v>67.064400000000006</v>
      </c>
      <c r="S1492" t="s">
        <v>32</v>
      </c>
    </row>
    <row r="1493" spans="1:19" x14ac:dyDescent="0.35">
      <c r="A1493" t="s">
        <v>3645</v>
      </c>
      <c r="B1493" s="1">
        <v>43065</v>
      </c>
      <c r="C1493" s="1">
        <v>43070</v>
      </c>
      <c r="D1493" t="s">
        <v>37</v>
      </c>
      <c r="E1493" t="s">
        <v>3466</v>
      </c>
      <c r="F1493" t="s">
        <v>3467</v>
      </c>
      <c r="G1493" t="s">
        <v>94</v>
      </c>
      <c r="H1493" t="s">
        <v>24</v>
      </c>
      <c r="I1493" t="s">
        <v>626</v>
      </c>
      <c r="J1493" t="s">
        <v>104</v>
      </c>
      <c r="K1493" t="s">
        <v>87</v>
      </c>
      <c r="L1493" t="s">
        <v>1281</v>
      </c>
      <c r="M1493" t="s">
        <v>29</v>
      </c>
      <c r="N1493" t="s">
        <v>53</v>
      </c>
      <c r="O1493" t="s">
        <v>1282</v>
      </c>
      <c r="P1493">
        <v>27.46</v>
      </c>
      <c r="Q1493">
        <v>2</v>
      </c>
      <c r="R1493">
        <v>9.8856000000000002</v>
      </c>
      <c r="S1493" t="s">
        <v>32</v>
      </c>
    </row>
    <row r="1494" spans="1:19" x14ac:dyDescent="0.35">
      <c r="A1494" t="s">
        <v>3645</v>
      </c>
      <c r="B1494" s="1">
        <v>43065</v>
      </c>
      <c r="C1494" s="1">
        <v>43070</v>
      </c>
      <c r="D1494" t="s">
        <v>37</v>
      </c>
      <c r="E1494" t="s">
        <v>3466</v>
      </c>
      <c r="F1494" t="s">
        <v>3467</v>
      </c>
      <c r="G1494" t="s">
        <v>94</v>
      </c>
      <c r="H1494" t="s">
        <v>24</v>
      </c>
      <c r="I1494" t="s">
        <v>626</v>
      </c>
      <c r="J1494" t="s">
        <v>104</v>
      </c>
      <c r="K1494" t="s">
        <v>87</v>
      </c>
      <c r="L1494" t="s">
        <v>238</v>
      </c>
      <c r="M1494" t="s">
        <v>29</v>
      </c>
      <c r="N1494" t="s">
        <v>34</v>
      </c>
      <c r="O1494" t="s">
        <v>239</v>
      </c>
      <c r="P1494">
        <v>828.6</v>
      </c>
      <c r="Q1494">
        <v>3</v>
      </c>
      <c r="R1494">
        <v>240.29400000000001</v>
      </c>
      <c r="S1494" t="s">
        <v>32</v>
      </c>
    </row>
    <row r="1495" spans="1:19" x14ac:dyDescent="0.35">
      <c r="A1495" t="s">
        <v>3646</v>
      </c>
      <c r="B1495" s="1">
        <v>42328</v>
      </c>
      <c r="C1495" s="1">
        <v>42335</v>
      </c>
      <c r="D1495" t="s">
        <v>37</v>
      </c>
      <c r="E1495" t="s">
        <v>3239</v>
      </c>
      <c r="F1495" t="s">
        <v>3240</v>
      </c>
      <c r="G1495" t="s">
        <v>23</v>
      </c>
      <c r="H1495" t="s">
        <v>24</v>
      </c>
      <c r="I1495" t="s">
        <v>997</v>
      </c>
      <c r="J1495" t="s">
        <v>41</v>
      </c>
      <c r="K1495" t="s">
        <v>27</v>
      </c>
      <c r="L1495" t="s">
        <v>533</v>
      </c>
      <c r="M1495" t="s">
        <v>29</v>
      </c>
      <c r="N1495" t="s">
        <v>30</v>
      </c>
      <c r="O1495" t="s">
        <v>534</v>
      </c>
      <c r="P1495">
        <v>290.35199999999998</v>
      </c>
      <c r="Q1495">
        <v>3</v>
      </c>
      <c r="R1495">
        <v>-36.293999999999997</v>
      </c>
      <c r="S1495" t="s">
        <v>32</v>
      </c>
    </row>
    <row r="1496" spans="1:19" x14ac:dyDescent="0.35">
      <c r="A1496" t="s">
        <v>3647</v>
      </c>
      <c r="B1496" s="1">
        <v>42985</v>
      </c>
      <c r="C1496" s="1">
        <v>42985</v>
      </c>
      <c r="D1496" t="s">
        <v>417</v>
      </c>
      <c r="E1496" t="s">
        <v>3227</v>
      </c>
      <c r="F1496" t="s">
        <v>3228</v>
      </c>
      <c r="G1496" t="s">
        <v>23</v>
      </c>
      <c r="H1496" t="s">
        <v>24</v>
      </c>
      <c r="I1496" t="s">
        <v>3648</v>
      </c>
      <c r="J1496" t="s">
        <v>556</v>
      </c>
      <c r="K1496" t="s">
        <v>87</v>
      </c>
      <c r="L1496" t="s">
        <v>1700</v>
      </c>
      <c r="M1496" t="s">
        <v>29</v>
      </c>
      <c r="N1496" t="s">
        <v>53</v>
      </c>
      <c r="O1496" t="s">
        <v>1701</v>
      </c>
      <c r="P1496">
        <v>135.30000000000001</v>
      </c>
      <c r="Q1496">
        <v>5</v>
      </c>
      <c r="R1496">
        <v>37.884</v>
      </c>
      <c r="S1496" t="s">
        <v>72</v>
      </c>
    </row>
    <row r="1497" spans="1:19" x14ac:dyDescent="0.35">
      <c r="A1497" t="s">
        <v>3649</v>
      </c>
      <c r="B1497" s="1">
        <v>41967</v>
      </c>
      <c r="C1497" s="1">
        <v>41972</v>
      </c>
      <c r="D1497" t="s">
        <v>37</v>
      </c>
      <c r="E1497" t="s">
        <v>877</v>
      </c>
      <c r="F1497" t="s">
        <v>878</v>
      </c>
      <c r="G1497" t="s">
        <v>94</v>
      </c>
      <c r="H1497" t="s">
        <v>24</v>
      </c>
      <c r="I1497" t="s">
        <v>3530</v>
      </c>
      <c r="J1497" t="s">
        <v>707</v>
      </c>
      <c r="K1497" t="s">
        <v>27</v>
      </c>
      <c r="L1497" t="s">
        <v>1974</v>
      </c>
      <c r="M1497" t="s">
        <v>29</v>
      </c>
      <c r="N1497" t="s">
        <v>53</v>
      </c>
      <c r="O1497" t="s">
        <v>1975</v>
      </c>
      <c r="P1497">
        <v>111.15</v>
      </c>
      <c r="Q1497">
        <v>5</v>
      </c>
      <c r="R1497">
        <v>48.905999999999999</v>
      </c>
      <c r="S1497" t="s">
        <v>32</v>
      </c>
    </row>
    <row r="1498" spans="1:19" x14ac:dyDescent="0.35">
      <c r="A1498" t="s">
        <v>3650</v>
      </c>
      <c r="B1498" s="1">
        <v>42805</v>
      </c>
      <c r="C1498" s="1">
        <v>42810</v>
      </c>
      <c r="D1498" t="s">
        <v>37</v>
      </c>
      <c r="E1498" t="s">
        <v>3141</v>
      </c>
      <c r="F1498" t="s">
        <v>3142</v>
      </c>
      <c r="G1498" t="s">
        <v>94</v>
      </c>
      <c r="H1498" t="s">
        <v>24</v>
      </c>
      <c r="I1498" t="s">
        <v>61</v>
      </c>
      <c r="J1498" t="s">
        <v>62</v>
      </c>
      <c r="K1498" t="s">
        <v>63</v>
      </c>
      <c r="L1498" t="s">
        <v>1053</v>
      </c>
      <c r="M1498" t="s">
        <v>29</v>
      </c>
      <c r="N1498" t="s">
        <v>43</v>
      </c>
      <c r="O1498" t="s">
        <v>1054</v>
      </c>
      <c r="P1498">
        <v>154.76400000000001</v>
      </c>
      <c r="Q1498">
        <v>3</v>
      </c>
      <c r="R1498">
        <v>-46.429200000000002</v>
      </c>
      <c r="S1498" t="s">
        <v>187</v>
      </c>
    </row>
    <row r="1499" spans="1:19" x14ac:dyDescent="0.35">
      <c r="A1499" t="s">
        <v>3651</v>
      </c>
      <c r="B1499" s="1">
        <v>43091</v>
      </c>
      <c r="C1499" s="1">
        <v>43095</v>
      </c>
      <c r="D1499" t="s">
        <v>37</v>
      </c>
      <c r="E1499" t="s">
        <v>3076</v>
      </c>
      <c r="F1499" t="s">
        <v>3077</v>
      </c>
      <c r="G1499" t="s">
        <v>94</v>
      </c>
      <c r="H1499" t="s">
        <v>24</v>
      </c>
      <c r="I1499" t="s">
        <v>3652</v>
      </c>
      <c r="J1499" t="s">
        <v>1267</v>
      </c>
      <c r="K1499" t="s">
        <v>27</v>
      </c>
      <c r="L1499" t="s">
        <v>581</v>
      </c>
      <c r="M1499" t="s">
        <v>29</v>
      </c>
      <c r="N1499" t="s">
        <v>34</v>
      </c>
      <c r="O1499" t="s">
        <v>582</v>
      </c>
      <c r="P1499">
        <v>141.96</v>
      </c>
      <c r="Q1499">
        <v>2</v>
      </c>
      <c r="R1499">
        <v>35.49</v>
      </c>
      <c r="S1499" t="s">
        <v>90</v>
      </c>
    </row>
    <row r="1500" spans="1:19" x14ac:dyDescent="0.35">
      <c r="A1500" t="s">
        <v>3653</v>
      </c>
      <c r="B1500" s="1">
        <v>43091</v>
      </c>
      <c r="C1500" s="1">
        <v>43094</v>
      </c>
      <c r="D1500" t="s">
        <v>20</v>
      </c>
      <c r="E1500" t="s">
        <v>3654</v>
      </c>
      <c r="F1500" t="s">
        <v>3655</v>
      </c>
      <c r="G1500" t="s">
        <v>23</v>
      </c>
      <c r="H1500" t="s">
        <v>24</v>
      </c>
      <c r="I1500" t="s">
        <v>905</v>
      </c>
      <c r="J1500" t="s">
        <v>511</v>
      </c>
      <c r="K1500" t="s">
        <v>51</v>
      </c>
      <c r="L1500" t="s">
        <v>1225</v>
      </c>
      <c r="M1500" t="s">
        <v>29</v>
      </c>
      <c r="N1500" t="s">
        <v>43</v>
      </c>
      <c r="O1500" t="s">
        <v>1226</v>
      </c>
      <c r="P1500">
        <v>182.55</v>
      </c>
      <c r="Q1500">
        <v>2</v>
      </c>
      <c r="R1500">
        <v>-135.08699999999999</v>
      </c>
      <c r="S1500" t="s">
        <v>90</v>
      </c>
    </row>
    <row r="1501" spans="1:19" x14ac:dyDescent="0.35">
      <c r="A1501" t="s">
        <v>3656</v>
      </c>
      <c r="B1501" s="1">
        <v>42363</v>
      </c>
      <c r="C1501" s="1">
        <v>42365</v>
      </c>
      <c r="D1501" t="s">
        <v>20</v>
      </c>
      <c r="E1501" t="s">
        <v>2701</v>
      </c>
      <c r="F1501" t="s">
        <v>2702</v>
      </c>
      <c r="G1501" t="s">
        <v>23</v>
      </c>
      <c r="H1501" t="s">
        <v>24</v>
      </c>
      <c r="I1501" t="s">
        <v>339</v>
      </c>
      <c r="J1501" t="s">
        <v>658</v>
      </c>
      <c r="K1501" t="s">
        <v>27</v>
      </c>
      <c r="L1501" t="s">
        <v>3279</v>
      </c>
      <c r="M1501" t="s">
        <v>29</v>
      </c>
      <c r="N1501" t="s">
        <v>53</v>
      </c>
      <c r="O1501" t="s">
        <v>3280</v>
      </c>
      <c r="P1501">
        <v>275.88</v>
      </c>
      <c r="Q1501">
        <v>6</v>
      </c>
      <c r="R1501">
        <v>46.8996</v>
      </c>
      <c r="S1501" t="s">
        <v>90</v>
      </c>
    </row>
    <row r="1502" spans="1:19" x14ac:dyDescent="0.35">
      <c r="A1502" t="s">
        <v>3657</v>
      </c>
      <c r="B1502" s="1">
        <v>41842</v>
      </c>
      <c r="C1502" s="1">
        <v>41844</v>
      </c>
      <c r="D1502" t="s">
        <v>20</v>
      </c>
      <c r="E1502" t="s">
        <v>704</v>
      </c>
      <c r="F1502" t="s">
        <v>705</v>
      </c>
      <c r="G1502" t="s">
        <v>23</v>
      </c>
      <c r="H1502" t="s">
        <v>24</v>
      </c>
      <c r="I1502" t="s">
        <v>320</v>
      </c>
      <c r="J1502" t="s">
        <v>50</v>
      </c>
      <c r="K1502" t="s">
        <v>51</v>
      </c>
      <c r="L1502" t="s">
        <v>1576</v>
      </c>
      <c r="M1502" t="s">
        <v>29</v>
      </c>
      <c r="N1502" t="s">
        <v>34</v>
      </c>
      <c r="O1502" t="s">
        <v>1577</v>
      </c>
      <c r="P1502">
        <v>717.72</v>
      </c>
      <c r="Q1502">
        <v>3</v>
      </c>
      <c r="R1502">
        <v>71.772000000000006</v>
      </c>
      <c r="S1502" t="s">
        <v>66</v>
      </c>
    </row>
    <row r="1503" spans="1:19" x14ac:dyDescent="0.35">
      <c r="A1503" t="s">
        <v>3657</v>
      </c>
      <c r="B1503" s="1">
        <v>41842</v>
      </c>
      <c r="C1503" s="1">
        <v>41844</v>
      </c>
      <c r="D1503" t="s">
        <v>20</v>
      </c>
      <c r="E1503" t="s">
        <v>704</v>
      </c>
      <c r="F1503" t="s">
        <v>705</v>
      </c>
      <c r="G1503" t="s">
        <v>23</v>
      </c>
      <c r="H1503" t="s">
        <v>24</v>
      </c>
      <c r="I1503" t="s">
        <v>320</v>
      </c>
      <c r="J1503" t="s">
        <v>50</v>
      </c>
      <c r="K1503" t="s">
        <v>51</v>
      </c>
      <c r="L1503" t="s">
        <v>1558</v>
      </c>
      <c r="M1503" t="s">
        <v>29</v>
      </c>
      <c r="N1503" t="s">
        <v>43</v>
      </c>
      <c r="O1503" t="s">
        <v>1559</v>
      </c>
      <c r="P1503">
        <v>170.352</v>
      </c>
      <c r="Q1503">
        <v>3</v>
      </c>
      <c r="R1503">
        <v>19.1646</v>
      </c>
      <c r="S1503" t="s">
        <v>66</v>
      </c>
    </row>
    <row r="1504" spans="1:19" x14ac:dyDescent="0.35">
      <c r="A1504" t="s">
        <v>3658</v>
      </c>
      <c r="B1504" s="1">
        <v>43016</v>
      </c>
      <c r="C1504" s="1">
        <v>43022</v>
      </c>
      <c r="D1504" t="s">
        <v>37</v>
      </c>
      <c r="E1504" t="s">
        <v>824</v>
      </c>
      <c r="F1504" t="s">
        <v>825</v>
      </c>
      <c r="G1504" t="s">
        <v>23</v>
      </c>
      <c r="H1504" t="s">
        <v>24</v>
      </c>
      <c r="I1504" t="s">
        <v>165</v>
      </c>
      <c r="J1504" t="s">
        <v>114</v>
      </c>
      <c r="K1504" t="s">
        <v>63</v>
      </c>
      <c r="L1504" t="s">
        <v>486</v>
      </c>
      <c r="M1504" t="s">
        <v>29</v>
      </c>
      <c r="N1504" t="s">
        <v>34</v>
      </c>
      <c r="O1504" t="s">
        <v>487</v>
      </c>
      <c r="P1504">
        <v>145.76400000000001</v>
      </c>
      <c r="Q1504">
        <v>2</v>
      </c>
      <c r="R1504">
        <v>3.2391999999999999</v>
      </c>
      <c r="S1504" t="s">
        <v>45</v>
      </c>
    </row>
    <row r="1505" spans="1:19" x14ac:dyDescent="0.35">
      <c r="A1505" t="s">
        <v>3659</v>
      </c>
      <c r="B1505" s="1">
        <v>42846</v>
      </c>
      <c r="C1505" s="1">
        <v>42848</v>
      </c>
      <c r="D1505" t="s">
        <v>81</v>
      </c>
      <c r="E1505" t="s">
        <v>2645</v>
      </c>
      <c r="F1505" t="s">
        <v>2646</v>
      </c>
      <c r="G1505" t="s">
        <v>23</v>
      </c>
      <c r="H1505" t="s">
        <v>24</v>
      </c>
      <c r="I1505" t="s">
        <v>2745</v>
      </c>
      <c r="J1505" t="s">
        <v>1080</v>
      </c>
      <c r="K1505" t="s">
        <v>63</v>
      </c>
      <c r="L1505" t="s">
        <v>98</v>
      </c>
      <c r="M1505" t="s">
        <v>29</v>
      </c>
      <c r="N1505" t="s">
        <v>34</v>
      </c>
      <c r="O1505" t="s">
        <v>99</v>
      </c>
      <c r="P1505">
        <v>908.82</v>
      </c>
      <c r="Q1505">
        <v>9</v>
      </c>
      <c r="R1505">
        <v>227.20500000000001</v>
      </c>
      <c r="S1505" t="s">
        <v>107</v>
      </c>
    </row>
    <row r="1506" spans="1:19" x14ac:dyDescent="0.35">
      <c r="A1506" t="s">
        <v>3660</v>
      </c>
      <c r="B1506" s="1">
        <v>42964</v>
      </c>
      <c r="C1506" s="1">
        <v>42971</v>
      </c>
      <c r="D1506" t="s">
        <v>37</v>
      </c>
      <c r="E1506" t="s">
        <v>2642</v>
      </c>
      <c r="F1506" t="s">
        <v>2643</v>
      </c>
      <c r="G1506" t="s">
        <v>94</v>
      </c>
      <c r="H1506" t="s">
        <v>24</v>
      </c>
      <c r="I1506" t="s">
        <v>95</v>
      </c>
      <c r="J1506" t="s">
        <v>86</v>
      </c>
      <c r="K1506" t="s">
        <v>87</v>
      </c>
      <c r="L1506" t="s">
        <v>1999</v>
      </c>
      <c r="M1506" t="s">
        <v>29</v>
      </c>
      <c r="N1506" t="s">
        <v>34</v>
      </c>
      <c r="O1506" t="s">
        <v>2000</v>
      </c>
      <c r="P1506">
        <v>74.591999999999999</v>
      </c>
      <c r="Q1506">
        <v>4</v>
      </c>
      <c r="R1506">
        <v>-2.1312000000000002</v>
      </c>
      <c r="S1506" t="s">
        <v>245</v>
      </c>
    </row>
    <row r="1507" spans="1:19" x14ac:dyDescent="0.35">
      <c r="A1507" t="s">
        <v>3660</v>
      </c>
      <c r="B1507" s="1">
        <v>42964</v>
      </c>
      <c r="C1507" s="1">
        <v>42971</v>
      </c>
      <c r="D1507" t="s">
        <v>37</v>
      </c>
      <c r="E1507" t="s">
        <v>2642</v>
      </c>
      <c r="F1507" t="s">
        <v>2643</v>
      </c>
      <c r="G1507" t="s">
        <v>94</v>
      </c>
      <c r="H1507" t="s">
        <v>24</v>
      </c>
      <c r="I1507" t="s">
        <v>95</v>
      </c>
      <c r="J1507" t="s">
        <v>86</v>
      </c>
      <c r="K1507" t="s">
        <v>87</v>
      </c>
      <c r="L1507" t="s">
        <v>2272</v>
      </c>
      <c r="M1507" t="s">
        <v>29</v>
      </c>
      <c r="N1507" t="s">
        <v>53</v>
      </c>
      <c r="O1507" t="s">
        <v>2273</v>
      </c>
      <c r="P1507">
        <v>16.783999999999999</v>
      </c>
      <c r="Q1507">
        <v>2</v>
      </c>
      <c r="R1507">
        <v>-22.238800000000001</v>
      </c>
      <c r="S1507" t="s">
        <v>245</v>
      </c>
    </row>
    <row r="1508" spans="1:19" x14ac:dyDescent="0.35">
      <c r="A1508" t="s">
        <v>3661</v>
      </c>
      <c r="B1508" s="1">
        <v>42686</v>
      </c>
      <c r="C1508" s="1">
        <v>42689</v>
      </c>
      <c r="D1508" t="s">
        <v>81</v>
      </c>
      <c r="E1508" t="s">
        <v>314</v>
      </c>
      <c r="F1508" t="s">
        <v>315</v>
      </c>
      <c r="G1508" t="s">
        <v>94</v>
      </c>
      <c r="H1508" t="s">
        <v>24</v>
      </c>
      <c r="I1508" t="s">
        <v>630</v>
      </c>
      <c r="J1508" t="s">
        <v>50</v>
      </c>
      <c r="K1508" t="s">
        <v>51</v>
      </c>
      <c r="L1508" t="s">
        <v>2810</v>
      </c>
      <c r="M1508" t="s">
        <v>29</v>
      </c>
      <c r="N1508" t="s">
        <v>43</v>
      </c>
      <c r="O1508" t="s">
        <v>2811</v>
      </c>
      <c r="P1508">
        <v>674.35199999999998</v>
      </c>
      <c r="Q1508">
        <v>3</v>
      </c>
      <c r="R1508">
        <v>-8.4293999999999993</v>
      </c>
      <c r="S1508" t="s">
        <v>32</v>
      </c>
    </row>
    <row r="1509" spans="1:19" x14ac:dyDescent="0.35">
      <c r="A1509" t="s">
        <v>3662</v>
      </c>
      <c r="B1509" s="1">
        <v>42687</v>
      </c>
      <c r="C1509" s="1">
        <v>42691</v>
      </c>
      <c r="D1509" t="s">
        <v>37</v>
      </c>
      <c r="E1509" t="s">
        <v>3292</v>
      </c>
      <c r="F1509" t="s">
        <v>3293</v>
      </c>
      <c r="G1509" t="s">
        <v>94</v>
      </c>
      <c r="H1509" t="s">
        <v>24</v>
      </c>
      <c r="I1509" t="s">
        <v>183</v>
      </c>
      <c r="J1509" t="s">
        <v>184</v>
      </c>
      <c r="K1509" t="s">
        <v>51</v>
      </c>
      <c r="L1509" t="s">
        <v>78</v>
      </c>
      <c r="M1509" t="s">
        <v>29</v>
      </c>
      <c r="N1509" t="s">
        <v>53</v>
      </c>
      <c r="O1509" t="s">
        <v>1852</v>
      </c>
      <c r="P1509">
        <v>19.54</v>
      </c>
      <c r="Q1509">
        <v>2</v>
      </c>
      <c r="R1509">
        <v>7.2298</v>
      </c>
      <c r="S1509" t="s">
        <v>32</v>
      </c>
    </row>
    <row r="1510" spans="1:19" x14ac:dyDescent="0.35">
      <c r="A1510" t="s">
        <v>3663</v>
      </c>
      <c r="B1510" s="1">
        <v>42701</v>
      </c>
      <c r="C1510" s="1">
        <v>42707</v>
      </c>
      <c r="D1510" t="s">
        <v>37</v>
      </c>
      <c r="E1510" t="s">
        <v>2026</v>
      </c>
      <c r="F1510" t="s">
        <v>2027</v>
      </c>
      <c r="G1510" t="s">
        <v>23</v>
      </c>
      <c r="H1510" t="s">
        <v>24</v>
      </c>
      <c r="I1510" t="s">
        <v>40</v>
      </c>
      <c r="J1510" t="s">
        <v>41</v>
      </c>
      <c r="K1510" t="s">
        <v>27</v>
      </c>
      <c r="L1510" t="s">
        <v>1250</v>
      </c>
      <c r="M1510" t="s">
        <v>29</v>
      </c>
      <c r="N1510" t="s">
        <v>43</v>
      </c>
      <c r="O1510" t="s">
        <v>1054</v>
      </c>
      <c r="P1510">
        <v>331.02300000000002</v>
      </c>
      <c r="Q1510">
        <v>7</v>
      </c>
      <c r="R1510">
        <v>-114.35339999999999</v>
      </c>
      <c r="S1510" t="s">
        <v>32</v>
      </c>
    </row>
    <row r="1511" spans="1:19" x14ac:dyDescent="0.35">
      <c r="A1511" t="s">
        <v>3664</v>
      </c>
      <c r="B1511" s="1">
        <v>42671</v>
      </c>
      <c r="C1511" s="1">
        <v>42671</v>
      </c>
      <c r="D1511" t="s">
        <v>417</v>
      </c>
      <c r="E1511" t="s">
        <v>3665</v>
      </c>
      <c r="F1511" t="s">
        <v>3666</v>
      </c>
      <c r="G1511" t="s">
        <v>84</v>
      </c>
      <c r="H1511" t="s">
        <v>24</v>
      </c>
      <c r="I1511" t="s">
        <v>885</v>
      </c>
      <c r="J1511" t="s">
        <v>114</v>
      </c>
      <c r="K1511" t="s">
        <v>63</v>
      </c>
      <c r="L1511" t="s">
        <v>3667</v>
      </c>
      <c r="M1511" t="s">
        <v>29</v>
      </c>
      <c r="N1511" t="s">
        <v>53</v>
      </c>
      <c r="O1511" t="s">
        <v>3668</v>
      </c>
      <c r="P1511">
        <v>756.8</v>
      </c>
      <c r="Q1511">
        <v>5</v>
      </c>
      <c r="R1511">
        <v>75.680000000000007</v>
      </c>
      <c r="S1511" t="s">
        <v>45</v>
      </c>
    </row>
    <row r="1512" spans="1:19" x14ac:dyDescent="0.35">
      <c r="A1512" t="s">
        <v>3669</v>
      </c>
      <c r="B1512" s="1">
        <v>42002</v>
      </c>
      <c r="C1512" s="1">
        <v>42006</v>
      </c>
      <c r="D1512" t="s">
        <v>37</v>
      </c>
      <c r="E1512" t="s">
        <v>2886</v>
      </c>
      <c r="F1512" t="s">
        <v>2887</v>
      </c>
      <c r="G1512" t="s">
        <v>94</v>
      </c>
      <c r="H1512" t="s">
        <v>24</v>
      </c>
      <c r="I1512" t="s">
        <v>3648</v>
      </c>
      <c r="J1512" t="s">
        <v>126</v>
      </c>
      <c r="K1512" t="s">
        <v>87</v>
      </c>
      <c r="L1512" t="s">
        <v>2868</v>
      </c>
      <c r="M1512" t="s">
        <v>29</v>
      </c>
      <c r="N1512" t="s">
        <v>53</v>
      </c>
      <c r="O1512" t="s">
        <v>2869</v>
      </c>
      <c r="P1512">
        <v>8.7360000000000007</v>
      </c>
      <c r="Q1512">
        <v>3</v>
      </c>
      <c r="R1512">
        <v>-4.8048000000000002</v>
      </c>
      <c r="S1512" t="s">
        <v>90</v>
      </c>
    </row>
    <row r="1513" spans="1:19" x14ac:dyDescent="0.35">
      <c r="A1513" t="s">
        <v>3670</v>
      </c>
      <c r="B1513" s="1">
        <v>43010</v>
      </c>
      <c r="C1513" s="1">
        <v>43014</v>
      </c>
      <c r="D1513" t="s">
        <v>37</v>
      </c>
      <c r="E1513" t="s">
        <v>1193</v>
      </c>
      <c r="F1513" t="s">
        <v>1194</v>
      </c>
      <c r="G1513" t="s">
        <v>23</v>
      </c>
      <c r="H1513" t="s">
        <v>24</v>
      </c>
      <c r="I1513" t="s">
        <v>320</v>
      </c>
      <c r="J1513" t="s">
        <v>50</v>
      </c>
      <c r="K1513" t="s">
        <v>51</v>
      </c>
      <c r="L1513" t="s">
        <v>886</v>
      </c>
      <c r="M1513" t="s">
        <v>29</v>
      </c>
      <c r="N1513" t="s">
        <v>53</v>
      </c>
      <c r="O1513" t="s">
        <v>887</v>
      </c>
      <c r="P1513">
        <v>17.46</v>
      </c>
      <c r="Q1513">
        <v>2</v>
      </c>
      <c r="R1513">
        <v>5.9363999999999999</v>
      </c>
      <c r="S1513" t="s">
        <v>45</v>
      </c>
    </row>
    <row r="1514" spans="1:19" x14ac:dyDescent="0.35">
      <c r="A1514" t="s">
        <v>3671</v>
      </c>
      <c r="B1514" s="1">
        <v>42565</v>
      </c>
      <c r="C1514" s="1">
        <v>42569</v>
      </c>
      <c r="D1514" t="s">
        <v>37</v>
      </c>
      <c r="E1514" t="s">
        <v>2636</v>
      </c>
      <c r="F1514" t="s">
        <v>2637</v>
      </c>
      <c r="G1514" t="s">
        <v>23</v>
      </c>
      <c r="H1514" t="s">
        <v>24</v>
      </c>
      <c r="I1514" t="s">
        <v>320</v>
      </c>
      <c r="J1514" t="s">
        <v>50</v>
      </c>
      <c r="K1514" t="s">
        <v>51</v>
      </c>
      <c r="L1514" t="s">
        <v>544</v>
      </c>
      <c r="M1514" t="s">
        <v>29</v>
      </c>
      <c r="N1514" t="s">
        <v>53</v>
      </c>
      <c r="O1514" t="s">
        <v>545</v>
      </c>
      <c r="P1514">
        <v>30.8</v>
      </c>
      <c r="Q1514">
        <v>4</v>
      </c>
      <c r="R1514">
        <v>10.164</v>
      </c>
      <c r="S1514" t="s">
        <v>66</v>
      </c>
    </row>
    <row r="1515" spans="1:19" x14ac:dyDescent="0.35">
      <c r="A1515" t="s">
        <v>3672</v>
      </c>
      <c r="B1515" s="1">
        <v>42437</v>
      </c>
      <c r="C1515" s="1">
        <v>42441</v>
      </c>
      <c r="D1515" t="s">
        <v>37</v>
      </c>
      <c r="E1515" t="s">
        <v>2214</v>
      </c>
      <c r="F1515" t="s">
        <v>2215</v>
      </c>
      <c r="G1515" t="s">
        <v>23</v>
      </c>
      <c r="H1515" t="s">
        <v>24</v>
      </c>
      <c r="I1515" t="s">
        <v>165</v>
      </c>
      <c r="J1515" t="s">
        <v>114</v>
      </c>
      <c r="K1515" t="s">
        <v>63</v>
      </c>
      <c r="L1515" t="s">
        <v>476</v>
      </c>
      <c r="M1515" t="s">
        <v>29</v>
      </c>
      <c r="N1515" t="s">
        <v>53</v>
      </c>
      <c r="O1515" t="s">
        <v>477</v>
      </c>
      <c r="P1515">
        <v>113.6</v>
      </c>
      <c r="Q1515">
        <v>8</v>
      </c>
      <c r="R1515">
        <v>44.304000000000002</v>
      </c>
      <c r="S1515" t="s">
        <v>187</v>
      </c>
    </row>
    <row r="1516" spans="1:19" x14ac:dyDescent="0.35">
      <c r="A1516" t="s">
        <v>3673</v>
      </c>
      <c r="B1516" s="1">
        <v>42728</v>
      </c>
      <c r="C1516" s="1">
        <v>42734</v>
      </c>
      <c r="D1516" t="s">
        <v>37</v>
      </c>
      <c r="E1516" t="s">
        <v>3674</v>
      </c>
      <c r="F1516" t="s">
        <v>3675</v>
      </c>
      <c r="G1516" t="s">
        <v>23</v>
      </c>
      <c r="H1516" t="s">
        <v>24</v>
      </c>
      <c r="I1516" t="s">
        <v>1482</v>
      </c>
      <c r="J1516" t="s">
        <v>50</v>
      </c>
      <c r="K1516" t="s">
        <v>51</v>
      </c>
      <c r="L1516" t="s">
        <v>2149</v>
      </c>
      <c r="M1516" t="s">
        <v>29</v>
      </c>
      <c r="N1516" t="s">
        <v>53</v>
      </c>
      <c r="O1516" t="s">
        <v>2150</v>
      </c>
      <c r="P1516">
        <v>43.96</v>
      </c>
      <c r="Q1516">
        <v>7</v>
      </c>
      <c r="R1516">
        <v>18.463200000000001</v>
      </c>
      <c r="S1516" t="s">
        <v>90</v>
      </c>
    </row>
    <row r="1517" spans="1:19" x14ac:dyDescent="0.35">
      <c r="A1517" t="s">
        <v>3676</v>
      </c>
      <c r="B1517" s="1">
        <v>42848</v>
      </c>
      <c r="C1517" s="1">
        <v>42850</v>
      </c>
      <c r="D1517" t="s">
        <v>20</v>
      </c>
      <c r="E1517" t="s">
        <v>2600</v>
      </c>
      <c r="F1517" t="s">
        <v>2601</v>
      </c>
      <c r="G1517" t="s">
        <v>23</v>
      </c>
      <c r="H1517" t="s">
        <v>24</v>
      </c>
      <c r="I1517" t="s">
        <v>1176</v>
      </c>
      <c r="J1517" t="s">
        <v>50</v>
      </c>
      <c r="K1517" t="s">
        <v>51</v>
      </c>
      <c r="L1517" t="s">
        <v>2195</v>
      </c>
      <c r="M1517" t="s">
        <v>29</v>
      </c>
      <c r="N1517" t="s">
        <v>53</v>
      </c>
      <c r="O1517" t="s">
        <v>2196</v>
      </c>
      <c r="P1517">
        <v>66.36</v>
      </c>
      <c r="Q1517">
        <v>7</v>
      </c>
      <c r="R1517">
        <v>26.544</v>
      </c>
      <c r="S1517" t="s">
        <v>107</v>
      </c>
    </row>
    <row r="1518" spans="1:19" x14ac:dyDescent="0.35">
      <c r="A1518" t="s">
        <v>3676</v>
      </c>
      <c r="B1518" s="1">
        <v>42848</v>
      </c>
      <c r="C1518" s="1">
        <v>42850</v>
      </c>
      <c r="D1518" t="s">
        <v>20</v>
      </c>
      <c r="E1518" t="s">
        <v>2600</v>
      </c>
      <c r="F1518" t="s">
        <v>2601</v>
      </c>
      <c r="G1518" t="s">
        <v>23</v>
      </c>
      <c r="H1518" t="s">
        <v>24</v>
      </c>
      <c r="I1518" t="s">
        <v>1176</v>
      </c>
      <c r="J1518" t="s">
        <v>50</v>
      </c>
      <c r="K1518" t="s">
        <v>51</v>
      </c>
      <c r="L1518" t="s">
        <v>542</v>
      </c>
      <c r="M1518" t="s">
        <v>29</v>
      </c>
      <c r="N1518" t="s">
        <v>53</v>
      </c>
      <c r="O1518" t="s">
        <v>3116</v>
      </c>
      <c r="P1518">
        <v>24.14</v>
      </c>
      <c r="Q1518">
        <v>2</v>
      </c>
      <c r="R1518">
        <v>7.9661999999999997</v>
      </c>
      <c r="S1518" t="s">
        <v>107</v>
      </c>
    </row>
    <row r="1519" spans="1:19" x14ac:dyDescent="0.35">
      <c r="A1519" t="s">
        <v>3677</v>
      </c>
      <c r="B1519" s="1">
        <v>42964</v>
      </c>
      <c r="C1519" s="1">
        <v>42969</v>
      </c>
      <c r="D1519" t="s">
        <v>20</v>
      </c>
      <c r="E1519" t="s">
        <v>2289</v>
      </c>
      <c r="F1519" t="s">
        <v>2290</v>
      </c>
      <c r="G1519" t="s">
        <v>23</v>
      </c>
      <c r="H1519" t="s">
        <v>24</v>
      </c>
      <c r="I1519" t="s">
        <v>61</v>
      </c>
      <c r="J1519" t="s">
        <v>62</v>
      </c>
      <c r="K1519" t="s">
        <v>63</v>
      </c>
      <c r="L1519" t="s">
        <v>592</v>
      </c>
      <c r="M1519" t="s">
        <v>29</v>
      </c>
      <c r="N1519" t="s">
        <v>34</v>
      </c>
      <c r="O1519" t="s">
        <v>593</v>
      </c>
      <c r="P1519">
        <v>4416.174</v>
      </c>
      <c r="Q1519">
        <v>9</v>
      </c>
      <c r="R1519">
        <v>-630.88199999999995</v>
      </c>
      <c r="S1519" t="s">
        <v>245</v>
      </c>
    </row>
    <row r="1520" spans="1:19" x14ac:dyDescent="0.35">
      <c r="A1520" t="s">
        <v>3678</v>
      </c>
      <c r="B1520" s="1">
        <v>41701</v>
      </c>
      <c r="C1520" s="1">
        <v>41706</v>
      </c>
      <c r="D1520" t="s">
        <v>37</v>
      </c>
      <c r="E1520" t="s">
        <v>3679</v>
      </c>
      <c r="F1520" t="s">
        <v>3680</v>
      </c>
      <c r="G1520" t="s">
        <v>84</v>
      </c>
      <c r="H1520" t="s">
        <v>24</v>
      </c>
      <c r="I1520" t="s">
        <v>339</v>
      </c>
      <c r="J1520" t="s">
        <v>223</v>
      </c>
      <c r="K1520" t="s">
        <v>63</v>
      </c>
      <c r="L1520" t="s">
        <v>447</v>
      </c>
      <c r="M1520" t="s">
        <v>29</v>
      </c>
      <c r="N1520" t="s">
        <v>30</v>
      </c>
      <c r="O1520" t="s">
        <v>448</v>
      </c>
      <c r="P1520">
        <v>302.45</v>
      </c>
      <c r="Q1520">
        <v>5</v>
      </c>
      <c r="R1520">
        <v>-199.61699999999999</v>
      </c>
      <c r="S1520" t="s">
        <v>187</v>
      </c>
    </row>
    <row r="1521" spans="1:19" x14ac:dyDescent="0.35">
      <c r="A1521" t="s">
        <v>3681</v>
      </c>
      <c r="B1521" s="1">
        <v>42520</v>
      </c>
      <c r="C1521" s="1">
        <v>42525</v>
      </c>
      <c r="D1521" t="s">
        <v>37</v>
      </c>
      <c r="E1521" t="s">
        <v>2183</v>
      </c>
      <c r="F1521" t="s">
        <v>2184</v>
      </c>
      <c r="G1521" t="s">
        <v>94</v>
      </c>
      <c r="H1521" t="s">
        <v>24</v>
      </c>
      <c r="I1521" t="s">
        <v>3682</v>
      </c>
      <c r="J1521" t="s">
        <v>230</v>
      </c>
      <c r="K1521" t="s">
        <v>87</v>
      </c>
      <c r="L1521" t="s">
        <v>1586</v>
      </c>
      <c r="M1521" t="s">
        <v>29</v>
      </c>
      <c r="N1521" t="s">
        <v>53</v>
      </c>
      <c r="O1521" t="s">
        <v>1587</v>
      </c>
      <c r="P1521">
        <v>47.4</v>
      </c>
      <c r="Q1521">
        <v>5</v>
      </c>
      <c r="R1521">
        <v>21.33</v>
      </c>
      <c r="S1521" t="s">
        <v>153</v>
      </c>
    </row>
    <row r="1522" spans="1:19" x14ac:dyDescent="0.35">
      <c r="A1522" t="s">
        <v>3683</v>
      </c>
      <c r="B1522" s="1">
        <v>41966</v>
      </c>
      <c r="C1522" s="1">
        <v>41969</v>
      </c>
      <c r="D1522" t="s">
        <v>20</v>
      </c>
      <c r="E1522" t="s">
        <v>1295</v>
      </c>
      <c r="F1522" t="s">
        <v>1296</v>
      </c>
      <c r="G1522" t="s">
        <v>84</v>
      </c>
      <c r="H1522" t="s">
        <v>24</v>
      </c>
      <c r="I1522" t="s">
        <v>95</v>
      </c>
      <c r="J1522" t="s">
        <v>86</v>
      </c>
      <c r="K1522" t="s">
        <v>87</v>
      </c>
      <c r="L1522" t="s">
        <v>1155</v>
      </c>
      <c r="M1522" t="s">
        <v>29</v>
      </c>
      <c r="N1522" t="s">
        <v>34</v>
      </c>
      <c r="O1522" t="s">
        <v>1156</v>
      </c>
      <c r="P1522">
        <v>155.37200000000001</v>
      </c>
      <c r="Q1522">
        <v>2</v>
      </c>
      <c r="R1522">
        <v>-35.513599999999997</v>
      </c>
      <c r="S1522" t="s">
        <v>32</v>
      </c>
    </row>
    <row r="1523" spans="1:19" x14ac:dyDescent="0.35">
      <c r="A1523" t="s">
        <v>3684</v>
      </c>
      <c r="B1523" s="1">
        <v>42383</v>
      </c>
      <c r="C1523" s="1">
        <v>42389</v>
      </c>
      <c r="D1523" t="s">
        <v>37</v>
      </c>
      <c r="E1523" t="s">
        <v>440</v>
      </c>
      <c r="F1523" t="s">
        <v>441</v>
      </c>
      <c r="G1523" t="s">
        <v>23</v>
      </c>
      <c r="H1523" t="s">
        <v>24</v>
      </c>
      <c r="I1523" t="s">
        <v>500</v>
      </c>
      <c r="J1523" t="s">
        <v>1027</v>
      </c>
      <c r="K1523" t="s">
        <v>27</v>
      </c>
      <c r="L1523" t="s">
        <v>3685</v>
      </c>
      <c r="M1523" t="s">
        <v>29</v>
      </c>
      <c r="N1523" t="s">
        <v>53</v>
      </c>
      <c r="O1523" t="s">
        <v>3686</v>
      </c>
      <c r="P1523">
        <v>315.77600000000001</v>
      </c>
      <c r="Q1523">
        <v>8</v>
      </c>
      <c r="R1523">
        <v>31.5776</v>
      </c>
      <c r="S1523" t="s">
        <v>161</v>
      </c>
    </row>
    <row r="1524" spans="1:19" x14ac:dyDescent="0.35">
      <c r="A1524" t="s">
        <v>3687</v>
      </c>
      <c r="B1524" s="1">
        <v>42629</v>
      </c>
      <c r="C1524" s="1">
        <v>42635</v>
      </c>
      <c r="D1524" t="s">
        <v>37</v>
      </c>
      <c r="E1524" t="s">
        <v>2488</v>
      </c>
      <c r="F1524" t="s">
        <v>2489</v>
      </c>
      <c r="G1524" t="s">
        <v>84</v>
      </c>
      <c r="H1524" t="s">
        <v>24</v>
      </c>
      <c r="I1524" t="s">
        <v>1482</v>
      </c>
      <c r="J1524" t="s">
        <v>50</v>
      </c>
      <c r="K1524" t="s">
        <v>51</v>
      </c>
      <c r="L1524" t="s">
        <v>1539</v>
      </c>
      <c r="M1524" t="s">
        <v>29</v>
      </c>
      <c r="N1524" t="s">
        <v>30</v>
      </c>
      <c r="O1524" t="s">
        <v>1540</v>
      </c>
      <c r="P1524">
        <v>273.666</v>
      </c>
      <c r="Q1524">
        <v>2</v>
      </c>
      <c r="R1524">
        <v>-12.878399999999999</v>
      </c>
      <c r="S1524" t="s">
        <v>72</v>
      </c>
    </row>
    <row r="1525" spans="1:19" x14ac:dyDescent="0.35">
      <c r="A1525" t="s">
        <v>3688</v>
      </c>
      <c r="B1525" s="1">
        <v>42321</v>
      </c>
      <c r="C1525" s="1">
        <v>42325</v>
      </c>
      <c r="D1525" t="s">
        <v>37</v>
      </c>
      <c r="E1525" t="s">
        <v>3689</v>
      </c>
      <c r="F1525" t="s">
        <v>3690</v>
      </c>
      <c r="G1525" t="s">
        <v>94</v>
      </c>
      <c r="H1525" t="s">
        <v>24</v>
      </c>
      <c r="I1525" t="s">
        <v>3691</v>
      </c>
      <c r="J1525" t="s">
        <v>3692</v>
      </c>
      <c r="K1525" t="s">
        <v>51</v>
      </c>
      <c r="L1525" t="s">
        <v>826</v>
      </c>
      <c r="M1525" t="s">
        <v>29</v>
      </c>
      <c r="N1525" t="s">
        <v>53</v>
      </c>
      <c r="O1525" t="s">
        <v>827</v>
      </c>
      <c r="P1525">
        <v>63.98</v>
      </c>
      <c r="Q1525">
        <v>7</v>
      </c>
      <c r="R1525">
        <v>21.7532</v>
      </c>
      <c r="S1525" t="s">
        <v>32</v>
      </c>
    </row>
    <row r="1526" spans="1:19" x14ac:dyDescent="0.35">
      <c r="A1526" t="s">
        <v>3693</v>
      </c>
      <c r="B1526" s="1">
        <v>42987</v>
      </c>
      <c r="C1526" s="1">
        <v>42991</v>
      </c>
      <c r="D1526" t="s">
        <v>37</v>
      </c>
      <c r="E1526" t="s">
        <v>1161</v>
      </c>
      <c r="F1526" t="s">
        <v>1162</v>
      </c>
      <c r="G1526" t="s">
        <v>23</v>
      </c>
      <c r="H1526" t="s">
        <v>24</v>
      </c>
      <c r="I1526" t="s">
        <v>684</v>
      </c>
      <c r="J1526" t="s">
        <v>223</v>
      </c>
      <c r="K1526" t="s">
        <v>63</v>
      </c>
      <c r="L1526" t="s">
        <v>587</v>
      </c>
      <c r="M1526" t="s">
        <v>29</v>
      </c>
      <c r="N1526" t="s">
        <v>53</v>
      </c>
      <c r="O1526" t="s">
        <v>588</v>
      </c>
      <c r="P1526">
        <v>66.111999999999995</v>
      </c>
      <c r="Q1526">
        <v>2</v>
      </c>
      <c r="R1526">
        <v>-9.0904000000000007</v>
      </c>
      <c r="S1526" t="s">
        <v>72</v>
      </c>
    </row>
    <row r="1527" spans="1:19" x14ac:dyDescent="0.35">
      <c r="A1527" t="s">
        <v>3694</v>
      </c>
      <c r="B1527" s="1">
        <v>42541</v>
      </c>
      <c r="C1527" s="1">
        <v>42546</v>
      </c>
      <c r="D1527" t="s">
        <v>37</v>
      </c>
      <c r="E1527" t="s">
        <v>2750</v>
      </c>
      <c r="F1527" t="s">
        <v>2751</v>
      </c>
      <c r="G1527" t="s">
        <v>84</v>
      </c>
      <c r="H1527" t="s">
        <v>24</v>
      </c>
      <c r="I1527" t="s">
        <v>3007</v>
      </c>
      <c r="J1527" t="s">
        <v>1513</v>
      </c>
      <c r="K1527" t="s">
        <v>87</v>
      </c>
      <c r="L1527" t="s">
        <v>1302</v>
      </c>
      <c r="M1527" t="s">
        <v>29</v>
      </c>
      <c r="N1527" t="s">
        <v>53</v>
      </c>
      <c r="O1527" t="s">
        <v>2013</v>
      </c>
      <c r="P1527">
        <v>57.69</v>
      </c>
      <c r="Q1527">
        <v>3</v>
      </c>
      <c r="R1527">
        <v>23.652899999999999</v>
      </c>
      <c r="S1527" t="s">
        <v>55</v>
      </c>
    </row>
    <row r="1528" spans="1:19" x14ac:dyDescent="0.35">
      <c r="A1528" t="s">
        <v>3695</v>
      </c>
      <c r="B1528" s="1">
        <v>42392</v>
      </c>
      <c r="C1528" s="1">
        <v>42398</v>
      </c>
      <c r="D1528" t="s">
        <v>37</v>
      </c>
      <c r="E1528" t="s">
        <v>3696</v>
      </c>
      <c r="F1528" t="s">
        <v>3697</v>
      </c>
      <c r="G1528" t="s">
        <v>23</v>
      </c>
      <c r="H1528" t="s">
        <v>24</v>
      </c>
      <c r="I1528" t="s">
        <v>49</v>
      </c>
      <c r="J1528" t="s">
        <v>50</v>
      </c>
      <c r="K1528" t="s">
        <v>51</v>
      </c>
      <c r="L1528" t="s">
        <v>2892</v>
      </c>
      <c r="M1528" t="s">
        <v>29</v>
      </c>
      <c r="N1528" t="s">
        <v>53</v>
      </c>
      <c r="O1528" t="s">
        <v>2893</v>
      </c>
      <c r="P1528">
        <v>59.99</v>
      </c>
      <c r="Q1528">
        <v>7</v>
      </c>
      <c r="R1528">
        <v>21.596399999999999</v>
      </c>
      <c r="S1528" t="s">
        <v>161</v>
      </c>
    </row>
    <row r="1529" spans="1:19" x14ac:dyDescent="0.35">
      <c r="A1529" t="s">
        <v>3698</v>
      </c>
      <c r="B1529" s="1">
        <v>42150</v>
      </c>
      <c r="C1529" s="1">
        <v>42155</v>
      </c>
      <c r="D1529" t="s">
        <v>37</v>
      </c>
      <c r="E1529" t="s">
        <v>2342</v>
      </c>
      <c r="F1529" t="s">
        <v>2343</v>
      </c>
      <c r="G1529" t="s">
        <v>23</v>
      </c>
      <c r="H1529" t="s">
        <v>24</v>
      </c>
      <c r="I1529" t="s">
        <v>3699</v>
      </c>
      <c r="J1529" t="s">
        <v>184</v>
      </c>
      <c r="K1529" t="s">
        <v>51</v>
      </c>
      <c r="L1529" t="s">
        <v>639</v>
      </c>
      <c r="M1529" t="s">
        <v>29</v>
      </c>
      <c r="N1529" t="s">
        <v>53</v>
      </c>
      <c r="O1529" t="s">
        <v>640</v>
      </c>
      <c r="P1529">
        <v>20.239999999999998</v>
      </c>
      <c r="Q1529">
        <v>1</v>
      </c>
      <c r="R1529">
        <v>7.8936000000000002</v>
      </c>
      <c r="S1529" t="s">
        <v>153</v>
      </c>
    </row>
    <row r="1530" spans="1:19" x14ac:dyDescent="0.35">
      <c r="A1530" t="s">
        <v>3700</v>
      </c>
      <c r="B1530" s="1">
        <v>41961</v>
      </c>
      <c r="C1530" s="1">
        <v>41964</v>
      </c>
      <c r="D1530" t="s">
        <v>81</v>
      </c>
      <c r="E1530" t="s">
        <v>2828</v>
      </c>
      <c r="F1530" t="s">
        <v>2829</v>
      </c>
      <c r="G1530" t="s">
        <v>23</v>
      </c>
      <c r="H1530" t="s">
        <v>24</v>
      </c>
      <c r="I1530" t="s">
        <v>3701</v>
      </c>
      <c r="J1530" t="s">
        <v>126</v>
      </c>
      <c r="K1530" t="s">
        <v>87</v>
      </c>
      <c r="L1530" t="s">
        <v>360</v>
      </c>
      <c r="M1530" t="s">
        <v>29</v>
      </c>
      <c r="N1530" t="s">
        <v>43</v>
      </c>
      <c r="O1530" t="s">
        <v>361</v>
      </c>
      <c r="P1530">
        <v>292.10000000000002</v>
      </c>
      <c r="Q1530">
        <v>4</v>
      </c>
      <c r="R1530">
        <v>-175.26</v>
      </c>
      <c r="S1530" t="s">
        <v>32</v>
      </c>
    </row>
    <row r="1531" spans="1:19" x14ac:dyDescent="0.35">
      <c r="A1531" t="s">
        <v>3700</v>
      </c>
      <c r="B1531" s="1">
        <v>41961</v>
      </c>
      <c r="C1531" s="1">
        <v>41964</v>
      </c>
      <c r="D1531" t="s">
        <v>81</v>
      </c>
      <c r="E1531" t="s">
        <v>2828</v>
      </c>
      <c r="F1531" t="s">
        <v>2829</v>
      </c>
      <c r="G1531" t="s">
        <v>23</v>
      </c>
      <c r="H1531" t="s">
        <v>24</v>
      </c>
      <c r="I1531" t="s">
        <v>3701</v>
      </c>
      <c r="J1531" t="s">
        <v>126</v>
      </c>
      <c r="K1531" t="s">
        <v>87</v>
      </c>
      <c r="L1531" t="s">
        <v>2131</v>
      </c>
      <c r="M1531" t="s">
        <v>29</v>
      </c>
      <c r="N1531" t="s">
        <v>53</v>
      </c>
      <c r="O1531" t="s">
        <v>2132</v>
      </c>
      <c r="P1531">
        <v>8.5440000000000005</v>
      </c>
      <c r="Q1531">
        <v>2</v>
      </c>
      <c r="R1531">
        <v>-7.476</v>
      </c>
      <c r="S1531" t="s">
        <v>32</v>
      </c>
    </row>
    <row r="1532" spans="1:19" x14ac:dyDescent="0.35">
      <c r="A1532" t="s">
        <v>3700</v>
      </c>
      <c r="B1532" s="1">
        <v>41961</v>
      </c>
      <c r="C1532" s="1">
        <v>41964</v>
      </c>
      <c r="D1532" t="s">
        <v>81</v>
      </c>
      <c r="E1532" t="s">
        <v>2828</v>
      </c>
      <c r="F1532" t="s">
        <v>2829</v>
      </c>
      <c r="G1532" t="s">
        <v>23</v>
      </c>
      <c r="H1532" t="s">
        <v>24</v>
      </c>
      <c r="I1532" t="s">
        <v>3701</v>
      </c>
      <c r="J1532" t="s">
        <v>126</v>
      </c>
      <c r="K1532" t="s">
        <v>87</v>
      </c>
      <c r="L1532" t="s">
        <v>2806</v>
      </c>
      <c r="M1532" t="s">
        <v>29</v>
      </c>
      <c r="N1532" t="s">
        <v>30</v>
      </c>
      <c r="O1532" t="s">
        <v>2807</v>
      </c>
      <c r="P1532">
        <v>424.11599999999999</v>
      </c>
      <c r="Q1532">
        <v>6</v>
      </c>
      <c r="R1532">
        <v>-30.294</v>
      </c>
      <c r="S1532" t="s">
        <v>32</v>
      </c>
    </row>
    <row r="1533" spans="1:19" x14ac:dyDescent="0.35">
      <c r="A1533" t="s">
        <v>3702</v>
      </c>
      <c r="B1533" s="1">
        <v>42982</v>
      </c>
      <c r="C1533" s="1">
        <v>42986</v>
      </c>
      <c r="D1533" t="s">
        <v>37</v>
      </c>
      <c r="E1533" t="s">
        <v>3703</v>
      </c>
      <c r="F1533" t="s">
        <v>3704</v>
      </c>
      <c r="G1533" t="s">
        <v>23</v>
      </c>
      <c r="H1533" t="s">
        <v>24</v>
      </c>
      <c r="I1533" t="s">
        <v>1111</v>
      </c>
      <c r="J1533" t="s">
        <v>41</v>
      </c>
      <c r="K1533" t="s">
        <v>27</v>
      </c>
      <c r="L1533" t="s">
        <v>243</v>
      </c>
      <c r="M1533" t="s">
        <v>29</v>
      </c>
      <c r="N1533" t="s">
        <v>34</v>
      </c>
      <c r="O1533" t="s">
        <v>244</v>
      </c>
      <c r="P1533">
        <v>97.183999999999997</v>
      </c>
      <c r="Q1533">
        <v>2</v>
      </c>
      <c r="R1533">
        <v>6.0739999999999998</v>
      </c>
      <c r="S1533" t="s">
        <v>72</v>
      </c>
    </row>
    <row r="1534" spans="1:19" x14ac:dyDescent="0.35">
      <c r="A1534" t="s">
        <v>3705</v>
      </c>
      <c r="B1534" s="1">
        <v>41727</v>
      </c>
      <c r="C1534" s="1">
        <v>41731</v>
      </c>
      <c r="D1534" t="s">
        <v>37</v>
      </c>
      <c r="E1534" t="s">
        <v>2714</v>
      </c>
      <c r="F1534" t="s">
        <v>2715</v>
      </c>
      <c r="G1534" t="s">
        <v>23</v>
      </c>
      <c r="H1534" t="s">
        <v>24</v>
      </c>
      <c r="I1534" t="s">
        <v>2469</v>
      </c>
      <c r="J1534" t="s">
        <v>86</v>
      </c>
      <c r="K1534" t="s">
        <v>87</v>
      </c>
      <c r="L1534" t="s">
        <v>512</v>
      </c>
      <c r="M1534" t="s">
        <v>29</v>
      </c>
      <c r="N1534" t="s">
        <v>43</v>
      </c>
      <c r="O1534" t="s">
        <v>513</v>
      </c>
      <c r="P1534">
        <v>890.84100000000001</v>
      </c>
      <c r="Q1534">
        <v>3</v>
      </c>
      <c r="R1534">
        <v>-152.71559999999999</v>
      </c>
      <c r="S1534" t="s">
        <v>187</v>
      </c>
    </row>
    <row r="1535" spans="1:19" x14ac:dyDescent="0.35">
      <c r="A1535" t="s">
        <v>3706</v>
      </c>
      <c r="B1535" s="1">
        <v>42679</v>
      </c>
      <c r="C1535" s="1">
        <v>42681</v>
      </c>
      <c r="D1535" t="s">
        <v>20</v>
      </c>
      <c r="E1535" t="s">
        <v>318</v>
      </c>
      <c r="F1535" t="s">
        <v>319</v>
      </c>
      <c r="G1535" t="s">
        <v>23</v>
      </c>
      <c r="H1535" t="s">
        <v>24</v>
      </c>
      <c r="I1535" t="s">
        <v>1482</v>
      </c>
      <c r="J1535" t="s">
        <v>50</v>
      </c>
      <c r="K1535" t="s">
        <v>51</v>
      </c>
      <c r="L1535" t="s">
        <v>2185</v>
      </c>
      <c r="M1535" t="s">
        <v>29</v>
      </c>
      <c r="N1535" t="s">
        <v>34</v>
      </c>
      <c r="O1535" t="s">
        <v>2186</v>
      </c>
      <c r="P1535">
        <v>113.88800000000001</v>
      </c>
      <c r="Q1535">
        <v>2</v>
      </c>
      <c r="R1535">
        <v>9.9651999999999994</v>
      </c>
      <c r="S1535" t="s">
        <v>32</v>
      </c>
    </row>
    <row r="1536" spans="1:19" x14ac:dyDescent="0.35">
      <c r="A1536" t="s">
        <v>3707</v>
      </c>
      <c r="B1536" s="1">
        <v>42659</v>
      </c>
      <c r="C1536" s="1">
        <v>42663</v>
      </c>
      <c r="D1536" t="s">
        <v>37</v>
      </c>
      <c r="E1536" t="s">
        <v>773</v>
      </c>
      <c r="F1536" t="s">
        <v>774</v>
      </c>
      <c r="G1536" t="s">
        <v>84</v>
      </c>
      <c r="H1536" t="s">
        <v>24</v>
      </c>
      <c r="I1536" t="s">
        <v>165</v>
      </c>
      <c r="J1536" t="s">
        <v>114</v>
      </c>
      <c r="K1536" t="s">
        <v>63</v>
      </c>
      <c r="L1536" t="s">
        <v>56</v>
      </c>
      <c r="M1536" t="s">
        <v>29</v>
      </c>
      <c r="N1536" t="s">
        <v>43</v>
      </c>
      <c r="O1536" t="s">
        <v>57</v>
      </c>
      <c r="P1536">
        <v>142.18199999999999</v>
      </c>
      <c r="Q1536">
        <v>1</v>
      </c>
      <c r="R1536">
        <v>-37.915199999999999</v>
      </c>
      <c r="S1536" t="s">
        <v>45</v>
      </c>
    </row>
    <row r="1537" spans="1:19" x14ac:dyDescent="0.35">
      <c r="A1537" t="s">
        <v>3708</v>
      </c>
      <c r="B1537" s="1">
        <v>43065</v>
      </c>
      <c r="C1537" s="1">
        <v>43068</v>
      </c>
      <c r="D1537" t="s">
        <v>20</v>
      </c>
      <c r="E1537" t="s">
        <v>3709</v>
      </c>
      <c r="F1537" t="s">
        <v>3710</v>
      </c>
      <c r="G1537" t="s">
        <v>23</v>
      </c>
      <c r="H1537" t="s">
        <v>24</v>
      </c>
      <c r="I1537" t="s">
        <v>165</v>
      </c>
      <c r="J1537" t="s">
        <v>114</v>
      </c>
      <c r="K1537" t="s">
        <v>63</v>
      </c>
      <c r="L1537" t="s">
        <v>1700</v>
      </c>
      <c r="M1537" t="s">
        <v>29</v>
      </c>
      <c r="N1537" t="s">
        <v>53</v>
      </c>
      <c r="O1537" t="s">
        <v>1701</v>
      </c>
      <c r="P1537">
        <v>135.30000000000001</v>
      </c>
      <c r="Q1537">
        <v>5</v>
      </c>
      <c r="R1537">
        <v>37.884</v>
      </c>
      <c r="S1537" t="s">
        <v>32</v>
      </c>
    </row>
    <row r="1538" spans="1:19" x14ac:dyDescent="0.35">
      <c r="A1538" t="s">
        <v>3711</v>
      </c>
      <c r="B1538" s="1">
        <v>43074</v>
      </c>
      <c r="C1538" s="1">
        <v>43077</v>
      </c>
      <c r="D1538" t="s">
        <v>81</v>
      </c>
      <c r="E1538" t="s">
        <v>619</v>
      </c>
      <c r="F1538" t="s">
        <v>620</v>
      </c>
      <c r="G1538" t="s">
        <v>23</v>
      </c>
      <c r="H1538" t="s">
        <v>24</v>
      </c>
      <c r="I1538" t="s">
        <v>165</v>
      </c>
      <c r="J1538" t="s">
        <v>114</v>
      </c>
      <c r="K1538" t="s">
        <v>63</v>
      </c>
      <c r="L1538" t="s">
        <v>178</v>
      </c>
      <c r="M1538" t="s">
        <v>29</v>
      </c>
      <c r="N1538" t="s">
        <v>53</v>
      </c>
      <c r="O1538" t="s">
        <v>179</v>
      </c>
      <c r="P1538">
        <v>41.96</v>
      </c>
      <c r="Q1538">
        <v>2</v>
      </c>
      <c r="R1538">
        <v>10.909599999999999</v>
      </c>
      <c r="S1538" t="s">
        <v>90</v>
      </c>
    </row>
    <row r="1539" spans="1:19" x14ac:dyDescent="0.35">
      <c r="A1539" t="s">
        <v>3712</v>
      </c>
      <c r="B1539" s="1">
        <v>41716</v>
      </c>
      <c r="C1539" s="1">
        <v>41722</v>
      </c>
      <c r="D1539" t="s">
        <v>37</v>
      </c>
      <c r="E1539" t="s">
        <v>892</v>
      </c>
      <c r="F1539" t="s">
        <v>893</v>
      </c>
      <c r="G1539" t="s">
        <v>94</v>
      </c>
      <c r="H1539" t="s">
        <v>24</v>
      </c>
      <c r="I1539" t="s">
        <v>3713</v>
      </c>
      <c r="J1539" t="s">
        <v>50</v>
      </c>
      <c r="K1539" t="s">
        <v>51</v>
      </c>
      <c r="L1539" t="s">
        <v>1775</v>
      </c>
      <c r="M1539" t="s">
        <v>29</v>
      </c>
      <c r="N1539" t="s">
        <v>53</v>
      </c>
      <c r="O1539" t="s">
        <v>1776</v>
      </c>
      <c r="P1539">
        <v>111</v>
      </c>
      <c r="Q1539">
        <v>2</v>
      </c>
      <c r="R1539">
        <v>14.43</v>
      </c>
      <c r="S1539" t="s">
        <v>187</v>
      </c>
    </row>
    <row r="1540" spans="1:19" x14ac:dyDescent="0.35">
      <c r="A1540" t="s">
        <v>3714</v>
      </c>
      <c r="B1540" s="1">
        <v>42686</v>
      </c>
      <c r="C1540" s="1">
        <v>42687</v>
      </c>
      <c r="D1540" t="s">
        <v>81</v>
      </c>
      <c r="E1540" t="s">
        <v>3715</v>
      </c>
      <c r="F1540" t="s">
        <v>3716</v>
      </c>
      <c r="G1540" t="s">
        <v>84</v>
      </c>
      <c r="H1540" t="s">
        <v>24</v>
      </c>
      <c r="I1540" t="s">
        <v>125</v>
      </c>
      <c r="J1540" t="s">
        <v>126</v>
      </c>
      <c r="K1540" t="s">
        <v>87</v>
      </c>
      <c r="L1540" t="s">
        <v>1586</v>
      </c>
      <c r="M1540" t="s">
        <v>29</v>
      </c>
      <c r="N1540" t="s">
        <v>53</v>
      </c>
      <c r="O1540" t="s">
        <v>1587</v>
      </c>
      <c r="P1540">
        <v>22.751999999999999</v>
      </c>
      <c r="Q1540">
        <v>6</v>
      </c>
      <c r="R1540">
        <v>-8.532</v>
      </c>
      <c r="S1540" t="s">
        <v>32</v>
      </c>
    </row>
    <row r="1541" spans="1:19" x14ac:dyDescent="0.35">
      <c r="A1541" t="s">
        <v>3717</v>
      </c>
      <c r="B1541" s="1">
        <v>42105</v>
      </c>
      <c r="C1541" s="1">
        <v>42111</v>
      </c>
      <c r="D1541" t="s">
        <v>37</v>
      </c>
      <c r="E1541" t="s">
        <v>2384</v>
      </c>
      <c r="F1541" t="s">
        <v>2385</v>
      </c>
      <c r="G1541" t="s">
        <v>23</v>
      </c>
      <c r="H1541" t="s">
        <v>24</v>
      </c>
      <c r="I1541" t="s">
        <v>295</v>
      </c>
      <c r="J1541" t="s">
        <v>41</v>
      </c>
      <c r="K1541" t="s">
        <v>27</v>
      </c>
      <c r="L1541" t="s">
        <v>557</v>
      </c>
      <c r="M1541" t="s">
        <v>29</v>
      </c>
      <c r="N1541" t="s">
        <v>53</v>
      </c>
      <c r="O1541" t="s">
        <v>558</v>
      </c>
      <c r="P1541">
        <v>67.36</v>
      </c>
      <c r="Q1541">
        <v>2</v>
      </c>
      <c r="R1541">
        <v>10.103999999999999</v>
      </c>
      <c r="S1541" t="s">
        <v>107</v>
      </c>
    </row>
    <row r="1542" spans="1:19" x14ac:dyDescent="0.35">
      <c r="A1542" t="s">
        <v>3717</v>
      </c>
      <c r="B1542" s="1">
        <v>42105</v>
      </c>
      <c r="C1542" s="1">
        <v>42111</v>
      </c>
      <c r="D1542" t="s">
        <v>37</v>
      </c>
      <c r="E1542" t="s">
        <v>2384</v>
      </c>
      <c r="F1542" t="s">
        <v>2385</v>
      </c>
      <c r="G1542" t="s">
        <v>23</v>
      </c>
      <c r="H1542" t="s">
        <v>24</v>
      </c>
      <c r="I1542" t="s">
        <v>295</v>
      </c>
      <c r="J1542" t="s">
        <v>41</v>
      </c>
      <c r="K1542" t="s">
        <v>27</v>
      </c>
      <c r="L1542" t="s">
        <v>275</v>
      </c>
      <c r="M1542" t="s">
        <v>29</v>
      </c>
      <c r="N1542" t="s">
        <v>53</v>
      </c>
      <c r="O1542" t="s">
        <v>276</v>
      </c>
      <c r="P1542">
        <v>54.527999999999999</v>
      </c>
      <c r="Q1542">
        <v>3</v>
      </c>
      <c r="R1542">
        <v>14.313599999999999</v>
      </c>
      <c r="S1542" t="s">
        <v>107</v>
      </c>
    </row>
    <row r="1543" spans="1:19" x14ac:dyDescent="0.35">
      <c r="A1543" t="s">
        <v>3718</v>
      </c>
      <c r="B1543" s="1">
        <v>42363</v>
      </c>
      <c r="C1543" s="1">
        <v>42368</v>
      </c>
      <c r="D1543" t="s">
        <v>37</v>
      </c>
      <c r="E1543" t="s">
        <v>1797</v>
      </c>
      <c r="F1543" t="s">
        <v>1798</v>
      </c>
      <c r="G1543" t="s">
        <v>23</v>
      </c>
      <c r="H1543" t="s">
        <v>24</v>
      </c>
      <c r="I1543" t="s">
        <v>165</v>
      </c>
      <c r="J1543" t="s">
        <v>114</v>
      </c>
      <c r="K1543" t="s">
        <v>63</v>
      </c>
      <c r="L1543" t="s">
        <v>252</v>
      </c>
      <c r="M1543" t="s">
        <v>29</v>
      </c>
      <c r="N1543" t="s">
        <v>30</v>
      </c>
      <c r="O1543" t="s">
        <v>253</v>
      </c>
      <c r="P1543">
        <v>449.56799999999998</v>
      </c>
      <c r="Q1543">
        <v>2</v>
      </c>
      <c r="R1543">
        <v>56.195999999999998</v>
      </c>
      <c r="S1543" t="s">
        <v>90</v>
      </c>
    </row>
    <row r="1544" spans="1:19" x14ac:dyDescent="0.35">
      <c r="A1544" t="s">
        <v>3719</v>
      </c>
      <c r="B1544" s="1">
        <v>41993</v>
      </c>
      <c r="C1544" s="1">
        <v>41996</v>
      </c>
      <c r="D1544" t="s">
        <v>20</v>
      </c>
      <c r="E1544" t="s">
        <v>2336</v>
      </c>
      <c r="F1544" t="s">
        <v>2337</v>
      </c>
      <c r="G1544" t="s">
        <v>84</v>
      </c>
      <c r="H1544" t="s">
        <v>24</v>
      </c>
      <c r="I1544" t="s">
        <v>165</v>
      </c>
      <c r="J1544" t="s">
        <v>114</v>
      </c>
      <c r="K1544" t="s">
        <v>63</v>
      </c>
      <c r="L1544" t="s">
        <v>2185</v>
      </c>
      <c r="M1544" t="s">
        <v>29</v>
      </c>
      <c r="N1544" t="s">
        <v>34</v>
      </c>
      <c r="O1544" t="s">
        <v>2186</v>
      </c>
      <c r="P1544">
        <v>192.18600000000001</v>
      </c>
      <c r="Q1544">
        <v>3</v>
      </c>
      <c r="R1544">
        <v>36.3018</v>
      </c>
      <c r="S1544" t="s">
        <v>90</v>
      </c>
    </row>
    <row r="1545" spans="1:19" x14ac:dyDescent="0.35">
      <c r="A1545" t="s">
        <v>3720</v>
      </c>
      <c r="B1545" s="1">
        <v>41846</v>
      </c>
      <c r="C1545" s="1">
        <v>41852</v>
      </c>
      <c r="D1545" t="s">
        <v>37</v>
      </c>
      <c r="E1545" t="s">
        <v>1359</v>
      </c>
      <c r="F1545" t="s">
        <v>1360</v>
      </c>
      <c r="G1545" t="s">
        <v>23</v>
      </c>
      <c r="H1545" t="s">
        <v>24</v>
      </c>
      <c r="I1545" t="s">
        <v>2129</v>
      </c>
      <c r="J1545" t="s">
        <v>658</v>
      </c>
      <c r="K1545" t="s">
        <v>27</v>
      </c>
      <c r="L1545" t="s">
        <v>1756</v>
      </c>
      <c r="M1545" t="s">
        <v>29</v>
      </c>
      <c r="N1545" t="s">
        <v>34</v>
      </c>
      <c r="O1545" t="s">
        <v>1757</v>
      </c>
      <c r="P1545">
        <v>67.88</v>
      </c>
      <c r="Q1545">
        <v>2</v>
      </c>
      <c r="R1545">
        <v>18.3276</v>
      </c>
      <c r="S1545" t="s">
        <v>66</v>
      </c>
    </row>
    <row r="1546" spans="1:19" x14ac:dyDescent="0.35">
      <c r="A1546" t="s">
        <v>3720</v>
      </c>
      <c r="B1546" s="1">
        <v>41846</v>
      </c>
      <c r="C1546" s="1">
        <v>41852</v>
      </c>
      <c r="D1546" t="s">
        <v>37</v>
      </c>
      <c r="E1546" t="s">
        <v>1359</v>
      </c>
      <c r="F1546" t="s">
        <v>1360</v>
      </c>
      <c r="G1546" t="s">
        <v>23</v>
      </c>
      <c r="H1546" t="s">
        <v>24</v>
      </c>
      <c r="I1546" t="s">
        <v>2129</v>
      </c>
      <c r="J1546" t="s">
        <v>658</v>
      </c>
      <c r="K1546" t="s">
        <v>27</v>
      </c>
      <c r="L1546" t="s">
        <v>2892</v>
      </c>
      <c r="M1546" t="s">
        <v>29</v>
      </c>
      <c r="N1546" t="s">
        <v>53</v>
      </c>
      <c r="O1546" t="s">
        <v>2893</v>
      </c>
      <c r="P1546">
        <v>25.71</v>
      </c>
      <c r="Q1546">
        <v>3</v>
      </c>
      <c r="R1546">
        <v>9.2555999999999994</v>
      </c>
      <c r="S1546" t="s">
        <v>66</v>
      </c>
    </row>
    <row r="1547" spans="1:19" x14ac:dyDescent="0.35">
      <c r="A1547" t="s">
        <v>3721</v>
      </c>
      <c r="B1547" s="1">
        <v>43080</v>
      </c>
      <c r="C1547" s="1">
        <v>43086</v>
      </c>
      <c r="D1547" t="s">
        <v>37</v>
      </c>
      <c r="E1547" t="s">
        <v>2207</v>
      </c>
      <c r="F1547" t="s">
        <v>2208</v>
      </c>
      <c r="G1547" t="s">
        <v>84</v>
      </c>
      <c r="H1547" t="s">
        <v>24</v>
      </c>
      <c r="I1547" t="s">
        <v>597</v>
      </c>
      <c r="J1547" t="s">
        <v>41</v>
      </c>
      <c r="K1547" t="s">
        <v>27</v>
      </c>
      <c r="L1547" t="s">
        <v>258</v>
      </c>
      <c r="M1547" t="s">
        <v>29</v>
      </c>
      <c r="N1547" t="s">
        <v>43</v>
      </c>
      <c r="O1547" t="s">
        <v>259</v>
      </c>
      <c r="P1547">
        <v>721.875</v>
      </c>
      <c r="Q1547">
        <v>6</v>
      </c>
      <c r="R1547">
        <v>-420</v>
      </c>
      <c r="S1547" t="s">
        <v>90</v>
      </c>
    </row>
    <row r="1548" spans="1:19" x14ac:dyDescent="0.35">
      <c r="A1548" t="s">
        <v>3721</v>
      </c>
      <c r="B1548" s="1">
        <v>43080</v>
      </c>
      <c r="C1548" s="1">
        <v>43086</v>
      </c>
      <c r="D1548" t="s">
        <v>37</v>
      </c>
      <c r="E1548" t="s">
        <v>2207</v>
      </c>
      <c r="F1548" t="s">
        <v>2208</v>
      </c>
      <c r="G1548" t="s">
        <v>84</v>
      </c>
      <c r="H1548" t="s">
        <v>24</v>
      </c>
      <c r="I1548" t="s">
        <v>597</v>
      </c>
      <c r="J1548" t="s">
        <v>41</v>
      </c>
      <c r="K1548" t="s">
        <v>27</v>
      </c>
      <c r="L1548" t="s">
        <v>501</v>
      </c>
      <c r="M1548" t="s">
        <v>29</v>
      </c>
      <c r="N1548" t="s">
        <v>34</v>
      </c>
      <c r="O1548" t="s">
        <v>502</v>
      </c>
      <c r="P1548">
        <v>64.784000000000006</v>
      </c>
      <c r="Q1548">
        <v>1</v>
      </c>
      <c r="R1548">
        <v>-12.147</v>
      </c>
      <c r="S1548" t="s">
        <v>90</v>
      </c>
    </row>
    <row r="1549" spans="1:19" x14ac:dyDescent="0.35">
      <c r="A1549" t="s">
        <v>3722</v>
      </c>
      <c r="B1549" s="1">
        <v>42652</v>
      </c>
      <c r="C1549" s="1">
        <v>42657</v>
      </c>
      <c r="D1549" t="s">
        <v>37</v>
      </c>
      <c r="E1549" t="s">
        <v>3427</v>
      </c>
      <c r="F1549" t="s">
        <v>3428</v>
      </c>
      <c r="G1549" t="s">
        <v>94</v>
      </c>
      <c r="H1549" t="s">
        <v>24</v>
      </c>
      <c r="I1549" t="s">
        <v>510</v>
      </c>
      <c r="J1549" t="s">
        <v>511</v>
      </c>
      <c r="K1549" t="s">
        <v>51</v>
      </c>
      <c r="L1549" t="s">
        <v>1382</v>
      </c>
      <c r="M1549" t="s">
        <v>29</v>
      </c>
      <c r="N1549" t="s">
        <v>53</v>
      </c>
      <c r="O1549" t="s">
        <v>1383</v>
      </c>
      <c r="P1549">
        <v>169.56800000000001</v>
      </c>
      <c r="Q1549">
        <v>2</v>
      </c>
      <c r="R1549">
        <v>0</v>
      </c>
      <c r="S1549" t="s">
        <v>45</v>
      </c>
    </row>
    <row r="1550" spans="1:19" x14ac:dyDescent="0.35">
      <c r="A1550" t="s">
        <v>3723</v>
      </c>
      <c r="B1550" s="1">
        <v>42003</v>
      </c>
      <c r="C1550" s="1">
        <v>42007</v>
      </c>
      <c r="D1550" t="s">
        <v>20</v>
      </c>
      <c r="E1550" t="s">
        <v>3724</v>
      </c>
      <c r="F1550" t="s">
        <v>3725</v>
      </c>
      <c r="G1550" t="s">
        <v>84</v>
      </c>
      <c r="H1550" t="s">
        <v>24</v>
      </c>
      <c r="I1550" t="s">
        <v>61</v>
      </c>
      <c r="J1550" t="s">
        <v>62</v>
      </c>
      <c r="K1550" t="s">
        <v>63</v>
      </c>
      <c r="L1550" t="s">
        <v>402</v>
      </c>
      <c r="M1550" t="s">
        <v>29</v>
      </c>
      <c r="N1550" t="s">
        <v>43</v>
      </c>
      <c r="O1550" t="s">
        <v>403</v>
      </c>
      <c r="P1550">
        <v>523.76400000000001</v>
      </c>
      <c r="Q1550">
        <v>3</v>
      </c>
      <c r="R1550">
        <v>-192.04679999999999</v>
      </c>
      <c r="S1550" t="s">
        <v>90</v>
      </c>
    </row>
    <row r="1551" spans="1:19" x14ac:dyDescent="0.35">
      <c r="A1551" t="s">
        <v>3726</v>
      </c>
      <c r="B1551" s="1">
        <v>42472</v>
      </c>
      <c r="C1551" s="1">
        <v>42474</v>
      </c>
      <c r="D1551" t="s">
        <v>81</v>
      </c>
      <c r="E1551" t="s">
        <v>1997</v>
      </c>
      <c r="F1551" t="s">
        <v>1998</v>
      </c>
      <c r="G1551" t="s">
        <v>23</v>
      </c>
      <c r="H1551" t="s">
        <v>24</v>
      </c>
      <c r="I1551" t="s">
        <v>49</v>
      </c>
      <c r="J1551" t="s">
        <v>50</v>
      </c>
      <c r="K1551" t="s">
        <v>51</v>
      </c>
      <c r="L1551" t="s">
        <v>501</v>
      </c>
      <c r="M1551" t="s">
        <v>29</v>
      </c>
      <c r="N1551" t="s">
        <v>34</v>
      </c>
      <c r="O1551" t="s">
        <v>502</v>
      </c>
      <c r="P1551">
        <v>194.352</v>
      </c>
      <c r="Q1551">
        <v>3</v>
      </c>
      <c r="R1551">
        <v>-36.441000000000003</v>
      </c>
      <c r="S1551" t="s">
        <v>107</v>
      </c>
    </row>
    <row r="1552" spans="1:19" x14ac:dyDescent="0.35">
      <c r="A1552" t="s">
        <v>3727</v>
      </c>
      <c r="B1552" s="1">
        <v>42702</v>
      </c>
      <c r="C1552" s="1">
        <v>42708</v>
      </c>
      <c r="D1552" t="s">
        <v>37</v>
      </c>
      <c r="E1552" t="s">
        <v>278</v>
      </c>
      <c r="F1552" t="s">
        <v>279</v>
      </c>
      <c r="G1552" t="s">
        <v>84</v>
      </c>
      <c r="H1552" t="s">
        <v>24</v>
      </c>
      <c r="I1552" t="s">
        <v>61</v>
      </c>
      <c r="J1552" t="s">
        <v>62</v>
      </c>
      <c r="K1552" t="s">
        <v>63</v>
      </c>
      <c r="L1552" t="s">
        <v>581</v>
      </c>
      <c r="M1552" t="s">
        <v>29</v>
      </c>
      <c r="N1552" t="s">
        <v>34</v>
      </c>
      <c r="O1552" t="s">
        <v>582</v>
      </c>
      <c r="P1552">
        <v>347.80200000000002</v>
      </c>
      <c r="Q1552">
        <v>7</v>
      </c>
      <c r="R1552">
        <v>-24.843</v>
      </c>
      <c r="S1552" t="s">
        <v>32</v>
      </c>
    </row>
    <row r="1553" spans="1:19" x14ac:dyDescent="0.35">
      <c r="A1553" t="s">
        <v>3728</v>
      </c>
      <c r="B1553" s="1">
        <v>42626</v>
      </c>
      <c r="C1553" s="1">
        <v>42631</v>
      </c>
      <c r="D1553" t="s">
        <v>37</v>
      </c>
      <c r="E1553" t="s">
        <v>2916</v>
      </c>
      <c r="F1553" t="s">
        <v>2917</v>
      </c>
      <c r="G1553" t="s">
        <v>23</v>
      </c>
      <c r="H1553" t="s">
        <v>24</v>
      </c>
      <c r="I1553" t="s">
        <v>831</v>
      </c>
      <c r="J1553" t="s">
        <v>832</v>
      </c>
      <c r="K1553" t="s">
        <v>87</v>
      </c>
      <c r="L1553" t="s">
        <v>88</v>
      </c>
      <c r="M1553" t="s">
        <v>29</v>
      </c>
      <c r="N1553" t="s">
        <v>53</v>
      </c>
      <c r="O1553" t="s">
        <v>89</v>
      </c>
      <c r="P1553">
        <v>1336.44</v>
      </c>
      <c r="Q1553">
        <v>14</v>
      </c>
      <c r="R1553">
        <v>387.56760000000003</v>
      </c>
      <c r="S1553" t="s">
        <v>72</v>
      </c>
    </row>
    <row r="1554" spans="1:19" x14ac:dyDescent="0.35">
      <c r="A1554" t="s">
        <v>3729</v>
      </c>
      <c r="B1554" s="1">
        <v>43068</v>
      </c>
      <c r="C1554" s="1">
        <v>43072</v>
      </c>
      <c r="D1554" t="s">
        <v>37</v>
      </c>
      <c r="E1554" t="s">
        <v>2339</v>
      </c>
      <c r="F1554" t="s">
        <v>2340</v>
      </c>
      <c r="G1554" t="s">
        <v>23</v>
      </c>
      <c r="H1554" t="s">
        <v>24</v>
      </c>
      <c r="I1554" t="s">
        <v>2260</v>
      </c>
      <c r="J1554" t="s">
        <v>133</v>
      </c>
      <c r="K1554" t="s">
        <v>27</v>
      </c>
      <c r="L1554" t="s">
        <v>33</v>
      </c>
      <c r="M1554" t="s">
        <v>29</v>
      </c>
      <c r="N1554" t="s">
        <v>34</v>
      </c>
      <c r="O1554" t="s">
        <v>35</v>
      </c>
      <c r="P1554">
        <v>390.36799999999999</v>
      </c>
      <c r="Q1554">
        <v>2</v>
      </c>
      <c r="R1554">
        <v>48.795999999999999</v>
      </c>
      <c r="S1554" t="s">
        <v>32</v>
      </c>
    </row>
    <row r="1555" spans="1:19" x14ac:dyDescent="0.35">
      <c r="A1555" t="s">
        <v>3729</v>
      </c>
      <c r="B1555" s="1">
        <v>43068</v>
      </c>
      <c r="C1555" s="1">
        <v>43072</v>
      </c>
      <c r="D1555" t="s">
        <v>37</v>
      </c>
      <c r="E1555" t="s">
        <v>2339</v>
      </c>
      <c r="F1555" t="s">
        <v>2340</v>
      </c>
      <c r="G1555" t="s">
        <v>23</v>
      </c>
      <c r="H1555" t="s">
        <v>24</v>
      </c>
      <c r="I1555" t="s">
        <v>2260</v>
      </c>
      <c r="J1555" t="s">
        <v>133</v>
      </c>
      <c r="K1555" t="s">
        <v>27</v>
      </c>
      <c r="L1555" t="s">
        <v>300</v>
      </c>
      <c r="M1555" t="s">
        <v>29</v>
      </c>
      <c r="N1555" t="s">
        <v>53</v>
      </c>
      <c r="O1555" t="s">
        <v>2577</v>
      </c>
      <c r="P1555">
        <v>101.52</v>
      </c>
      <c r="Q1555">
        <v>5</v>
      </c>
      <c r="R1555">
        <v>19.035</v>
      </c>
      <c r="S1555" t="s">
        <v>32</v>
      </c>
    </row>
    <row r="1556" spans="1:19" x14ac:dyDescent="0.35">
      <c r="A1556" t="s">
        <v>3730</v>
      </c>
      <c r="B1556" s="1">
        <v>42729</v>
      </c>
      <c r="C1556" s="1">
        <v>42734</v>
      </c>
      <c r="D1556" t="s">
        <v>37</v>
      </c>
      <c r="E1556" t="s">
        <v>3185</v>
      </c>
      <c r="F1556" t="s">
        <v>3186</v>
      </c>
      <c r="G1556" t="s">
        <v>84</v>
      </c>
      <c r="H1556" t="s">
        <v>24</v>
      </c>
      <c r="I1556" t="s">
        <v>165</v>
      </c>
      <c r="J1556" t="s">
        <v>114</v>
      </c>
      <c r="K1556" t="s">
        <v>63</v>
      </c>
      <c r="L1556" t="s">
        <v>1238</v>
      </c>
      <c r="M1556" t="s">
        <v>29</v>
      </c>
      <c r="N1556" t="s">
        <v>43</v>
      </c>
      <c r="O1556" t="s">
        <v>1239</v>
      </c>
      <c r="P1556">
        <v>313.17599999999999</v>
      </c>
      <c r="Q1556">
        <v>2</v>
      </c>
      <c r="R1556">
        <v>-120.0508</v>
      </c>
      <c r="S1556" t="s">
        <v>90</v>
      </c>
    </row>
    <row r="1557" spans="1:19" x14ac:dyDescent="0.35">
      <c r="A1557" t="s">
        <v>3730</v>
      </c>
      <c r="B1557" s="1">
        <v>42729</v>
      </c>
      <c r="C1557" s="1">
        <v>42734</v>
      </c>
      <c r="D1557" t="s">
        <v>37</v>
      </c>
      <c r="E1557" t="s">
        <v>3185</v>
      </c>
      <c r="F1557" t="s">
        <v>3186</v>
      </c>
      <c r="G1557" t="s">
        <v>84</v>
      </c>
      <c r="H1557" t="s">
        <v>24</v>
      </c>
      <c r="I1557" t="s">
        <v>165</v>
      </c>
      <c r="J1557" t="s">
        <v>114</v>
      </c>
      <c r="K1557" t="s">
        <v>63</v>
      </c>
      <c r="L1557" t="s">
        <v>786</v>
      </c>
      <c r="M1557" t="s">
        <v>29</v>
      </c>
      <c r="N1557" t="s">
        <v>34</v>
      </c>
      <c r="O1557" t="s">
        <v>787</v>
      </c>
      <c r="P1557">
        <v>866.64599999999996</v>
      </c>
      <c r="Q1557">
        <v>3</v>
      </c>
      <c r="R1557">
        <v>173.32919999999999</v>
      </c>
      <c r="S1557" t="s">
        <v>90</v>
      </c>
    </row>
    <row r="1558" spans="1:19" x14ac:dyDescent="0.35">
      <c r="A1558" t="s">
        <v>3731</v>
      </c>
      <c r="B1558" s="1">
        <v>42621</v>
      </c>
      <c r="C1558" s="1">
        <v>42626</v>
      </c>
      <c r="D1558" t="s">
        <v>37</v>
      </c>
      <c r="E1558" t="s">
        <v>1669</v>
      </c>
      <c r="F1558" t="s">
        <v>1670</v>
      </c>
      <c r="G1558" t="s">
        <v>23</v>
      </c>
      <c r="H1558" t="s">
        <v>24</v>
      </c>
      <c r="I1558" t="s">
        <v>183</v>
      </c>
      <c r="J1558" t="s">
        <v>184</v>
      </c>
      <c r="K1558" t="s">
        <v>51</v>
      </c>
      <c r="L1558" t="s">
        <v>598</v>
      </c>
      <c r="M1558" t="s">
        <v>29</v>
      </c>
      <c r="N1558" t="s">
        <v>53</v>
      </c>
      <c r="O1558" t="s">
        <v>599</v>
      </c>
      <c r="P1558">
        <v>43.13</v>
      </c>
      <c r="Q1558">
        <v>1</v>
      </c>
      <c r="R1558">
        <v>14.664199999999999</v>
      </c>
      <c r="S1558" t="s">
        <v>72</v>
      </c>
    </row>
    <row r="1559" spans="1:19" x14ac:dyDescent="0.35">
      <c r="A1559" t="s">
        <v>3732</v>
      </c>
      <c r="B1559" s="1">
        <v>42138</v>
      </c>
      <c r="C1559" s="1">
        <v>42143</v>
      </c>
      <c r="D1559" t="s">
        <v>37</v>
      </c>
      <c r="E1559" t="s">
        <v>1059</v>
      </c>
      <c r="F1559" t="s">
        <v>1060</v>
      </c>
      <c r="G1559" t="s">
        <v>84</v>
      </c>
      <c r="H1559" t="s">
        <v>24</v>
      </c>
      <c r="I1559" t="s">
        <v>3733</v>
      </c>
      <c r="J1559" t="s">
        <v>50</v>
      </c>
      <c r="K1559" t="s">
        <v>51</v>
      </c>
      <c r="L1559" t="s">
        <v>701</v>
      </c>
      <c r="M1559" t="s">
        <v>29</v>
      </c>
      <c r="N1559" t="s">
        <v>30</v>
      </c>
      <c r="O1559" t="s">
        <v>702</v>
      </c>
      <c r="P1559">
        <v>509.95749999999998</v>
      </c>
      <c r="Q1559">
        <v>5</v>
      </c>
      <c r="R1559">
        <v>41.996499999999997</v>
      </c>
      <c r="S1559" t="s">
        <v>153</v>
      </c>
    </row>
    <row r="1560" spans="1:19" x14ac:dyDescent="0.35">
      <c r="A1560" t="s">
        <v>3732</v>
      </c>
      <c r="B1560" s="1">
        <v>42138</v>
      </c>
      <c r="C1560" s="1">
        <v>42143</v>
      </c>
      <c r="D1560" t="s">
        <v>37</v>
      </c>
      <c r="E1560" t="s">
        <v>1059</v>
      </c>
      <c r="F1560" t="s">
        <v>1060</v>
      </c>
      <c r="G1560" t="s">
        <v>84</v>
      </c>
      <c r="H1560" t="s">
        <v>24</v>
      </c>
      <c r="I1560" t="s">
        <v>3733</v>
      </c>
      <c r="J1560" t="s">
        <v>50</v>
      </c>
      <c r="K1560" t="s">
        <v>51</v>
      </c>
      <c r="L1560" t="s">
        <v>631</v>
      </c>
      <c r="M1560" t="s">
        <v>29</v>
      </c>
      <c r="N1560" t="s">
        <v>53</v>
      </c>
      <c r="O1560" t="s">
        <v>632</v>
      </c>
      <c r="P1560">
        <v>122.91</v>
      </c>
      <c r="Q1560">
        <v>3</v>
      </c>
      <c r="R1560">
        <v>34.4148</v>
      </c>
      <c r="S1560" t="s">
        <v>153</v>
      </c>
    </row>
    <row r="1561" spans="1:19" x14ac:dyDescent="0.35">
      <c r="A1561" t="s">
        <v>3732</v>
      </c>
      <c r="B1561" s="1">
        <v>42138</v>
      </c>
      <c r="C1561" s="1">
        <v>42143</v>
      </c>
      <c r="D1561" t="s">
        <v>37</v>
      </c>
      <c r="E1561" t="s">
        <v>1059</v>
      </c>
      <c r="F1561" t="s">
        <v>1060</v>
      </c>
      <c r="G1561" t="s">
        <v>84</v>
      </c>
      <c r="H1561" t="s">
        <v>24</v>
      </c>
      <c r="I1561" t="s">
        <v>3733</v>
      </c>
      <c r="J1561" t="s">
        <v>50</v>
      </c>
      <c r="K1561" t="s">
        <v>51</v>
      </c>
      <c r="L1561" t="s">
        <v>1647</v>
      </c>
      <c r="M1561" t="s">
        <v>29</v>
      </c>
      <c r="N1561" t="s">
        <v>34</v>
      </c>
      <c r="O1561" t="s">
        <v>1648</v>
      </c>
      <c r="P1561">
        <v>97.567999999999998</v>
      </c>
      <c r="Q1561">
        <v>2</v>
      </c>
      <c r="R1561">
        <v>-6.0979999999999999</v>
      </c>
      <c r="S1561" t="s">
        <v>153</v>
      </c>
    </row>
    <row r="1562" spans="1:19" x14ac:dyDescent="0.35">
      <c r="A1562" t="s">
        <v>3732</v>
      </c>
      <c r="B1562" s="1">
        <v>42138</v>
      </c>
      <c r="C1562" s="1">
        <v>42143</v>
      </c>
      <c r="D1562" t="s">
        <v>37</v>
      </c>
      <c r="E1562" t="s">
        <v>1059</v>
      </c>
      <c r="F1562" t="s">
        <v>1060</v>
      </c>
      <c r="G1562" t="s">
        <v>84</v>
      </c>
      <c r="H1562" t="s">
        <v>24</v>
      </c>
      <c r="I1562" t="s">
        <v>3733</v>
      </c>
      <c r="J1562" t="s">
        <v>50</v>
      </c>
      <c r="K1562" t="s">
        <v>51</v>
      </c>
      <c r="L1562" t="s">
        <v>2325</v>
      </c>
      <c r="M1562" t="s">
        <v>29</v>
      </c>
      <c r="N1562" t="s">
        <v>34</v>
      </c>
      <c r="O1562" t="s">
        <v>2326</v>
      </c>
      <c r="P1562">
        <v>722.35199999999998</v>
      </c>
      <c r="Q1562">
        <v>3</v>
      </c>
      <c r="R1562">
        <v>81.264600000000002</v>
      </c>
      <c r="S1562" t="s">
        <v>153</v>
      </c>
    </row>
    <row r="1563" spans="1:19" x14ac:dyDescent="0.35">
      <c r="A1563" t="s">
        <v>3734</v>
      </c>
      <c r="B1563" s="1">
        <v>42520</v>
      </c>
      <c r="C1563" s="1">
        <v>42527</v>
      </c>
      <c r="D1563" t="s">
        <v>37</v>
      </c>
      <c r="E1563" t="s">
        <v>2299</v>
      </c>
      <c r="F1563" t="s">
        <v>2300</v>
      </c>
      <c r="G1563" t="s">
        <v>84</v>
      </c>
      <c r="H1563" t="s">
        <v>24</v>
      </c>
      <c r="I1563" t="s">
        <v>49</v>
      </c>
      <c r="J1563" t="s">
        <v>50</v>
      </c>
      <c r="K1563" t="s">
        <v>51</v>
      </c>
      <c r="L1563" t="s">
        <v>2272</v>
      </c>
      <c r="M1563" t="s">
        <v>29</v>
      </c>
      <c r="N1563" t="s">
        <v>53</v>
      </c>
      <c r="O1563" t="s">
        <v>2273</v>
      </c>
      <c r="P1563">
        <v>167.84</v>
      </c>
      <c r="Q1563">
        <v>8</v>
      </c>
      <c r="R1563">
        <v>11.748799999999999</v>
      </c>
      <c r="S1563" t="s">
        <v>153</v>
      </c>
    </row>
    <row r="1564" spans="1:19" x14ac:dyDescent="0.35">
      <c r="A1564" t="s">
        <v>3735</v>
      </c>
      <c r="B1564" s="1">
        <v>41737</v>
      </c>
      <c r="C1564" s="1">
        <v>41741</v>
      </c>
      <c r="D1564" t="s">
        <v>37</v>
      </c>
      <c r="E1564" t="s">
        <v>963</v>
      </c>
      <c r="F1564" t="s">
        <v>964</v>
      </c>
      <c r="G1564" t="s">
        <v>23</v>
      </c>
      <c r="H1564" t="s">
        <v>24</v>
      </c>
      <c r="I1564" t="s">
        <v>2522</v>
      </c>
      <c r="J1564" t="s">
        <v>223</v>
      </c>
      <c r="K1564" t="s">
        <v>63</v>
      </c>
      <c r="L1564" t="s">
        <v>2822</v>
      </c>
      <c r="M1564" t="s">
        <v>29</v>
      </c>
      <c r="N1564" t="s">
        <v>43</v>
      </c>
      <c r="O1564" t="s">
        <v>2823</v>
      </c>
      <c r="P1564">
        <v>172.11</v>
      </c>
      <c r="Q1564">
        <v>1</v>
      </c>
      <c r="R1564">
        <v>-94.660499999999999</v>
      </c>
      <c r="S1564" t="s">
        <v>107</v>
      </c>
    </row>
    <row r="1565" spans="1:19" x14ac:dyDescent="0.35">
      <c r="A1565" t="s">
        <v>3736</v>
      </c>
      <c r="B1565" s="1">
        <v>42885</v>
      </c>
      <c r="C1565" s="1">
        <v>42889</v>
      </c>
      <c r="D1565" t="s">
        <v>37</v>
      </c>
      <c r="E1565" t="s">
        <v>2886</v>
      </c>
      <c r="F1565" t="s">
        <v>2887</v>
      </c>
      <c r="G1565" t="s">
        <v>94</v>
      </c>
      <c r="H1565" t="s">
        <v>24</v>
      </c>
      <c r="I1565" t="s">
        <v>3737</v>
      </c>
      <c r="J1565" t="s">
        <v>1508</v>
      </c>
      <c r="K1565" t="s">
        <v>51</v>
      </c>
      <c r="L1565" t="s">
        <v>3536</v>
      </c>
      <c r="M1565" t="s">
        <v>29</v>
      </c>
      <c r="N1565" t="s">
        <v>53</v>
      </c>
      <c r="O1565" t="s">
        <v>3537</v>
      </c>
      <c r="P1565">
        <v>13.592000000000001</v>
      </c>
      <c r="Q1565">
        <v>1</v>
      </c>
      <c r="R1565">
        <v>-0.33979999999999999</v>
      </c>
      <c r="S1565" t="s">
        <v>153</v>
      </c>
    </row>
    <row r="1566" spans="1:19" x14ac:dyDescent="0.35">
      <c r="A1566" t="s">
        <v>3738</v>
      </c>
      <c r="B1566" s="1">
        <v>42442</v>
      </c>
      <c r="C1566" s="1">
        <v>42444</v>
      </c>
      <c r="D1566" t="s">
        <v>20</v>
      </c>
      <c r="E1566" t="s">
        <v>2064</v>
      </c>
      <c r="F1566" t="s">
        <v>2065</v>
      </c>
      <c r="G1566" t="s">
        <v>84</v>
      </c>
      <c r="H1566" t="s">
        <v>24</v>
      </c>
      <c r="I1566" t="s">
        <v>61</v>
      </c>
      <c r="J1566" t="s">
        <v>62</v>
      </c>
      <c r="K1566" t="s">
        <v>63</v>
      </c>
      <c r="L1566" t="s">
        <v>238</v>
      </c>
      <c r="M1566" t="s">
        <v>29</v>
      </c>
      <c r="N1566" t="s">
        <v>34</v>
      </c>
      <c r="O1566" t="s">
        <v>239</v>
      </c>
      <c r="P1566">
        <v>386.68</v>
      </c>
      <c r="Q1566">
        <v>2</v>
      </c>
      <c r="R1566">
        <v>-5.524</v>
      </c>
      <c r="S1566" t="s">
        <v>187</v>
      </c>
    </row>
    <row r="1567" spans="1:19" x14ac:dyDescent="0.35">
      <c r="A1567" t="s">
        <v>3739</v>
      </c>
      <c r="B1567" s="1">
        <v>42835</v>
      </c>
      <c r="C1567" s="1">
        <v>42839</v>
      </c>
      <c r="D1567" t="s">
        <v>37</v>
      </c>
      <c r="E1567" t="s">
        <v>255</v>
      </c>
      <c r="F1567" t="s">
        <v>256</v>
      </c>
      <c r="G1567" t="s">
        <v>23</v>
      </c>
      <c r="H1567" t="s">
        <v>24</v>
      </c>
      <c r="I1567" t="s">
        <v>61</v>
      </c>
      <c r="J1567" t="s">
        <v>62</v>
      </c>
      <c r="K1567" t="s">
        <v>63</v>
      </c>
      <c r="L1567" t="s">
        <v>861</v>
      </c>
      <c r="M1567" t="s">
        <v>29</v>
      </c>
      <c r="N1567" t="s">
        <v>53</v>
      </c>
      <c r="O1567" t="s">
        <v>862</v>
      </c>
      <c r="P1567">
        <v>36.671999999999997</v>
      </c>
      <c r="Q1567">
        <v>3</v>
      </c>
      <c r="R1567">
        <v>6.4176000000000002</v>
      </c>
      <c r="S1567" t="s">
        <v>107</v>
      </c>
    </row>
    <row r="1568" spans="1:19" x14ac:dyDescent="0.35">
      <c r="A1568" t="s">
        <v>3740</v>
      </c>
      <c r="B1568" s="1">
        <v>42546</v>
      </c>
      <c r="C1568" s="1">
        <v>42548</v>
      </c>
      <c r="D1568" t="s">
        <v>20</v>
      </c>
      <c r="E1568" t="s">
        <v>1161</v>
      </c>
      <c r="F1568" t="s">
        <v>1162</v>
      </c>
      <c r="G1568" t="s">
        <v>23</v>
      </c>
      <c r="H1568" t="s">
        <v>24</v>
      </c>
      <c r="I1568" t="s">
        <v>95</v>
      </c>
      <c r="J1568" t="s">
        <v>86</v>
      </c>
      <c r="K1568" t="s">
        <v>87</v>
      </c>
      <c r="L1568" t="s">
        <v>127</v>
      </c>
      <c r="M1568" t="s">
        <v>29</v>
      </c>
      <c r="N1568" t="s">
        <v>34</v>
      </c>
      <c r="O1568" t="s">
        <v>128</v>
      </c>
      <c r="P1568">
        <v>85.245999999999995</v>
      </c>
      <c r="Q1568">
        <v>2</v>
      </c>
      <c r="R1568">
        <v>-6.0890000000000004</v>
      </c>
      <c r="S1568" t="s">
        <v>55</v>
      </c>
    </row>
    <row r="1569" spans="1:19" x14ac:dyDescent="0.35">
      <c r="A1569" t="s">
        <v>3740</v>
      </c>
      <c r="B1569" s="1">
        <v>42546</v>
      </c>
      <c r="C1569" s="1">
        <v>42548</v>
      </c>
      <c r="D1569" t="s">
        <v>20</v>
      </c>
      <c r="E1569" t="s">
        <v>1161</v>
      </c>
      <c r="F1569" t="s">
        <v>1162</v>
      </c>
      <c r="G1569" t="s">
        <v>23</v>
      </c>
      <c r="H1569" t="s">
        <v>24</v>
      </c>
      <c r="I1569" t="s">
        <v>95</v>
      </c>
      <c r="J1569" t="s">
        <v>86</v>
      </c>
      <c r="K1569" t="s">
        <v>87</v>
      </c>
      <c r="L1569" t="s">
        <v>2427</v>
      </c>
      <c r="M1569" t="s">
        <v>29</v>
      </c>
      <c r="N1569" t="s">
        <v>53</v>
      </c>
      <c r="O1569" t="s">
        <v>2428</v>
      </c>
      <c r="P1569">
        <v>32.712000000000003</v>
      </c>
      <c r="Q1569">
        <v>2</v>
      </c>
      <c r="R1569">
        <v>-26.169599999999999</v>
      </c>
      <c r="S1569" t="s">
        <v>55</v>
      </c>
    </row>
    <row r="1570" spans="1:19" x14ac:dyDescent="0.35">
      <c r="A1570" t="s">
        <v>3741</v>
      </c>
      <c r="B1570" s="1">
        <v>42087</v>
      </c>
      <c r="C1570" s="1">
        <v>42090</v>
      </c>
      <c r="D1570" t="s">
        <v>20</v>
      </c>
      <c r="E1570" t="s">
        <v>2049</v>
      </c>
      <c r="F1570" t="s">
        <v>2050</v>
      </c>
      <c r="G1570" t="s">
        <v>84</v>
      </c>
      <c r="H1570" t="s">
        <v>24</v>
      </c>
      <c r="I1570" t="s">
        <v>3742</v>
      </c>
      <c r="J1570" t="s">
        <v>184</v>
      </c>
      <c r="K1570" t="s">
        <v>51</v>
      </c>
      <c r="L1570" t="s">
        <v>2117</v>
      </c>
      <c r="M1570" t="s">
        <v>29</v>
      </c>
      <c r="N1570" t="s">
        <v>53</v>
      </c>
      <c r="O1570" t="s">
        <v>2118</v>
      </c>
      <c r="P1570">
        <v>46.9</v>
      </c>
      <c r="Q1570">
        <v>5</v>
      </c>
      <c r="R1570">
        <v>13.132</v>
      </c>
      <c r="S1570" t="s">
        <v>187</v>
      </c>
    </row>
    <row r="1571" spans="1:19" x14ac:dyDescent="0.35">
      <c r="A1571" t="s">
        <v>3743</v>
      </c>
      <c r="B1571" s="1">
        <v>42980</v>
      </c>
      <c r="C1571" s="1">
        <v>42984</v>
      </c>
      <c r="D1571" t="s">
        <v>37</v>
      </c>
      <c r="E1571" t="s">
        <v>1497</v>
      </c>
      <c r="F1571" t="s">
        <v>1498</v>
      </c>
      <c r="G1571" t="s">
        <v>23</v>
      </c>
      <c r="H1571" t="s">
        <v>24</v>
      </c>
      <c r="I1571" t="s">
        <v>49</v>
      </c>
      <c r="J1571" t="s">
        <v>50</v>
      </c>
      <c r="K1571" t="s">
        <v>51</v>
      </c>
      <c r="L1571" t="s">
        <v>1456</v>
      </c>
      <c r="M1571" t="s">
        <v>29</v>
      </c>
      <c r="N1571" t="s">
        <v>43</v>
      </c>
      <c r="O1571" t="s">
        <v>1457</v>
      </c>
      <c r="P1571">
        <v>236.52799999999999</v>
      </c>
      <c r="Q1571">
        <v>2</v>
      </c>
      <c r="R1571">
        <v>-2.9565999999999999</v>
      </c>
      <c r="S1571" t="s">
        <v>72</v>
      </c>
    </row>
    <row r="1572" spans="1:19" x14ac:dyDescent="0.35">
      <c r="A1572" t="s">
        <v>3744</v>
      </c>
      <c r="B1572" s="1">
        <v>42769</v>
      </c>
      <c r="C1572" s="1">
        <v>42773</v>
      </c>
      <c r="D1572" t="s">
        <v>20</v>
      </c>
      <c r="E1572" t="s">
        <v>2480</v>
      </c>
      <c r="F1572" t="s">
        <v>2481</v>
      </c>
      <c r="G1572" t="s">
        <v>94</v>
      </c>
      <c r="H1572" t="s">
        <v>24</v>
      </c>
      <c r="I1572" t="s">
        <v>125</v>
      </c>
      <c r="J1572" t="s">
        <v>126</v>
      </c>
      <c r="K1572" t="s">
        <v>87</v>
      </c>
      <c r="L1572" t="s">
        <v>1775</v>
      </c>
      <c r="M1572" t="s">
        <v>29</v>
      </c>
      <c r="N1572" t="s">
        <v>53</v>
      </c>
      <c r="O1572" t="s">
        <v>1776</v>
      </c>
      <c r="P1572">
        <v>22.2</v>
      </c>
      <c r="Q1572">
        <v>1</v>
      </c>
      <c r="R1572">
        <v>-26.085000000000001</v>
      </c>
      <c r="S1572" t="s">
        <v>289</v>
      </c>
    </row>
    <row r="1573" spans="1:19" x14ac:dyDescent="0.35">
      <c r="A1573" t="s">
        <v>3745</v>
      </c>
      <c r="B1573" s="1">
        <v>43050</v>
      </c>
      <c r="C1573" s="1">
        <v>43053</v>
      </c>
      <c r="D1573" t="s">
        <v>81</v>
      </c>
      <c r="E1573" t="s">
        <v>2098</v>
      </c>
      <c r="F1573" t="s">
        <v>2099</v>
      </c>
      <c r="G1573" t="s">
        <v>23</v>
      </c>
      <c r="H1573" t="s">
        <v>24</v>
      </c>
      <c r="I1573" t="s">
        <v>3115</v>
      </c>
      <c r="J1573" t="s">
        <v>133</v>
      </c>
      <c r="K1573" t="s">
        <v>27</v>
      </c>
      <c r="L1573" t="s">
        <v>821</v>
      </c>
      <c r="M1573" t="s">
        <v>29</v>
      </c>
      <c r="N1573" t="s">
        <v>53</v>
      </c>
      <c r="O1573" t="s">
        <v>822</v>
      </c>
      <c r="P1573">
        <v>88.92</v>
      </c>
      <c r="Q1573">
        <v>5</v>
      </c>
      <c r="R1573">
        <v>14.4495</v>
      </c>
      <c r="S1573" t="s">
        <v>32</v>
      </c>
    </row>
    <row r="1574" spans="1:19" x14ac:dyDescent="0.35">
      <c r="A1574" t="s">
        <v>3746</v>
      </c>
      <c r="B1574" s="1">
        <v>42995</v>
      </c>
      <c r="C1574" s="1">
        <v>43000</v>
      </c>
      <c r="D1574" t="s">
        <v>20</v>
      </c>
      <c r="E1574" t="s">
        <v>1773</v>
      </c>
      <c r="F1574" t="s">
        <v>1774</v>
      </c>
      <c r="G1574" t="s">
        <v>94</v>
      </c>
      <c r="H1574" t="s">
        <v>24</v>
      </c>
      <c r="I1574" t="s">
        <v>95</v>
      </c>
      <c r="J1574" t="s">
        <v>86</v>
      </c>
      <c r="K1574" t="s">
        <v>87</v>
      </c>
      <c r="L1574" t="s">
        <v>1608</v>
      </c>
      <c r="M1574" t="s">
        <v>29</v>
      </c>
      <c r="N1574" t="s">
        <v>34</v>
      </c>
      <c r="O1574" t="s">
        <v>1609</v>
      </c>
      <c r="P1574">
        <v>318.43</v>
      </c>
      <c r="Q1574">
        <v>5</v>
      </c>
      <c r="R1574">
        <v>-77.332999999999998</v>
      </c>
      <c r="S1574" t="s">
        <v>72</v>
      </c>
    </row>
    <row r="1575" spans="1:19" x14ac:dyDescent="0.35">
      <c r="A1575" t="s">
        <v>3747</v>
      </c>
      <c r="B1575" s="1">
        <v>42110</v>
      </c>
      <c r="C1575" s="1">
        <v>42112</v>
      </c>
      <c r="D1575" t="s">
        <v>81</v>
      </c>
      <c r="E1575" t="s">
        <v>883</v>
      </c>
      <c r="F1575" t="s">
        <v>884</v>
      </c>
      <c r="G1575" t="s">
        <v>23</v>
      </c>
      <c r="H1575" t="s">
        <v>24</v>
      </c>
      <c r="I1575" t="s">
        <v>706</v>
      </c>
      <c r="J1575" t="s">
        <v>707</v>
      </c>
      <c r="K1575" t="s">
        <v>27</v>
      </c>
      <c r="L1575" t="s">
        <v>1822</v>
      </c>
      <c r="M1575" t="s">
        <v>29</v>
      </c>
      <c r="N1575" t="s">
        <v>53</v>
      </c>
      <c r="O1575" t="s">
        <v>1823</v>
      </c>
      <c r="P1575">
        <v>1196.8599999999999</v>
      </c>
      <c r="Q1575">
        <v>7</v>
      </c>
      <c r="R1575">
        <v>119.68600000000001</v>
      </c>
      <c r="S1575" t="s">
        <v>107</v>
      </c>
    </row>
    <row r="1576" spans="1:19" x14ac:dyDescent="0.35">
      <c r="A1576" t="s">
        <v>3747</v>
      </c>
      <c r="B1576" s="1">
        <v>42110</v>
      </c>
      <c r="C1576" s="1">
        <v>42112</v>
      </c>
      <c r="D1576" t="s">
        <v>81</v>
      </c>
      <c r="E1576" t="s">
        <v>883</v>
      </c>
      <c r="F1576" t="s">
        <v>884</v>
      </c>
      <c r="G1576" t="s">
        <v>23</v>
      </c>
      <c r="H1576" t="s">
        <v>24</v>
      </c>
      <c r="I1576" t="s">
        <v>706</v>
      </c>
      <c r="J1576" t="s">
        <v>707</v>
      </c>
      <c r="K1576" t="s">
        <v>27</v>
      </c>
      <c r="L1576" t="s">
        <v>851</v>
      </c>
      <c r="M1576" t="s">
        <v>29</v>
      </c>
      <c r="N1576" t="s">
        <v>30</v>
      </c>
      <c r="O1576" t="s">
        <v>852</v>
      </c>
      <c r="P1576">
        <v>523.26</v>
      </c>
      <c r="Q1576">
        <v>9</v>
      </c>
      <c r="R1576">
        <v>125.58240000000001</v>
      </c>
      <c r="S1576" t="s">
        <v>107</v>
      </c>
    </row>
    <row r="1577" spans="1:19" x14ac:dyDescent="0.35">
      <c r="A1577" t="s">
        <v>3748</v>
      </c>
      <c r="B1577" s="1">
        <v>43050</v>
      </c>
      <c r="C1577" s="1">
        <v>43054</v>
      </c>
      <c r="D1577" t="s">
        <v>20</v>
      </c>
      <c r="E1577" t="s">
        <v>3372</v>
      </c>
      <c r="F1577" t="s">
        <v>3373</v>
      </c>
      <c r="G1577" t="s">
        <v>94</v>
      </c>
      <c r="H1577" t="s">
        <v>24</v>
      </c>
      <c r="I1577" t="s">
        <v>49</v>
      </c>
      <c r="J1577" t="s">
        <v>50</v>
      </c>
      <c r="K1577" t="s">
        <v>51</v>
      </c>
      <c r="L1577" t="s">
        <v>886</v>
      </c>
      <c r="M1577" t="s">
        <v>29</v>
      </c>
      <c r="N1577" t="s">
        <v>53</v>
      </c>
      <c r="O1577" t="s">
        <v>887</v>
      </c>
      <c r="P1577">
        <v>34.92</v>
      </c>
      <c r="Q1577">
        <v>4</v>
      </c>
      <c r="R1577">
        <v>11.8728</v>
      </c>
      <c r="S1577" t="s">
        <v>32</v>
      </c>
    </row>
    <row r="1578" spans="1:19" x14ac:dyDescent="0.35">
      <c r="A1578" t="s">
        <v>3749</v>
      </c>
      <c r="B1578" s="1">
        <v>41897</v>
      </c>
      <c r="C1578" s="1">
        <v>41902</v>
      </c>
      <c r="D1578" t="s">
        <v>37</v>
      </c>
      <c r="E1578" t="s">
        <v>3750</v>
      </c>
      <c r="F1578" t="s">
        <v>3751</v>
      </c>
      <c r="G1578" t="s">
        <v>23</v>
      </c>
      <c r="H1578" t="s">
        <v>24</v>
      </c>
      <c r="I1578" t="s">
        <v>165</v>
      </c>
      <c r="J1578" t="s">
        <v>114</v>
      </c>
      <c r="K1578" t="s">
        <v>63</v>
      </c>
      <c r="L1578" t="s">
        <v>1339</v>
      </c>
      <c r="M1578" t="s">
        <v>29</v>
      </c>
      <c r="N1578" t="s">
        <v>53</v>
      </c>
      <c r="O1578" t="s">
        <v>1340</v>
      </c>
      <c r="P1578">
        <v>14.56</v>
      </c>
      <c r="Q1578">
        <v>2</v>
      </c>
      <c r="R1578">
        <v>6.2607999999999997</v>
      </c>
      <c r="S1578" t="s">
        <v>72</v>
      </c>
    </row>
    <row r="1579" spans="1:19" x14ac:dyDescent="0.35">
      <c r="A1579" t="s">
        <v>3752</v>
      </c>
      <c r="B1579" s="1">
        <v>41645</v>
      </c>
      <c r="C1579" s="1">
        <v>41649</v>
      </c>
      <c r="D1579" t="s">
        <v>37</v>
      </c>
      <c r="E1579" t="s">
        <v>1273</v>
      </c>
      <c r="F1579" t="s">
        <v>1274</v>
      </c>
      <c r="G1579" t="s">
        <v>94</v>
      </c>
      <c r="H1579" t="s">
        <v>24</v>
      </c>
      <c r="I1579" t="s">
        <v>25</v>
      </c>
      <c r="J1579" t="s">
        <v>26</v>
      </c>
      <c r="K1579" t="s">
        <v>27</v>
      </c>
      <c r="L1579" t="s">
        <v>198</v>
      </c>
      <c r="M1579" t="s">
        <v>29</v>
      </c>
      <c r="N1579" t="s">
        <v>34</v>
      </c>
      <c r="O1579" t="s">
        <v>199</v>
      </c>
      <c r="P1579">
        <v>2573.8200000000002</v>
      </c>
      <c r="Q1579">
        <v>9</v>
      </c>
      <c r="R1579">
        <v>746.40779999999995</v>
      </c>
      <c r="S1579" t="s">
        <v>161</v>
      </c>
    </row>
    <row r="1580" spans="1:19" x14ac:dyDescent="0.35">
      <c r="A1580" t="s">
        <v>3753</v>
      </c>
      <c r="B1580" s="1">
        <v>41988</v>
      </c>
      <c r="C1580" s="1">
        <v>41990</v>
      </c>
      <c r="D1580" t="s">
        <v>20</v>
      </c>
      <c r="E1580" t="s">
        <v>494</v>
      </c>
      <c r="F1580" t="s">
        <v>495</v>
      </c>
      <c r="G1580" t="s">
        <v>84</v>
      </c>
      <c r="H1580" t="s">
        <v>24</v>
      </c>
      <c r="I1580" t="s">
        <v>61</v>
      </c>
      <c r="J1580" t="s">
        <v>62</v>
      </c>
      <c r="K1580" t="s">
        <v>63</v>
      </c>
      <c r="L1580" t="s">
        <v>1608</v>
      </c>
      <c r="M1580" t="s">
        <v>29</v>
      </c>
      <c r="N1580" t="s">
        <v>34</v>
      </c>
      <c r="O1580" t="s">
        <v>1609</v>
      </c>
      <c r="P1580">
        <v>445.80200000000002</v>
      </c>
      <c r="Q1580">
        <v>7</v>
      </c>
      <c r="R1580">
        <v>-108.2662</v>
      </c>
      <c r="S1580" t="s">
        <v>90</v>
      </c>
    </row>
    <row r="1581" spans="1:19" x14ac:dyDescent="0.35">
      <c r="A1581" t="s">
        <v>3754</v>
      </c>
      <c r="B1581" s="1">
        <v>42357</v>
      </c>
      <c r="C1581" s="1">
        <v>42362</v>
      </c>
      <c r="D1581" t="s">
        <v>20</v>
      </c>
      <c r="E1581" t="s">
        <v>880</v>
      </c>
      <c r="F1581" t="s">
        <v>881</v>
      </c>
      <c r="G1581" t="s">
        <v>94</v>
      </c>
      <c r="H1581" t="s">
        <v>24</v>
      </c>
      <c r="I1581" t="s">
        <v>732</v>
      </c>
      <c r="J1581" t="s">
        <v>875</v>
      </c>
      <c r="K1581" t="s">
        <v>63</v>
      </c>
      <c r="L1581" t="s">
        <v>298</v>
      </c>
      <c r="M1581" t="s">
        <v>29</v>
      </c>
      <c r="N1581" t="s">
        <v>43</v>
      </c>
      <c r="O1581" t="s">
        <v>299</v>
      </c>
      <c r="P1581">
        <v>1053.164</v>
      </c>
      <c r="Q1581">
        <v>4</v>
      </c>
      <c r="R1581">
        <v>-105.3164</v>
      </c>
      <c r="S1581" t="s">
        <v>90</v>
      </c>
    </row>
    <row r="1582" spans="1:19" x14ac:dyDescent="0.35">
      <c r="A1582" t="s">
        <v>3755</v>
      </c>
      <c r="B1582" s="1">
        <v>42257</v>
      </c>
      <c r="C1582" s="1">
        <v>42263</v>
      </c>
      <c r="D1582" t="s">
        <v>37</v>
      </c>
      <c r="E1582" t="s">
        <v>1526</v>
      </c>
      <c r="F1582" t="s">
        <v>1527</v>
      </c>
      <c r="G1582" t="s">
        <v>84</v>
      </c>
      <c r="H1582" t="s">
        <v>24</v>
      </c>
      <c r="I1582" t="s">
        <v>49</v>
      </c>
      <c r="J1582" t="s">
        <v>50</v>
      </c>
      <c r="K1582" t="s">
        <v>51</v>
      </c>
      <c r="L1582" t="s">
        <v>159</v>
      </c>
      <c r="M1582" t="s">
        <v>29</v>
      </c>
      <c r="N1582" t="s">
        <v>53</v>
      </c>
      <c r="O1582" t="s">
        <v>160</v>
      </c>
      <c r="P1582">
        <v>106.68</v>
      </c>
      <c r="Q1582">
        <v>6</v>
      </c>
      <c r="R1582">
        <v>33.070799999999998</v>
      </c>
      <c r="S1582" t="s">
        <v>72</v>
      </c>
    </row>
    <row r="1583" spans="1:19" x14ac:dyDescent="0.35">
      <c r="A1583" t="s">
        <v>3756</v>
      </c>
      <c r="B1583" s="1">
        <v>42989</v>
      </c>
      <c r="C1583" s="1">
        <v>42994</v>
      </c>
      <c r="D1583" t="s">
        <v>37</v>
      </c>
      <c r="E1583" t="s">
        <v>3757</v>
      </c>
      <c r="F1583" t="s">
        <v>3758</v>
      </c>
      <c r="G1583" t="s">
        <v>23</v>
      </c>
      <c r="H1583" t="s">
        <v>24</v>
      </c>
      <c r="I1583" t="s">
        <v>95</v>
      </c>
      <c r="J1583" t="s">
        <v>86</v>
      </c>
      <c r="K1583" t="s">
        <v>87</v>
      </c>
      <c r="L1583" t="s">
        <v>1618</v>
      </c>
      <c r="M1583" t="s">
        <v>29</v>
      </c>
      <c r="N1583" t="s">
        <v>43</v>
      </c>
      <c r="O1583" t="s">
        <v>1619</v>
      </c>
      <c r="P1583">
        <v>512.19000000000005</v>
      </c>
      <c r="Q1583">
        <v>5</v>
      </c>
      <c r="R1583">
        <v>-65.852999999999994</v>
      </c>
      <c r="S1583" t="s">
        <v>72</v>
      </c>
    </row>
    <row r="1584" spans="1:19" x14ac:dyDescent="0.35">
      <c r="A1584" t="s">
        <v>3759</v>
      </c>
      <c r="B1584" s="1">
        <v>42930</v>
      </c>
      <c r="C1584" s="1">
        <v>42934</v>
      </c>
      <c r="D1584" t="s">
        <v>37</v>
      </c>
      <c r="E1584" t="s">
        <v>3760</v>
      </c>
      <c r="F1584" t="s">
        <v>3761</v>
      </c>
      <c r="G1584" t="s">
        <v>23</v>
      </c>
      <c r="H1584" t="s">
        <v>24</v>
      </c>
      <c r="I1584" t="s">
        <v>3762</v>
      </c>
      <c r="J1584" t="s">
        <v>50</v>
      </c>
      <c r="K1584" t="s">
        <v>51</v>
      </c>
      <c r="L1584" t="s">
        <v>911</v>
      </c>
      <c r="M1584" t="s">
        <v>29</v>
      </c>
      <c r="N1584" t="s">
        <v>53</v>
      </c>
      <c r="O1584" t="s">
        <v>912</v>
      </c>
      <c r="P1584">
        <v>276.69</v>
      </c>
      <c r="Q1584">
        <v>3</v>
      </c>
      <c r="R1584">
        <v>49.804200000000002</v>
      </c>
      <c r="S1584" t="s">
        <v>66</v>
      </c>
    </row>
    <row r="1585" spans="1:19" x14ac:dyDescent="0.35">
      <c r="A1585" t="s">
        <v>3759</v>
      </c>
      <c r="B1585" s="1">
        <v>42930</v>
      </c>
      <c r="C1585" s="1">
        <v>42934</v>
      </c>
      <c r="D1585" t="s">
        <v>37</v>
      </c>
      <c r="E1585" t="s">
        <v>3760</v>
      </c>
      <c r="F1585" t="s">
        <v>3761</v>
      </c>
      <c r="G1585" t="s">
        <v>23</v>
      </c>
      <c r="H1585" t="s">
        <v>24</v>
      </c>
      <c r="I1585" t="s">
        <v>3762</v>
      </c>
      <c r="J1585" t="s">
        <v>50</v>
      </c>
      <c r="K1585" t="s">
        <v>51</v>
      </c>
      <c r="L1585" t="s">
        <v>263</v>
      </c>
      <c r="M1585" t="s">
        <v>29</v>
      </c>
      <c r="N1585" t="s">
        <v>53</v>
      </c>
      <c r="O1585" t="s">
        <v>264</v>
      </c>
      <c r="P1585">
        <v>18.84</v>
      </c>
      <c r="Q1585">
        <v>3</v>
      </c>
      <c r="R1585">
        <v>7.9127999999999998</v>
      </c>
      <c r="S1585" t="s">
        <v>66</v>
      </c>
    </row>
    <row r="1586" spans="1:19" x14ac:dyDescent="0.35">
      <c r="A1586" t="s">
        <v>3763</v>
      </c>
      <c r="B1586" s="1">
        <v>42930</v>
      </c>
      <c r="C1586" s="1">
        <v>42934</v>
      </c>
      <c r="D1586" t="s">
        <v>37</v>
      </c>
      <c r="E1586" t="s">
        <v>2799</v>
      </c>
      <c r="F1586" t="s">
        <v>2800</v>
      </c>
      <c r="G1586" t="s">
        <v>23</v>
      </c>
      <c r="H1586" t="s">
        <v>24</v>
      </c>
      <c r="I1586" t="s">
        <v>339</v>
      </c>
      <c r="J1586" t="s">
        <v>223</v>
      </c>
      <c r="K1586" t="s">
        <v>63</v>
      </c>
      <c r="L1586" t="s">
        <v>1391</v>
      </c>
      <c r="M1586" t="s">
        <v>29</v>
      </c>
      <c r="N1586" t="s">
        <v>53</v>
      </c>
      <c r="O1586" t="s">
        <v>1392</v>
      </c>
      <c r="P1586">
        <v>396.92</v>
      </c>
      <c r="Q1586">
        <v>5</v>
      </c>
      <c r="R1586">
        <v>148.845</v>
      </c>
      <c r="S1586" t="s">
        <v>66</v>
      </c>
    </row>
    <row r="1587" spans="1:19" x14ac:dyDescent="0.35">
      <c r="A1587" t="s">
        <v>3764</v>
      </c>
      <c r="B1587" s="1">
        <v>42618</v>
      </c>
      <c r="C1587" s="1">
        <v>42624</v>
      </c>
      <c r="D1587" t="s">
        <v>37</v>
      </c>
      <c r="E1587" t="s">
        <v>1374</v>
      </c>
      <c r="F1587" t="s">
        <v>1375</v>
      </c>
      <c r="G1587" t="s">
        <v>23</v>
      </c>
      <c r="H1587" t="s">
        <v>24</v>
      </c>
      <c r="I1587" t="s">
        <v>806</v>
      </c>
      <c r="J1587" t="s">
        <v>223</v>
      </c>
      <c r="K1587" t="s">
        <v>63</v>
      </c>
      <c r="L1587" t="s">
        <v>290</v>
      </c>
      <c r="M1587" t="s">
        <v>29</v>
      </c>
      <c r="N1587" t="s">
        <v>34</v>
      </c>
      <c r="O1587" t="s">
        <v>291</v>
      </c>
      <c r="P1587">
        <v>85.245999999999995</v>
      </c>
      <c r="Q1587">
        <v>2</v>
      </c>
      <c r="R1587">
        <v>-1.2178</v>
      </c>
      <c r="S1587" t="s">
        <v>72</v>
      </c>
    </row>
    <row r="1588" spans="1:19" x14ac:dyDescent="0.35">
      <c r="A1588" t="s">
        <v>3765</v>
      </c>
      <c r="B1588" s="1">
        <v>41892</v>
      </c>
      <c r="C1588" s="1">
        <v>41898</v>
      </c>
      <c r="D1588" t="s">
        <v>37</v>
      </c>
      <c r="E1588" t="s">
        <v>2217</v>
      </c>
      <c r="F1588" t="s">
        <v>2218</v>
      </c>
      <c r="G1588" t="s">
        <v>23</v>
      </c>
      <c r="H1588" t="s">
        <v>24</v>
      </c>
      <c r="I1588" t="s">
        <v>2250</v>
      </c>
      <c r="J1588" t="s">
        <v>1508</v>
      </c>
      <c r="K1588" t="s">
        <v>51</v>
      </c>
      <c r="L1588" t="s">
        <v>1086</v>
      </c>
      <c r="M1588" t="s">
        <v>29</v>
      </c>
      <c r="N1588" t="s">
        <v>34</v>
      </c>
      <c r="O1588" t="s">
        <v>1087</v>
      </c>
      <c r="P1588">
        <v>1487.04</v>
      </c>
      <c r="Q1588">
        <v>5</v>
      </c>
      <c r="R1588">
        <v>148.70400000000001</v>
      </c>
      <c r="S1588" t="s">
        <v>72</v>
      </c>
    </row>
    <row r="1589" spans="1:19" x14ac:dyDescent="0.35">
      <c r="A1589" t="s">
        <v>3766</v>
      </c>
      <c r="B1589" s="1">
        <v>43004</v>
      </c>
      <c r="C1589" s="1">
        <v>43004</v>
      </c>
      <c r="D1589" t="s">
        <v>417</v>
      </c>
      <c r="E1589" t="s">
        <v>3313</v>
      </c>
      <c r="F1589" t="s">
        <v>3314</v>
      </c>
      <c r="G1589" t="s">
        <v>84</v>
      </c>
      <c r="H1589" t="s">
        <v>24</v>
      </c>
      <c r="I1589" t="s">
        <v>320</v>
      </c>
      <c r="J1589" t="s">
        <v>50</v>
      </c>
      <c r="K1589" t="s">
        <v>51</v>
      </c>
      <c r="L1589" t="s">
        <v>2002</v>
      </c>
      <c r="M1589" t="s">
        <v>29</v>
      </c>
      <c r="N1589" t="s">
        <v>53</v>
      </c>
      <c r="O1589" t="s">
        <v>2003</v>
      </c>
      <c r="P1589">
        <v>9.24</v>
      </c>
      <c r="Q1589">
        <v>3</v>
      </c>
      <c r="R1589">
        <v>2.9567999999999999</v>
      </c>
      <c r="S1589" t="s">
        <v>72</v>
      </c>
    </row>
    <row r="1590" spans="1:19" x14ac:dyDescent="0.35">
      <c r="A1590" t="s">
        <v>3767</v>
      </c>
      <c r="B1590" s="1">
        <v>42538</v>
      </c>
      <c r="C1590" s="1">
        <v>42540</v>
      </c>
      <c r="D1590" t="s">
        <v>81</v>
      </c>
      <c r="E1590" t="s">
        <v>213</v>
      </c>
      <c r="F1590" t="s">
        <v>214</v>
      </c>
      <c r="G1590" t="s">
        <v>23</v>
      </c>
      <c r="H1590" t="s">
        <v>24</v>
      </c>
      <c r="I1590" t="s">
        <v>3768</v>
      </c>
      <c r="J1590" t="s">
        <v>172</v>
      </c>
      <c r="K1590" t="s">
        <v>51</v>
      </c>
      <c r="L1590" t="s">
        <v>1844</v>
      </c>
      <c r="M1590" t="s">
        <v>29</v>
      </c>
      <c r="N1590" t="s">
        <v>53</v>
      </c>
      <c r="O1590" t="s">
        <v>1845</v>
      </c>
      <c r="P1590">
        <v>266.35199999999998</v>
      </c>
      <c r="Q1590">
        <v>3</v>
      </c>
      <c r="R1590">
        <v>-13.317600000000001</v>
      </c>
      <c r="S1590" t="s">
        <v>55</v>
      </c>
    </row>
    <row r="1591" spans="1:19" x14ac:dyDescent="0.35">
      <c r="A1591" t="s">
        <v>3767</v>
      </c>
      <c r="B1591" s="1">
        <v>42538</v>
      </c>
      <c r="C1591" s="1">
        <v>42540</v>
      </c>
      <c r="D1591" t="s">
        <v>81</v>
      </c>
      <c r="E1591" t="s">
        <v>213</v>
      </c>
      <c r="F1591" t="s">
        <v>214</v>
      </c>
      <c r="G1591" t="s">
        <v>23</v>
      </c>
      <c r="H1591" t="s">
        <v>24</v>
      </c>
      <c r="I1591" t="s">
        <v>3768</v>
      </c>
      <c r="J1591" t="s">
        <v>172</v>
      </c>
      <c r="K1591" t="s">
        <v>51</v>
      </c>
      <c r="L1591" t="s">
        <v>647</v>
      </c>
      <c r="M1591" t="s">
        <v>29</v>
      </c>
      <c r="N1591" t="s">
        <v>34</v>
      </c>
      <c r="O1591" t="s">
        <v>648</v>
      </c>
      <c r="P1591">
        <v>483.13600000000002</v>
      </c>
      <c r="Q1591">
        <v>4</v>
      </c>
      <c r="R1591">
        <v>54.352800000000002</v>
      </c>
      <c r="S1591" t="s">
        <v>55</v>
      </c>
    </row>
    <row r="1592" spans="1:19" x14ac:dyDescent="0.35">
      <c r="A1592" t="s">
        <v>3769</v>
      </c>
      <c r="B1592" s="1">
        <v>42791</v>
      </c>
      <c r="C1592" s="1">
        <v>42795</v>
      </c>
      <c r="D1592" t="s">
        <v>37</v>
      </c>
      <c r="E1592" t="s">
        <v>3339</v>
      </c>
      <c r="F1592" t="s">
        <v>3340</v>
      </c>
      <c r="G1592" t="s">
        <v>23</v>
      </c>
      <c r="H1592" t="s">
        <v>24</v>
      </c>
      <c r="I1592" t="s">
        <v>3770</v>
      </c>
      <c r="J1592" t="s">
        <v>1027</v>
      </c>
      <c r="K1592" t="s">
        <v>27</v>
      </c>
      <c r="L1592" t="s">
        <v>1019</v>
      </c>
      <c r="M1592" t="s">
        <v>29</v>
      </c>
      <c r="N1592" t="s">
        <v>34</v>
      </c>
      <c r="O1592" t="s">
        <v>1020</v>
      </c>
      <c r="P1592">
        <v>196.78399999999999</v>
      </c>
      <c r="Q1592">
        <v>2</v>
      </c>
      <c r="R1592">
        <v>-22.138200000000001</v>
      </c>
      <c r="S1592" t="s">
        <v>289</v>
      </c>
    </row>
    <row r="1593" spans="1:19" x14ac:dyDescent="0.35">
      <c r="A1593" t="s">
        <v>3769</v>
      </c>
      <c r="B1593" s="1">
        <v>42791</v>
      </c>
      <c r="C1593" s="1">
        <v>42795</v>
      </c>
      <c r="D1593" t="s">
        <v>37</v>
      </c>
      <c r="E1593" t="s">
        <v>3339</v>
      </c>
      <c r="F1593" t="s">
        <v>3340</v>
      </c>
      <c r="G1593" t="s">
        <v>23</v>
      </c>
      <c r="H1593" t="s">
        <v>24</v>
      </c>
      <c r="I1593" t="s">
        <v>3770</v>
      </c>
      <c r="J1593" t="s">
        <v>1027</v>
      </c>
      <c r="K1593" t="s">
        <v>27</v>
      </c>
      <c r="L1593" t="s">
        <v>340</v>
      </c>
      <c r="M1593" t="s">
        <v>29</v>
      </c>
      <c r="N1593" t="s">
        <v>30</v>
      </c>
      <c r="O1593" t="s">
        <v>341</v>
      </c>
      <c r="P1593">
        <v>231.92</v>
      </c>
      <c r="Q1593">
        <v>5</v>
      </c>
      <c r="R1593">
        <v>5.798</v>
      </c>
      <c r="S1593" t="s">
        <v>289</v>
      </c>
    </row>
    <row r="1594" spans="1:19" x14ac:dyDescent="0.35">
      <c r="A1594" t="s">
        <v>3771</v>
      </c>
      <c r="B1594" s="1">
        <v>43072</v>
      </c>
      <c r="C1594" s="1">
        <v>43077</v>
      </c>
      <c r="D1594" t="s">
        <v>37</v>
      </c>
      <c r="E1594" t="s">
        <v>1782</v>
      </c>
      <c r="F1594" t="s">
        <v>1783</v>
      </c>
      <c r="G1594" t="s">
        <v>23</v>
      </c>
      <c r="H1594" t="s">
        <v>24</v>
      </c>
      <c r="I1594" t="s">
        <v>95</v>
      </c>
      <c r="J1594" t="s">
        <v>86</v>
      </c>
      <c r="K1594" t="s">
        <v>87</v>
      </c>
      <c r="L1594" t="s">
        <v>3536</v>
      </c>
      <c r="M1594" t="s">
        <v>29</v>
      </c>
      <c r="N1594" t="s">
        <v>53</v>
      </c>
      <c r="O1594" t="s">
        <v>3537</v>
      </c>
      <c r="P1594">
        <v>13.592000000000001</v>
      </c>
      <c r="Q1594">
        <v>2</v>
      </c>
      <c r="R1594">
        <v>-14.271599999999999</v>
      </c>
      <c r="S1594" t="s">
        <v>90</v>
      </c>
    </row>
    <row r="1595" spans="1:19" x14ac:dyDescent="0.35">
      <c r="A1595" t="s">
        <v>3772</v>
      </c>
      <c r="B1595" s="1">
        <v>43071</v>
      </c>
      <c r="C1595" s="1">
        <v>43075</v>
      </c>
      <c r="D1595" t="s">
        <v>37</v>
      </c>
      <c r="E1595" t="s">
        <v>3773</v>
      </c>
      <c r="F1595" t="s">
        <v>3774</v>
      </c>
      <c r="G1595" t="s">
        <v>84</v>
      </c>
      <c r="H1595" t="s">
        <v>24</v>
      </c>
      <c r="I1595" t="s">
        <v>257</v>
      </c>
      <c r="J1595" t="s">
        <v>172</v>
      </c>
      <c r="K1595" t="s">
        <v>51</v>
      </c>
      <c r="L1595" t="s">
        <v>2806</v>
      </c>
      <c r="M1595" t="s">
        <v>29</v>
      </c>
      <c r="N1595" t="s">
        <v>30</v>
      </c>
      <c r="O1595" t="s">
        <v>2807</v>
      </c>
      <c r="P1595">
        <v>242.352</v>
      </c>
      <c r="Q1595">
        <v>8</v>
      </c>
      <c r="R1595">
        <v>-363.52800000000002</v>
      </c>
      <c r="S1595" t="s">
        <v>90</v>
      </c>
    </row>
    <row r="1596" spans="1:19" x14ac:dyDescent="0.35">
      <c r="A1596" t="s">
        <v>3772</v>
      </c>
      <c r="B1596" s="1">
        <v>43071</v>
      </c>
      <c r="C1596" s="1">
        <v>43075</v>
      </c>
      <c r="D1596" t="s">
        <v>37</v>
      </c>
      <c r="E1596" t="s">
        <v>3773</v>
      </c>
      <c r="F1596" t="s">
        <v>3774</v>
      </c>
      <c r="G1596" t="s">
        <v>84</v>
      </c>
      <c r="H1596" t="s">
        <v>24</v>
      </c>
      <c r="I1596" t="s">
        <v>257</v>
      </c>
      <c r="J1596" t="s">
        <v>172</v>
      </c>
      <c r="K1596" t="s">
        <v>51</v>
      </c>
      <c r="L1596" t="s">
        <v>1382</v>
      </c>
      <c r="M1596" t="s">
        <v>29</v>
      </c>
      <c r="N1596" t="s">
        <v>53</v>
      </c>
      <c r="O1596" t="s">
        <v>1383</v>
      </c>
      <c r="P1596">
        <v>508.70400000000001</v>
      </c>
      <c r="Q1596">
        <v>6</v>
      </c>
      <c r="R1596">
        <v>0</v>
      </c>
      <c r="S1596" t="s">
        <v>90</v>
      </c>
    </row>
    <row r="1597" spans="1:19" x14ac:dyDescent="0.35">
      <c r="A1597" t="s">
        <v>3772</v>
      </c>
      <c r="B1597" s="1">
        <v>43071</v>
      </c>
      <c r="C1597" s="1">
        <v>43075</v>
      </c>
      <c r="D1597" t="s">
        <v>37</v>
      </c>
      <c r="E1597" t="s">
        <v>3773</v>
      </c>
      <c r="F1597" t="s">
        <v>3774</v>
      </c>
      <c r="G1597" t="s">
        <v>84</v>
      </c>
      <c r="H1597" t="s">
        <v>24</v>
      </c>
      <c r="I1597" t="s">
        <v>257</v>
      </c>
      <c r="J1597" t="s">
        <v>172</v>
      </c>
      <c r="K1597" t="s">
        <v>51</v>
      </c>
      <c r="L1597" t="s">
        <v>796</v>
      </c>
      <c r="M1597" t="s">
        <v>29</v>
      </c>
      <c r="N1597" t="s">
        <v>34</v>
      </c>
      <c r="O1597" t="s">
        <v>797</v>
      </c>
      <c r="P1597">
        <v>906.68</v>
      </c>
      <c r="Q1597">
        <v>5</v>
      </c>
      <c r="R1597">
        <v>68.001000000000005</v>
      </c>
      <c r="S1597" t="s">
        <v>90</v>
      </c>
    </row>
    <row r="1598" spans="1:19" x14ac:dyDescent="0.35">
      <c r="A1598" t="s">
        <v>3775</v>
      </c>
      <c r="B1598" s="1">
        <v>42618</v>
      </c>
      <c r="C1598" s="1">
        <v>42620</v>
      </c>
      <c r="D1598" t="s">
        <v>81</v>
      </c>
      <c r="E1598" t="s">
        <v>1814</v>
      </c>
      <c r="F1598" t="s">
        <v>1815</v>
      </c>
      <c r="G1598" t="s">
        <v>84</v>
      </c>
      <c r="H1598" t="s">
        <v>24</v>
      </c>
      <c r="I1598" t="s">
        <v>95</v>
      </c>
      <c r="J1598" t="s">
        <v>86</v>
      </c>
      <c r="K1598" t="s">
        <v>87</v>
      </c>
      <c r="L1598" t="s">
        <v>1980</v>
      </c>
      <c r="M1598" t="s">
        <v>29</v>
      </c>
      <c r="N1598" t="s">
        <v>53</v>
      </c>
      <c r="O1598" t="s">
        <v>1981</v>
      </c>
      <c r="P1598">
        <v>21.204000000000001</v>
      </c>
      <c r="Q1598">
        <v>3</v>
      </c>
      <c r="R1598">
        <v>-11.6622</v>
      </c>
      <c r="S1598" t="s">
        <v>72</v>
      </c>
    </row>
    <row r="1599" spans="1:19" x14ac:dyDescent="0.35">
      <c r="A1599" t="s">
        <v>3776</v>
      </c>
      <c r="B1599" s="1">
        <v>41769</v>
      </c>
      <c r="C1599" s="1">
        <v>41773</v>
      </c>
      <c r="D1599" t="s">
        <v>20</v>
      </c>
      <c r="E1599" t="s">
        <v>854</v>
      </c>
      <c r="F1599" t="s">
        <v>855</v>
      </c>
      <c r="G1599" t="s">
        <v>23</v>
      </c>
      <c r="H1599" t="s">
        <v>24</v>
      </c>
      <c r="I1599" t="s">
        <v>61</v>
      </c>
      <c r="J1599" t="s">
        <v>62</v>
      </c>
      <c r="K1599" t="s">
        <v>63</v>
      </c>
      <c r="L1599" t="s">
        <v>1127</v>
      </c>
      <c r="M1599" t="s">
        <v>29</v>
      </c>
      <c r="N1599" t="s">
        <v>30</v>
      </c>
      <c r="O1599" t="s">
        <v>1128</v>
      </c>
      <c r="P1599">
        <v>349.96499999999997</v>
      </c>
      <c r="Q1599">
        <v>7</v>
      </c>
      <c r="R1599">
        <v>-216.97829999999999</v>
      </c>
      <c r="S1599" t="s">
        <v>153</v>
      </c>
    </row>
    <row r="1600" spans="1:19" x14ac:dyDescent="0.35">
      <c r="A1600" t="s">
        <v>3777</v>
      </c>
      <c r="B1600" s="1">
        <v>41944</v>
      </c>
      <c r="C1600" s="1">
        <v>41948</v>
      </c>
      <c r="D1600" t="s">
        <v>37</v>
      </c>
      <c r="E1600" t="s">
        <v>924</v>
      </c>
      <c r="F1600" t="s">
        <v>925</v>
      </c>
      <c r="G1600" t="s">
        <v>23</v>
      </c>
      <c r="H1600" t="s">
        <v>24</v>
      </c>
      <c r="I1600" t="s">
        <v>721</v>
      </c>
      <c r="J1600" t="s">
        <v>114</v>
      </c>
      <c r="K1600" t="s">
        <v>63</v>
      </c>
      <c r="L1600" t="s">
        <v>1649</v>
      </c>
      <c r="M1600" t="s">
        <v>29</v>
      </c>
      <c r="N1600" t="s">
        <v>53</v>
      </c>
      <c r="O1600" t="s">
        <v>1650</v>
      </c>
      <c r="P1600">
        <v>31.68</v>
      </c>
      <c r="Q1600">
        <v>6</v>
      </c>
      <c r="R1600">
        <v>9.8208000000000002</v>
      </c>
      <c r="S1600" t="s">
        <v>32</v>
      </c>
    </row>
    <row r="1601" spans="1:19" x14ac:dyDescent="0.35">
      <c r="A1601" t="s">
        <v>3778</v>
      </c>
      <c r="B1601" s="1">
        <v>42734</v>
      </c>
      <c r="C1601" s="1">
        <v>42736</v>
      </c>
      <c r="D1601" t="s">
        <v>81</v>
      </c>
      <c r="E1601" t="s">
        <v>1051</v>
      </c>
      <c r="F1601" t="s">
        <v>1052</v>
      </c>
      <c r="G1601" t="s">
        <v>23</v>
      </c>
      <c r="H1601" t="s">
        <v>24</v>
      </c>
      <c r="I1601" t="s">
        <v>806</v>
      </c>
      <c r="J1601" t="s">
        <v>62</v>
      </c>
      <c r="K1601" t="s">
        <v>63</v>
      </c>
      <c r="L1601" t="s">
        <v>33</v>
      </c>
      <c r="M1601" t="s">
        <v>29</v>
      </c>
      <c r="N1601" t="s">
        <v>34</v>
      </c>
      <c r="O1601" t="s">
        <v>35</v>
      </c>
      <c r="P1601">
        <v>170.786</v>
      </c>
      <c r="Q1601">
        <v>1</v>
      </c>
      <c r="R1601">
        <v>0</v>
      </c>
      <c r="S1601" t="s">
        <v>90</v>
      </c>
    </row>
    <row r="1602" spans="1:19" x14ac:dyDescent="0.35">
      <c r="A1602" t="s">
        <v>3779</v>
      </c>
      <c r="B1602" s="1">
        <v>42616</v>
      </c>
      <c r="C1602" s="1">
        <v>42620</v>
      </c>
      <c r="D1602" t="s">
        <v>37</v>
      </c>
      <c r="E1602" t="s">
        <v>3780</v>
      </c>
      <c r="F1602" t="s">
        <v>3781</v>
      </c>
      <c r="G1602" t="s">
        <v>23</v>
      </c>
      <c r="H1602" t="s">
        <v>24</v>
      </c>
      <c r="I1602" t="s">
        <v>125</v>
      </c>
      <c r="J1602" t="s">
        <v>126</v>
      </c>
      <c r="K1602" t="s">
        <v>87</v>
      </c>
      <c r="L1602" t="s">
        <v>2734</v>
      </c>
      <c r="M1602" t="s">
        <v>29</v>
      </c>
      <c r="N1602" t="s">
        <v>30</v>
      </c>
      <c r="O1602" t="s">
        <v>2735</v>
      </c>
      <c r="P1602">
        <v>198.744</v>
      </c>
      <c r="Q1602">
        <v>4</v>
      </c>
      <c r="R1602">
        <v>0</v>
      </c>
      <c r="S1602" t="s">
        <v>72</v>
      </c>
    </row>
    <row r="1603" spans="1:19" x14ac:dyDescent="0.35">
      <c r="A1603" t="s">
        <v>3782</v>
      </c>
      <c r="B1603" s="1">
        <v>42399</v>
      </c>
      <c r="C1603" s="1">
        <v>42401</v>
      </c>
      <c r="D1603" t="s">
        <v>20</v>
      </c>
      <c r="E1603" t="s">
        <v>3783</v>
      </c>
      <c r="F1603" t="s">
        <v>3784</v>
      </c>
      <c r="G1603" t="s">
        <v>23</v>
      </c>
      <c r="H1603" t="s">
        <v>24</v>
      </c>
      <c r="I1603" t="s">
        <v>183</v>
      </c>
      <c r="J1603" t="s">
        <v>184</v>
      </c>
      <c r="K1603" t="s">
        <v>51</v>
      </c>
      <c r="L1603" t="s">
        <v>1909</v>
      </c>
      <c r="M1603" t="s">
        <v>29</v>
      </c>
      <c r="N1603" t="s">
        <v>34</v>
      </c>
      <c r="O1603" t="s">
        <v>1910</v>
      </c>
      <c r="P1603">
        <v>435.16800000000001</v>
      </c>
      <c r="Q1603">
        <v>4</v>
      </c>
      <c r="R1603">
        <v>-59.835599999999999</v>
      </c>
      <c r="S1603" t="s">
        <v>161</v>
      </c>
    </row>
    <row r="1604" spans="1:19" x14ac:dyDescent="0.35">
      <c r="A1604" t="s">
        <v>3782</v>
      </c>
      <c r="B1604" s="1">
        <v>42399</v>
      </c>
      <c r="C1604" s="1">
        <v>42401</v>
      </c>
      <c r="D1604" t="s">
        <v>20</v>
      </c>
      <c r="E1604" t="s">
        <v>3783</v>
      </c>
      <c r="F1604" t="s">
        <v>3784</v>
      </c>
      <c r="G1604" t="s">
        <v>23</v>
      </c>
      <c r="H1604" t="s">
        <v>24</v>
      </c>
      <c r="I1604" t="s">
        <v>183</v>
      </c>
      <c r="J1604" t="s">
        <v>184</v>
      </c>
      <c r="K1604" t="s">
        <v>51</v>
      </c>
      <c r="L1604" t="s">
        <v>1594</v>
      </c>
      <c r="M1604" t="s">
        <v>29</v>
      </c>
      <c r="N1604" t="s">
        <v>30</v>
      </c>
      <c r="O1604" t="s">
        <v>1595</v>
      </c>
      <c r="P1604">
        <v>48.58</v>
      </c>
      <c r="Q1604">
        <v>1</v>
      </c>
      <c r="R1604">
        <v>7.7728000000000002</v>
      </c>
      <c r="S1604" t="s">
        <v>161</v>
      </c>
    </row>
    <row r="1605" spans="1:19" x14ac:dyDescent="0.35">
      <c r="A1605" t="s">
        <v>3785</v>
      </c>
      <c r="B1605" s="1">
        <v>41933</v>
      </c>
      <c r="C1605" s="1">
        <v>41938</v>
      </c>
      <c r="D1605" t="s">
        <v>37</v>
      </c>
      <c r="E1605" t="s">
        <v>1536</v>
      </c>
      <c r="F1605" t="s">
        <v>1537</v>
      </c>
      <c r="G1605" t="s">
        <v>84</v>
      </c>
      <c r="H1605" t="s">
        <v>24</v>
      </c>
      <c r="I1605" t="s">
        <v>3786</v>
      </c>
      <c r="J1605" t="s">
        <v>707</v>
      </c>
      <c r="K1605" t="s">
        <v>27</v>
      </c>
      <c r="L1605" t="s">
        <v>1456</v>
      </c>
      <c r="M1605" t="s">
        <v>29</v>
      </c>
      <c r="N1605" t="s">
        <v>43</v>
      </c>
      <c r="O1605" t="s">
        <v>1457</v>
      </c>
      <c r="P1605">
        <v>591.32000000000005</v>
      </c>
      <c r="Q1605">
        <v>4</v>
      </c>
      <c r="R1605">
        <v>112.35080000000001</v>
      </c>
      <c r="S1605" t="s">
        <v>45</v>
      </c>
    </row>
    <row r="1606" spans="1:19" x14ac:dyDescent="0.35">
      <c r="A1606" t="s">
        <v>3787</v>
      </c>
      <c r="B1606" s="1">
        <v>42722</v>
      </c>
      <c r="C1606" s="1">
        <v>42725</v>
      </c>
      <c r="D1606" t="s">
        <v>81</v>
      </c>
      <c r="E1606" t="s">
        <v>163</v>
      </c>
      <c r="F1606" t="s">
        <v>164</v>
      </c>
      <c r="G1606" t="s">
        <v>94</v>
      </c>
      <c r="H1606" t="s">
        <v>24</v>
      </c>
      <c r="I1606" t="s">
        <v>831</v>
      </c>
      <c r="J1606" t="s">
        <v>832</v>
      </c>
      <c r="K1606" t="s">
        <v>87</v>
      </c>
      <c r="L1606" t="s">
        <v>616</v>
      </c>
      <c r="M1606" t="s">
        <v>29</v>
      </c>
      <c r="N1606" t="s">
        <v>34</v>
      </c>
      <c r="O1606" t="s">
        <v>617</v>
      </c>
      <c r="P1606">
        <v>563.94000000000005</v>
      </c>
      <c r="Q1606">
        <v>3</v>
      </c>
      <c r="R1606">
        <v>112.788</v>
      </c>
      <c r="S1606" t="s">
        <v>90</v>
      </c>
    </row>
    <row r="1607" spans="1:19" x14ac:dyDescent="0.35">
      <c r="A1607" t="s">
        <v>3788</v>
      </c>
      <c r="B1607" s="1">
        <v>42110</v>
      </c>
      <c r="C1607" s="1">
        <v>42115</v>
      </c>
      <c r="D1607" t="s">
        <v>37</v>
      </c>
      <c r="E1607" t="s">
        <v>2115</v>
      </c>
      <c r="F1607" t="s">
        <v>2116</v>
      </c>
      <c r="G1607" t="s">
        <v>84</v>
      </c>
      <c r="H1607" t="s">
        <v>24</v>
      </c>
      <c r="I1607" t="s">
        <v>165</v>
      </c>
      <c r="J1607" t="s">
        <v>114</v>
      </c>
      <c r="K1607" t="s">
        <v>63</v>
      </c>
      <c r="L1607" t="s">
        <v>115</v>
      </c>
      <c r="M1607" t="s">
        <v>29</v>
      </c>
      <c r="N1607" t="s">
        <v>34</v>
      </c>
      <c r="O1607" t="s">
        <v>116</v>
      </c>
      <c r="P1607">
        <v>127.764</v>
      </c>
      <c r="Q1607">
        <v>2</v>
      </c>
      <c r="R1607">
        <v>2.8391999999999999</v>
      </c>
      <c r="S1607" t="s">
        <v>107</v>
      </c>
    </row>
    <row r="1608" spans="1:19" x14ac:dyDescent="0.35">
      <c r="A1608" t="s">
        <v>3789</v>
      </c>
      <c r="B1608" s="1">
        <v>43055</v>
      </c>
      <c r="C1608" s="1">
        <v>43061</v>
      </c>
      <c r="D1608" t="s">
        <v>37</v>
      </c>
      <c r="E1608" t="s">
        <v>1284</v>
      </c>
      <c r="F1608" t="s">
        <v>1285</v>
      </c>
      <c r="G1608" t="s">
        <v>23</v>
      </c>
      <c r="H1608" t="s">
        <v>24</v>
      </c>
      <c r="I1608" t="s">
        <v>215</v>
      </c>
      <c r="J1608" t="s">
        <v>50</v>
      </c>
      <c r="K1608" t="s">
        <v>51</v>
      </c>
      <c r="L1608" t="s">
        <v>1487</v>
      </c>
      <c r="M1608" t="s">
        <v>29</v>
      </c>
      <c r="N1608" t="s">
        <v>53</v>
      </c>
      <c r="O1608" t="s">
        <v>1488</v>
      </c>
      <c r="P1608">
        <v>17.309999999999999</v>
      </c>
      <c r="Q1608">
        <v>3</v>
      </c>
      <c r="R1608">
        <v>5.1929999999999996</v>
      </c>
      <c r="S1608" t="s">
        <v>32</v>
      </c>
    </row>
    <row r="1609" spans="1:19" x14ac:dyDescent="0.35">
      <c r="A1609" t="s">
        <v>3790</v>
      </c>
      <c r="B1609" s="1">
        <v>42618</v>
      </c>
      <c r="C1609" s="1">
        <v>42622</v>
      </c>
      <c r="D1609" t="s">
        <v>37</v>
      </c>
      <c r="E1609" t="s">
        <v>3161</v>
      </c>
      <c r="F1609" t="s">
        <v>3162</v>
      </c>
      <c r="G1609" t="s">
        <v>23</v>
      </c>
      <c r="H1609" t="s">
        <v>24</v>
      </c>
      <c r="I1609" t="s">
        <v>61</v>
      </c>
      <c r="J1609" t="s">
        <v>62</v>
      </c>
      <c r="K1609" t="s">
        <v>63</v>
      </c>
      <c r="L1609" t="s">
        <v>141</v>
      </c>
      <c r="M1609" t="s">
        <v>29</v>
      </c>
      <c r="N1609" t="s">
        <v>53</v>
      </c>
      <c r="O1609" t="s">
        <v>142</v>
      </c>
      <c r="P1609">
        <v>58.247999999999998</v>
      </c>
      <c r="Q1609">
        <v>9</v>
      </c>
      <c r="R1609">
        <v>11.6496</v>
      </c>
      <c r="S1609" t="s">
        <v>72</v>
      </c>
    </row>
    <row r="1610" spans="1:19" x14ac:dyDescent="0.35">
      <c r="A1610" t="s">
        <v>3790</v>
      </c>
      <c r="B1610" s="1">
        <v>42618</v>
      </c>
      <c r="C1610" s="1">
        <v>42622</v>
      </c>
      <c r="D1610" t="s">
        <v>37</v>
      </c>
      <c r="E1610" t="s">
        <v>3161</v>
      </c>
      <c r="F1610" t="s">
        <v>3162</v>
      </c>
      <c r="G1610" t="s">
        <v>23</v>
      </c>
      <c r="H1610" t="s">
        <v>24</v>
      </c>
      <c r="I1610" t="s">
        <v>61</v>
      </c>
      <c r="J1610" t="s">
        <v>62</v>
      </c>
      <c r="K1610" t="s">
        <v>63</v>
      </c>
      <c r="L1610" t="s">
        <v>127</v>
      </c>
      <c r="M1610" t="s">
        <v>29</v>
      </c>
      <c r="N1610" t="s">
        <v>34</v>
      </c>
      <c r="O1610" t="s">
        <v>209</v>
      </c>
      <c r="P1610">
        <v>71.245999999999995</v>
      </c>
      <c r="Q1610">
        <v>2</v>
      </c>
      <c r="R1610">
        <v>-19.338200000000001</v>
      </c>
      <c r="S1610" t="s">
        <v>72</v>
      </c>
    </row>
    <row r="1611" spans="1:19" x14ac:dyDescent="0.35">
      <c r="A1611" t="s">
        <v>3790</v>
      </c>
      <c r="B1611" s="1">
        <v>42618</v>
      </c>
      <c r="C1611" s="1">
        <v>42622</v>
      </c>
      <c r="D1611" t="s">
        <v>37</v>
      </c>
      <c r="E1611" t="s">
        <v>3161</v>
      </c>
      <c r="F1611" t="s">
        <v>3162</v>
      </c>
      <c r="G1611" t="s">
        <v>23</v>
      </c>
      <c r="H1611" t="s">
        <v>24</v>
      </c>
      <c r="I1611" t="s">
        <v>61</v>
      </c>
      <c r="J1611" t="s">
        <v>62</v>
      </c>
      <c r="K1611" t="s">
        <v>63</v>
      </c>
      <c r="L1611" t="s">
        <v>972</v>
      </c>
      <c r="M1611" t="s">
        <v>29</v>
      </c>
      <c r="N1611" t="s">
        <v>34</v>
      </c>
      <c r="O1611" t="s">
        <v>973</v>
      </c>
      <c r="P1611">
        <v>887.27099999999996</v>
      </c>
      <c r="Q1611">
        <v>3</v>
      </c>
      <c r="R1611">
        <v>-63.3765</v>
      </c>
      <c r="S1611" t="s">
        <v>72</v>
      </c>
    </row>
    <row r="1612" spans="1:19" x14ac:dyDescent="0.35">
      <c r="A1612" t="s">
        <v>3791</v>
      </c>
      <c r="B1612" s="1">
        <v>42517</v>
      </c>
      <c r="C1612" s="1">
        <v>42521</v>
      </c>
      <c r="D1612" t="s">
        <v>37</v>
      </c>
      <c r="E1612" t="s">
        <v>3289</v>
      </c>
      <c r="F1612" t="s">
        <v>3290</v>
      </c>
      <c r="G1612" t="s">
        <v>23</v>
      </c>
      <c r="H1612" t="s">
        <v>24</v>
      </c>
      <c r="I1612" t="s">
        <v>125</v>
      </c>
      <c r="J1612" t="s">
        <v>126</v>
      </c>
      <c r="K1612" t="s">
        <v>87</v>
      </c>
      <c r="L1612" t="s">
        <v>2272</v>
      </c>
      <c r="M1612" t="s">
        <v>29</v>
      </c>
      <c r="N1612" t="s">
        <v>53</v>
      </c>
      <c r="O1612" t="s">
        <v>2273</v>
      </c>
      <c r="P1612">
        <v>25.175999999999998</v>
      </c>
      <c r="Q1612">
        <v>3</v>
      </c>
      <c r="R1612">
        <v>-33.358199999999997</v>
      </c>
      <c r="S1612" t="s">
        <v>153</v>
      </c>
    </row>
    <row r="1613" spans="1:19" x14ac:dyDescent="0.35">
      <c r="A1613" t="s">
        <v>3791</v>
      </c>
      <c r="B1613" s="1">
        <v>42517</v>
      </c>
      <c r="C1613" s="1">
        <v>42521</v>
      </c>
      <c r="D1613" t="s">
        <v>37</v>
      </c>
      <c r="E1613" t="s">
        <v>3289</v>
      </c>
      <c r="F1613" t="s">
        <v>3290</v>
      </c>
      <c r="G1613" t="s">
        <v>23</v>
      </c>
      <c r="H1613" t="s">
        <v>24</v>
      </c>
      <c r="I1613" t="s">
        <v>125</v>
      </c>
      <c r="J1613" t="s">
        <v>126</v>
      </c>
      <c r="K1613" t="s">
        <v>87</v>
      </c>
      <c r="L1613" t="s">
        <v>968</v>
      </c>
      <c r="M1613" t="s">
        <v>29</v>
      </c>
      <c r="N1613" t="s">
        <v>53</v>
      </c>
      <c r="O1613" t="s">
        <v>969</v>
      </c>
      <c r="P1613">
        <v>5.5839999999999996</v>
      </c>
      <c r="Q1613">
        <v>2</v>
      </c>
      <c r="R1613">
        <v>-1.6752</v>
      </c>
      <c r="S1613" t="s">
        <v>153</v>
      </c>
    </row>
    <row r="1614" spans="1:19" x14ac:dyDescent="0.35">
      <c r="A1614" t="s">
        <v>3792</v>
      </c>
      <c r="B1614" s="1">
        <v>42240</v>
      </c>
      <c r="C1614" s="1">
        <v>42244</v>
      </c>
      <c r="D1614" t="s">
        <v>20</v>
      </c>
      <c r="E1614" t="s">
        <v>2127</v>
      </c>
      <c r="F1614" t="s">
        <v>2128</v>
      </c>
      <c r="G1614" t="s">
        <v>23</v>
      </c>
      <c r="H1614" t="s">
        <v>24</v>
      </c>
      <c r="I1614" t="s">
        <v>165</v>
      </c>
      <c r="J1614" t="s">
        <v>114</v>
      </c>
      <c r="K1614" t="s">
        <v>63</v>
      </c>
      <c r="L1614" t="s">
        <v>641</v>
      </c>
      <c r="M1614" t="s">
        <v>29</v>
      </c>
      <c r="N1614" t="s">
        <v>53</v>
      </c>
      <c r="O1614" t="s">
        <v>642</v>
      </c>
      <c r="P1614">
        <v>14.91</v>
      </c>
      <c r="Q1614">
        <v>3</v>
      </c>
      <c r="R1614">
        <v>4.6220999999999997</v>
      </c>
      <c r="S1614" t="s">
        <v>245</v>
      </c>
    </row>
    <row r="1615" spans="1:19" x14ac:dyDescent="0.35">
      <c r="A1615" t="s">
        <v>3793</v>
      </c>
      <c r="B1615" s="1">
        <v>43035</v>
      </c>
      <c r="C1615" s="1">
        <v>43037</v>
      </c>
      <c r="D1615" t="s">
        <v>81</v>
      </c>
      <c r="E1615" t="s">
        <v>3794</v>
      </c>
      <c r="F1615" t="s">
        <v>3795</v>
      </c>
      <c r="G1615" t="s">
        <v>84</v>
      </c>
      <c r="H1615" t="s">
        <v>24</v>
      </c>
      <c r="I1615" t="s">
        <v>49</v>
      </c>
      <c r="J1615" t="s">
        <v>50</v>
      </c>
      <c r="K1615" t="s">
        <v>51</v>
      </c>
      <c r="L1615" t="s">
        <v>56</v>
      </c>
      <c r="M1615" t="s">
        <v>29</v>
      </c>
      <c r="N1615" t="s">
        <v>43</v>
      </c>
      <c r="O1615" t="s">
        <v>57</v>
      </c>
      <c r="P1615">
        <v>189.57599999999999</v>
      </c>
      <c r="Q1615">
        <v>1</v>
      </c>
      <c r="R1615">
        <v>9.4787999999999997</v>
      </c>
      <c r="S1615" t="s">
        <v>45</v>
      </c>
    </row>
    <row r="1616" spans="1:19" x14ac:dyDescent="0.35">
      <c r="A1616" t="s">
        <v>3796</v>
      </c>
      <c r="B1616" s="1">
        <v>41968</v>
      </c>
      <c r="C1616" s="1">
        <v>41972</v>
      </c>
      <c r="D1616" t="s">
        <v>37</v>
      </c>
      <c r="E1616" t="s">
        <v>2931</v>
      </c>
      <c r="F1616" t="s">
        <v>2932</v>
      </c>
      <c r="G1616" t="s">
        <v>23</v>
      </c>
      <c r="H1616" t="s">
        <v>24</v>
      </c>
      <c r="I1616" t="s">
        <v>49</v>
      </c>
      <c r="J1616" t="s">
        <v>50</v>
      </c>
      <c r="K1616" t="s">
        <v>51</v>
      </c>
      <c r="L1616" t="s">
        <v>796</v>
      </c>
      <c r="M1616" t="s">
        <v>29</v>
      </c>
      <c r="N1616" t="s">
        <v>34</v>
      </c>
      <c r="O1616" t="s">
        <v>797</v>
      </c>
      <c r="P1616">
        <v>725.34400000000005</v>
      </c>
      <c r="Q1616">
        <v>4</v>
      </c>
      <c r="R1616">
        <v>54.400799999999997</v>
      </c>
      <c r="S1616" t="s">
        <v>32</v>
      </c>
    </row>
    <row r="1617" spans="1:19" x14ac:dyDescent="0.35">
      <c r="A1617" t="s">
        <v>3797</v>
      </c>
      <c r="B1617" s="1">
        <v>42147</v>
      </c>
      <c r="C1617" s="1">
        <v>42151</v>
      </c>
      <c r="D1617" t="s">
        <v>20</v>
      </c>
      <c r="E1617" t="s">
        <v>384</v>
      </c>
      <c r="F1617" t="s">
        <v>385</v>
      </c>
      <c r="G1617" t="s">
        <v>94</v>
      </c>
      <c r="H1617" t="s">
        <v>24</v>
      </c>
      <c r="I1617" t="s">
        <v>280</v>
      </c>
      <c r="J1617" t="s">
        <v>281</v>
      </c>
      <c r="K1617" t="s">
        <v>87</v>
      </c>
      <c r="L1617" t="s">
        <v>1138</v>
      </c>
      <c r="M1617" t="s">
        <v>29</v>
      </c>
      <c r="N1617" t="s">
        <v>53</v>
      </c>
      <c r="O1617" t="s">
        <v>1139</v>
      </c>
      <c r="P1617">
        <v>75.33</v>
      </c>
      <c r="Q1617">
        <v>9</v>
      </c>
      <c r="R1617">
        <v>19.585799999999999</v>
      </c>
      <c r="S1617" t="s">
        <v>153</v>
      </c>
    </row>
    <row r="1618" spans="1:19" x14ac:dyDescent="0.35">
      <c r="A1618" t="s">
        <v>3798</v>
      </c>
      <c r="B1618" s="1">
        <v>41728</v>
      </c>
      <c r="C1618" s="1">
        <v>41730</v>
      </c>
      <c r="D1618" t="s">
        <v>81</v>
      </c>
      <c r="E1618" t="s">
        <v>250</v>
      </c>
      <c r="F1618" t="s">
        <v>251</v>
      </c>
      <c r="G1618" t="s">
        <v>94</v>
      </c>
      <c r="H1618" t="s">
        <v>24</v>
      </c>
      <c r="I1618" t="s">
        <v>2240</v>
      </c>
      <c r="J1618" t="s">
        <v>86</v>
      </c>
      <c r="K1618" t="s">
        <v>87</v>
      </c>
      <c r="L1618" t="s">
        <v>994</v>
      </c>
      <c r="M1618" t="s">
        <v>29</v>
      </c>
      <c r="N1618" t="s">
        <v>34</v>
      </c>
      <c r="O1618" t="s">
        <v>995</v>
      </c>
      <c r="P1618">
        <v>127.30200000000001</v>
      </c>
      <c r="Q1618">
        <v>7</v>
      </c>
      <c r="R1618">
        <v>-9.093</v>
      </c>
      <c r="S1618" t="s">
        <v>187</v>
      </c>
    </row>
    <row r="1619" spans="1:19" x14ac:dyDescent="0.35">
      <c r="A1619" t="s">
        <v>3799</v>
      </c>
      <c r="B1619" s="1">
        <v>43098</v>
      </c>
      <c r="C1619" s="1">
        <v>43101</v>
      </c>
      <c r="D1619" t="s">
        <v>20</v>
      </c>
      <c r="E1619" t="s">
        <v>916</v>
      </c>
      <c r="F1619" t="s">
        <v>917</v>
      </c>
      <c r="G1619" t="s">
        <v>23</v>
      </c>
      <c r="H1619" t="s">
        <v>24</v>
      </c>
      <c r="I1619" t="s">
        <v>856</v>
      </c>
      <c r="J1619" t="s">
        <v>26</v>
      </c>
      <c r="K1619" t="s">
        <v>27</v>
      </c>
      <c r="L1619" t="s">
        <v>386</v>
      </c>
      <c r="M1619" t="s">
        <v>29</v>
      </c>
      <c r="N1619" t="s">
        <v>34</v>
      </c>
      <c r="O1619" t="s">
        <v>387</v>
      </c>
      <c r="P1619">
        <v>1207.8399999999999</v>
      </c>
      <c r="Q1619">
        <v>8</v>
      </c>
      <c r="R1619">
        <v>314.03840000000002</v>
      </c>
      <c r="S1619" t="s">
        <v>90</v>
      </c>
    </row>
    <row r="1620" spans="1:19" x14ac:dyDescent="0.35">
      <c r="A1620" t="s">
        <v>3799</v>
      </c>
      <c r="B1620" s="1">
        <v>43098</v>
      </c>
      <c r="C1620" s="1">
        <v>43101</v>
      </c>
      <c r="D1620" t="s">
        <v>20</v>
      </c>
      <c r="E1620" t="s">
        <v>916</v>
      </c>
      <c r="F1620" t="s">
        <v>917</v>
      </c>
      <c r="G1620" t="s">
        <v>23</v>
      </c>
      <c r="H1620" t="s">
        <v>24</v>
      </c>
      <c r="I1620" t="s">
        <v>856</v>
      </c>
      <c r="J1620" t="s">
        <v>26</v>
      </c>
      <c r="K1620" t="s">
        <v>27</v>
      </c>
      <c r="L1620" t="s">
        <v>2325</v>
      </c>
      <c r="M1620" t="s">
        <v>29</v>
      </c>
      <c r="N1620" t="s">
        <v>34</v>
      </c>
      <c r="O1620" t="s">
        <v>2326</v>
      </c>
      <c r="P1620">
        <v>300.98</v>
      </c>
      <c r="Q1620">
        <v>1</v>
      </c>
      <c r="R1620">
        <v>87.284199999999998</v>
      </c>
      <c r="S1620" t="s">
        <v>90</v>
      </c>
    </row>
    <row r="1621" spans="1:19" x14ac:dyDescent="0.35">
      <c r="A1621" t="s">
        <v>3799</v>
      </c>
      <c r="B1621" s="1">
        <v>43098</v>
      </c>
      <c r="C1621" s="1">
        <v>43101</v>
      </c>
      <c r="D1621" t="s">
        <v>20</v>
      </c>
      <c r="E1621" t="s">
        <v>916</v>
      </c>
      <c r="F1621" t="s">
        <v>917</v>
      </c>
      <c r="G1621" t="s">
        <v>23</v>
      </c>
      <c r="H1621" t="s">
        <v>24</v>
      </c>
      <c r="I1621" t="s">
        <v>856</v>
      </c>
      <c r="J1621" t="s">
        <v>26</v>
      </c>
      <c r="K1621" t="s">
        <v>27</v>
      </c>
      <c r="L1621" t="s">
        <v>1081</v>
      </c>
      <c r="M1621" t="s">
        <v>29</v>
      </c>
      <c r="N1621" t="s">
        <v>34</v>
      </c>
      <c r="O1621" t="s">
        <v>1082</v>
      </c>
      <c r="P1621">
        <v>258.75</v>
      </c>
      <c r="Q1621">
        <v>3</v>
      </c>
      <c r="R1621">
        <v>77.625</v>
      </c>
      <c r="S1621" t="s">
        <v>90</v>
      </c>
    </row>
    <row r="1622" spans="1:19" x14ac:dyDescent="0.35">
      <c r="A1622" t="s">
        <v>3800</v>
      </c>
      <c r="B1622" s="1">
        <v>42796</v>
      </c>
      <c r="C1622" s="1">
        <v>42802</v>
      </c>
      <c r="D1622" t="s">
        <v>37</v>
      </c>
      <c r="E1622" t="s">
        <v>2912</v>
      </c>
      <c r="F1622" t="s">
        <v>2913</v>
      </c>
      <c r="G1622" t="s">
        <v>84</v>
      </c>
      <c r="H1622" t="s">
        <v>24</v>
      </c>
      <c r="I1622" t="s">
        <v>222</v>
      </c>
      <c r="J1622" t="s">
        <v>192</v>
      </c>
      <c r="K1622" t="s">
        <v>63</v>
      </c>
      <c r="L1622" t="s">
        <v>2301</v>
      </c>
      <c r="M1622" t="s">
        <v>29</v>
      </c>
      <c r="N1622" t="s">
        <v>30</v>
      </c>
      <c r="O1622" t="s">
        <v>2302</v>
      </c>
      <c r="P1622">
        <v>441.96</v>
      </c>
      <c r="Q1622">
        <v>2</v>
      </c>
      <c r="R1622">
        <v>101.6508</v>
      </c>
      <c r="S1622" t="s">
        <v>187</v>
      </c>
    </row>
    <row r="1623" spans="1:19" x14ac:dyDescent="0.35">
      <c r="A1623" t="s">
        <v>3801</v>
      </c>
      <c r="B1623" s="1">
        <v>42099</v>
      </c>
      <c r="C1623" s="1">
        <v>42105</v>
      </c>
      <c r="D1623" t="s">
        <v>37</v>
      </c>
      <c r="E1623" t="s">
        <v>2765</v>
      </c>
      <c r="F1623" t="s">
        <v>2766</v>
      </c>
      <c r="G1623" t="s">
        <v>84</v>
      </c>
      <c r="H1623" t="s">
        <v>24</v>
      </c>
      <c r="I1623" t="s">
        <v>49</v>
      </c>
      <c r="J1623" t="s">
        <v>50</v>
      </c>
      <c r="K1623" t="s">
        <v>51</v>
      </c>
      <c r="L1623" t="s">
        <v>1086</v>
      </c>
      <c r="M1623" t="s">
        <v>29</v>
      </c>
      <c r="N1623" t="s">
        <v>34</v>
      </c>
      <c r="O1623" t="s">
        <v>1087</v>
      </c>
      <c r="P1623">
        <v>892.22400000000005</v>
      </c>
      <c r="Q1623">
        <v>3</v>
      </c>
      <c r="R1623">
        <v>89.222399999999993</v>
      </c>
      <c r="S1623" t="s">
        <v>107</v>
      </c>
    </row>
    <row r="1624" spans="1:19" x14ac:dyDescent="0.35">
      <c r="A1624" t="s">
        <v>3802</v>
      </c>
      <c r="B1624" s="1">
        <v>42444</v>
      </c>
      <c r="C1624" s="1">
        <v>42445</v>
      </c>
      <c r="D1624" t="s">
        <v>81</v>
      </c>
      <c r="E1624" t="s">
        <v>3803</v>
      </c>
      <c r="F1624" t="s">
        <v>3804</v>
      </c>
      <c r="G1624" t="s">
        <v>84</v>
      </c>
      <c r="H1624" t="s">
        <v>24</v>
      </c>
      <c r="I1624" t="s">
        <v>320</v>
      </c>
      <c r="J1624" t="s">
        <v>50</v>
      </c>
      <c r="K1624" t="s">
        <v>51</v>
      </c>
      <c r="L1624" t="s">
        <v>972</v>
      </c>
      <c r="M1624" t="s">
        <v>29</v>
      </c>
      <c r="N1624" t="s">
        <v>34</v>
      </c>
      <c r="O1624" t="s">
        <v>973</v>
      </c>
      <c r="P1624">
        <v>1352.0319999999999</v>
      </c>
      <c r="Q1624">
        <v>4</v>
      </c>
      <c r="R1624">
        <v>84.501999999999995</v>
      </c>
      <c r="S1624" t="s">
        <v>187</v>
      </c>
    </row>
    <row r="1625" spans="1:19" x14ac:dyDescent="0.35">
      <c r="A1625" t="s">
        <v>3805</v>
      </c>
      <c r="B1625" s="1">
        <v>42365</v>
      </c>
      <c r="C1625" s="1">
        <v>42369</v>
      </c>
      <c r="D1625" t="s">
        <v>37</v>
      </c>
      <c r="E1625" t="s">
        <v>2670</v>
      </c>
      <c r="F1625" t="s">
        <v>2671</v>
      </c>
      <c r="G1625" t="s">
        <v>84</v>
      </c>
      <c r="H1625" t="s">
        <v>24</v>
      </c>
      <c r="I1625" t="s">
        <v>1761</v>
      </c>
      <c r="J1625" t="s">
        <v>223</v>
      </c>
      <c r="K1625" t="s">
        <v>63</v>
      </c>
      <c r="L1625" t="s">
        <v>913</v>
      </c>
      <c r="M1625" t="s">
        <v>29</v>
      </c>
      <c r="N1625" t="s">
        <v>43</v>
      </c>
      <c r="O1625" t="s">
        <v>914</v>
      </c>
      <c r="P1625">
        <v>1548.99</v>
      </c>
      <c r="Q1625">
        <v>9</v>
      </c>
      <c r="R1625">
        <v>-464.697</v>
      </c>
      <c r="S1625" t="s">
        <v>90</v>
      </c>
    </row>
    <row r="1626" spans="1:19" x14ac:dyDescent="0.35">
      <c r="A1626" t="s">
        <v>3806</v>
      </c>
      <c r="B1626" s="1">
        <v>42338</v>
      </c>
      <c r="C1626" s="1">
        <v>42340</v>
      </c>
      <c r="D1626" t="s">
        <v>20</v>
      </c>
      <c r="E1626" t="s">
        <v>3807</v>
      </c>
      <c r="F1626" t="s">
        <v>3808</v>
      </c>
      <c r="G1626" t="s">
        <v>23</v>
      </c>
      <c r="H1626" t="s">
        <v>24</v>
      </c>
      <c r="I1626" t="s">
        <v>2410</v>
      </c>
      <c r="J1626" t="s">
        <v>1331</v>
      </c>
      <c r="K1626" t="s">
        <v>51</v>
      </c>
      <c r="L1626" t="s">
        <v>2956</v>
      </c>
      <c r="M1626" t="s">
        <v>29</v>
      </c>
      <c r="N1626" t="s">
        <v>53</v>
      </c>
      <c r="O1626" t="s">
        <v>2957</v>
      </c>
      <c r="P1626">
        <v>80.959999999999994</v>
      </c>
      <c r="Q1626">
        <v>4</v>
      </c>
      <c r="R1626">
        <v>29.145600000000002</v>
      </c>
      <c r="S1626" t="s">
        <v>32</v>
      </c>
    </row>
    <row r="1627" spans="1:19" x14ac:dyDescent="0.35">
      <c r="A1627" t="s">
        <v>3809</v>
      </c>
      <c r="B1627" s="1">
        <v>41744</v>
      </c>
      <c r="C1627" s="1">
        <v>41744</v>
      </c>
      <c r="D1627" t="s">
        <v>417</v>
      </c>
      <c r="E1627" t="s">
        <v>123</v>
      </c>
      <c r="F1627" t="s">
        <v>124</v>
      </c>
      <c r="G1627" t="s">
        <v>94</v>
      </c>
      <c r="H1627" t="s">
        <v>24</v>
      </c>
      <c r="I1627" t="s">
        <v>49</v>
      </c>
      <c r="J1627" t="s">
        <v>50</v>
      </c>
      <c r="K1627" t="s">
        <v>51</v>
      </c>
      <c r="L1627" t="s">
        <v>346</v>
      </c>
      <c r="M1627" t="s">
        <v>29</v>
      </c>
      <c r="N1627" t="s">
        <v>53</v>
      </c>
      <c r="O1627" t="s">
        <v>347</v>
      </c>
      <c r="P1627">
        <v>187.76</v>
      </c>
      <c r="Q1627">
        <v>4</v>
      </c>
      <c r="R1627">
        <v>76.9816</v>
      </c>
      <c r="S1627" t="s">
        <v>107</v>
      </c>
    </row>
    <row r="1628" spans="1:19" x14ac:dyDescent="0.35">
      <c r="A1628" t="s">
        <v>3810</v>
      </c>
      <c r="B1628" s="1">
        <v>41646</v>
      </c>
      <c r="C1628" s="1">
        <v>41651</v>
      </c>
      <c r="D1628" t="s">
        <v>37</v>
      </c>
      <c r="E1628" t="s">
        <v>2835</v>
      </c>
      <c r="F1628" t="s">
        <v>2836</v>
      </c>
      <c r="G1628" t="s">
        <v>23</v>
      </c>
      <c r="H1628" t="s">
        <v>24</v>
      </c>
      <c r="I1628" t="s">
        <v>1859</v>
      </c>
      <c r="J1628" t="s">
        <v>86</v>
      </c>
      <c r="K1628" t="s">
        <v>87</v>
      </c>
      <c r="L1628" t="s">
        <v>542</v>
      </c>
      <c r="M1628" t="s">
        <v>29</v>
      </c>
      <c r="N1628" t="s">
        <v>53</v>
      </c>
      <c r="O1628" t="s">
        <v>543</v>
      </c>
      <c r="P1628">
        <v>76.727999999999994</v>
      </c>
      <c r="Q1628">
        <v>3</v>
      </c>
      <c r="R1628">
        <v>-53.709600000000002</v>
      </c>
      <c r="S1628" t="s">
        <v>161</v>
      </c>
    </row>
    <row r="1629" spans="1:19" x14ac:dyDescent="0.35">
      <c r="A1629" t="s">
        <v>3811</v>
      </c>
      <c r="B1629" s="1">
        <v>41934</v>
      </c>
      <c r="C1629" s="1">
        <v>41938</v>
      </c>
      <c r="D1629" t="s">
        <v>37</v>
      </c>
      <c r="E1629" t="s">
        <v>3812</v>
      </c>
      <c r="F1629" t="s">
        <v>3813</v>
      </c>
      <c r="G1629" t="s">
        <v>84</v>
      </c>
      <c r="H1629" t="s">
        <v>24</v>
      </c>
      <c r="I1629" t="s">
        <v>3814</v>
      </c>
      <c r="J1629" t="s">
        <v>1397</v>
      </c>
      <c r="K1629" t="s">
        <v>27</v>
      </c>
      <c r="L1629" t="s">
        <v>2386</v>
      </c>
      <c r="M1629" t="s">
        <v>29</v>
      </c>
      <c r="N1629" t="s">
        <v>53</v>
      </c>
      <c r="O1629" t="s">
        <v>2387</v>
      </c>
      <c r="P1629">
        <v>129.91999999999999</v>
      </c>
      <c r="Q1629">
        <v>4</v>
      </c>
      <c r="R1629">
        <v>10.393599999999999</v>
      </c>
      <c r="S1629" t="s">
        <v>45</v>
      </c>
    </row>
    <row r="1630" spans="1:19" x14ac:dyDescent="0.35">
      <c r="A1630" t="s">
        <v>3815</v>
      </c>
      <c r="B1630" s="1">
        <v>42335</v>
      </c>
      <c r="C1630" s="1">
        <v>42337</v>
      </c>
      <c r="D1630" t="s">
        <v>20</v>
      </c>
      <c r="E1630" t="s">
        <v>3024</v>
      </c>
      <c r="F1630" t="s">
        <v>3025</v>
      </c>
      <c r="G1630" t="s">
        <v>94</v>
      </c>
      <c r="H1630" t="s">
        <v>24</v>
      </c>
      <c r="I1630" t="s">
        <v>1348</v>
      </c>
      <c r="J1630" t="s">
        <v>425</v>
      </c>
      <c r="K1630" t="s">
        <v>63</v>
      </c>
      <c r="L1630" t="s">
        <v>2391</v>
      </c>
      <c r="M1630" t="s">
        <v>29</v>
      </c>
      <c r="N1630" t="s">
        <v>30</v>
      </c>
      <c r="O1630" t="s">
        <v>2392</v>
      </c>
      <c r="P1630">
        <v>170.98</v>
      </c>
      <c r="Q1630">
        <v>1</v>
      </c>
      <c r="R1630">
        <v>32.486199999999997</v>
      </c>
      <c r="S1630" t="s">
        <v>32</v>
      </c>
    </row>
    <row r="1631" spans="1:19" x14ac:dyDescent="0.35">
      <c r="A1631" t="s">
        <v>3815</v>
      </c>
      <c r="B1631" s="1">
        <v>42335</v>
      </c>
      <c r="C1631" s="1">
        <v>42337</v>
      </c>
      <c r="D1631" t="s">
        <v>20</v>
      </c>
      <c r="E1631" t="s">
        <v>3024</v>
      </c>
      <c r="F1631" t="s">
        <v>3025</v>
      </c>
      <c r="G1631" t="s">
        <v>94</v>
      </c>
      <c r="H1631" t="s">
        <v>24</v>
      </c>
      <c r="I1631" t="s">
        <v>1348</v>
      </c>
      <c r="J1631" t="s">
        <v>425</v>
      </c>
      <c r="K1631" t="s">
        <v>63</v>
      </c>
      <c r="L1631" t="s">
        <v>3816</v>
      </c>
      <c r="M1631" t="s">
        <v>29</v>
      </c>
      <c r="N1631" t="s">
        <v>53</v>
      </c>
      <c r="O1631" t="s">
        <v>3817</v>
      </c>
      <c r="P1631">
        <v>38.97</v>
      </c>
      <c r="Q1631">
        <v>3</v>
      </c>
      <c r="R1631">
        <v>4.6764000000000001</v>
      </c>
      <c r="S1631" t="s">
        <v>32</v>
      </c>
    </row>
    <row r="1632" spans="1:19" x14ac:dyDescent="0.35">
      <c r="A1632" t="s">
        <v>3815</v>
      </c>
      <c r="B1632" s="1">
        <v>42335</v>
      </c>
      <c r="C1632" s="1">
        <v>42337</v>
      </c>
      <c r="D1632" t="s">
        <v>20</v>
      </c>
      <c r="E1632" t="s">
        <v>3024</v>
      </c>
      <c r="F1632" t="s">
        <v>3025</v>
      </c>
      <c r="G1632" t="s">
        <v>94</v>
      </c>
      <c r="H1632" t="s">
        <v>24</v>
      </c>
      <c r="I1632" t="s">
        <v>1348</v>
      </c>
      <c r="J1632" t="s">
        <v>425</v>
      </c>
      <c r="K1632" t="s">
        <v>63</v>
      </c>
      <c r="L1632" t="s">
        <v>1125</v>
      </c>
      <c r="M1632" t="s">
        <v>29</v>
      </c>
      <c r="N1632" t="s">
        <v>43</v>
      </c>
      <c r="O1632" t="s">
        <v>1126</v>
      </c>
      <c r="P1632">
        <v>446.06799999999998</v>
      </c>
      <c r="Q1632">
        <v>4</v>
      </c>
      <c r="R1632">
        <v>0</v>
      </c>
      <c r="S1632" t="s">
        <v>32</v>
      </c>
    </row>
    <row r="1633" spans="1:19" x14ac:dyDescent="0.35">
      <c r="A1633" t="s">
        <v>3818</v>
      </c>
      <c r="B1633" s="1">
        <v>42004</v>
      </c>
      <c r="C1633" s="1">
        <v>42011</v>
      </c>
      <c r="D1633" t="s">
        <v>37</v>
      </c>
      <c r="E1633" t="s">
        <v>2286</v>
      </c>
      <c r="F1633" t="s">
        <v>2287</v>
      </c>
      <c r="G1633" t="s">
        <v>94</v>
      </c>
      <c r="H1633" t="s">
        <v>24</v>
      </c>
      <c r="I1633" t="s">
        <v>1635</v>
      </c>
      <c r="J1633" t="s">
        <v>1636</v>
      </c>
      <c r="K1633" t="s">
        <v>63</v>
      </c>
      <c r="L1633" t="s">
        <v>1371</v>
      </c>
      <c r="M1633" t="s">
        <v>29</v>
      </c>
      <c r="N1633" t="s">
        <v>30</v>
      </c>
      <c r="O1633" t="s">
        <v>1372</v>
      </c>
      <c r="P1633">
        <v>341.96</v>
      </c>
      <c r="Q1633">
        <v>2</v>
      </c>
      <c r="R1633">
        <v>78.650800000000004</v>
      </c>
      <c r="S1633" t="s">
        <v>90</v>
      </c>
    </row>
    <row r="1634" spans="1:19" x14ac:dyDescent="0.35">
      <c r="A1634" t="s">
        <v>3818</v>
      </c>
      <c r="B1634" s="1">
        <v>42004</v>
      </c>
      <c r="C1634" s="1">
        <v>42011</v>
      </c>
      <c r="D1634" t="s">
        <v>37</v>
      </c>
      <c r="E1634" t="s">
        <v>2286</v>
      </c>
      <c r="F1634" t="s">
        <v>2287</v>
      </c>
      <c r="G1634" t="s">
        <v>94</v>
      </c>
      <c r="H1634" t="s">
        <v>24</v>
      </c>
      <c r="I1634" t="s">
        <v>1635</v>
      </c>
      <c r="J1634" t="s">
        <v>1636</v>
      </c>
      <c r="K1634" t="s">
        <v>63</v>
      </c>
      <c r="L1634" t="s">
        <v>98</v>
      </c>
      <c r="M1634" t="s">
        <v>29</v>
      </c>
      <c r="N1634" t="s">
        <v>34</v>
      </c>
      <c r="O1634" t="s">
        <v>99</v>
      </c>
      <c r="P1634">
        <v>605.88</v>
      </c>
      <c r="Q1634">
        <v>6</v>
      </c>
      <c r="R1634">
        <v>151.47</v>
      </c>
      <c r="S1634" t="s">
        <v>90</v>
      </c>
    </row>
    <row r="1635" spans="1:19" x14ac:dyDescent="0.35">
      <c r="A1635" t="s">
        <v>3819</v>
      </c>
      <c r="B1635" s="1">
        <v>42699</v>
      </c>
      <c r="C1635" s="1">
        <v>42703</v>
      </c>
      <c r="D1635" t="s">
        <v>37</v>
      </c>
      <c r="E1635" t="s">
        <v>1926</v>
      </c>
      <c r="F1635" t="s">
        <v>1927</v>
      </c>
      <c r="G1635" t="s">
        <v>84</v>
      </c>
      <c r="H1635" t="s">
        <v>24</v>
      </c>
      <c r="I1635" t="s">
        <v>468</v>
      </c>
      <c r="J1635" t="s">
        <v>281</v>
      </c>
      <c r="K1635" t="s">
        <v>87</v>
      </c>
      <c r="L1635" t="s">
        <v>775</v>
      </c>
      <c r="M1635" t="s">
        <v>29</v>
      </c>
      <c r="N1635" t="s">
        <v>43</v>
      </c>
      <c r="O1635" t="s">
        <v>776</v>
      </c>
      <c r="P1635">
        <v>1568.61</v>
      </c>
      <c r="Q1635">
        <v>9</v>
      </c>
      <c r="R1635">
        <v>329.40809999999999</v>
      </c>
      <c r="S1635" t="s">
        <v>32</v>
      </c>
    </row>
    <row r="1636" spans="1:19" x14ac:dyDescent="0.35">
      <c r="A1636" t="s">
        <v>3820</v>
      </c>
      <c r="B1636" s="1">
        <v>42931</v>
      </c>
      <c r="C1636" s="1">
        <v>42933</v>
      </c>
      <c r="D1636" t="s">
        <v>81</v>
      </c>
      <c r="E1636" t="s">
        <v>1800</v>
      </c>
      <c r="F1636" t="s">
        <v>1801</v>
      </c>
      <c r="G1636" t="s">
        <v>84</v>
      </c>
      <c r="H1636" t="s">
        <v>24</v>
      </c>
      <c r="I1636" t="s">
        <v>1472</v>
      </c>
      <c r="J1636" t="s">
        <v>707</v>
      </c>
      <c r="K1636" t="s">
        <v>27</v>
      </c>
      <c r="L1636" t="s">
        <v>402</v>
      </c>
      <c r="M1636" t="s">
        <v>29</v>
      </c>
      <c r="N1636" t="s">
        <v>43</v>
      </c>
      <c r="O1636" t="s">
        <v>403</v>
      </c>
      <c r="P1636">
        <v>872.94</v>
      </c>
      <c r="Q1636">
        <v>3</v>
      </c>
      <c r="R1636">
        <v>157.1292</v>
      </c>
      <c r="S1636" t="s">
        <v>66</v>
      </c>
    </row>
    <row r="1637" spans="1:19" x14ac:dyDescent="0.35">
      <c r="A1637" t="s">
        <v>3821</v>
      </c>
      <c r="B1637" s="1">
        <v>42451</v>
      </c>
      <c r="C1637" s="1">
        <v>42451</v>
      </c>
      <c r="D1637" t="s">
        <v>417</v>
      </c>
      <c r="E1637" t="s">
        <v>1394</v>
      </c>
      <c r="F1637" t="s">
        <v>1395</v>
      </c>
      <c r="G1637" t="s">
        <v>23</v>
      </c>
      <c r="H1637" t="s">
        <v>24</v>
      </c>
      <c r="I1637" t="s">
        <v>183</v>
      </c>
      <c r="J1637" t="s">
        <v>184</v>
      </c>
      <c r="K1637" t="s">
        <v>51</v>
      </c>
      <c r="L1637" t="s">
        <v>1504</v>
      </c>
      <c r="M1637" t="s">
        <v>29</v>
      </c>
      <c r="N1637" t="s">
        <v>34</v>
      </c>
      <c r="O1637" t="s">
        <v>1505</v>
      </c>
      <c r="P1637">
        <v>167.88800000000001</v>
      </c>
      <c r="Q1637">
        <v>7</v>
      </c>
      <c r="R1637">
        <v>14.690200000000001</v>
      </c>
      <c r="S1637" t="s">
        <v>187</v>
      </c>
    </row>
    <row r="1638" spans="1:19" x14ac:dyDescent="0.35">
      <c r="A1638" t="s">
        <v>3822</v>
      </c>
      <c r="B1638" s="1">
        <v>43083</v>
      </c>
      <c r="C1638" s="1">
        <v>43087</v>
      </c>
      <c r="D1638" t="s">
        <v>37</v>
      </c>
      <c r="E1638" t="s">
        <v>1728</v>
      </c>
      <c r="F1638" t="s">
        <v>1729</v>
      </c>
      <c r="G1638" t="s">
        <v>94</v>
      </c>
      <c r="H1638" t="s">
        <v>24</v>
      </c>
      <c r="I1638" t="s">
        <v>462</v>
      </c>
      <c r="J1638" t="s">
        <v>425</v>
      </c>
      <c r="K1638" t="s">
        <v>63</v>
      </c>
      <c r="L1638" t="s">
        <v>298</v>
      </c>
      <c r="M1638" t="s">
        <v>29</v>
      </c>
      <c r="N1638" t="s">
        <v>43</v>
      </c>
      <c r="O1638" t="s">
        <v>299</v>
      </c>
      <c r="P1638">
        <v>526.58199999999999</v>
      </c>
      <c r="Q1638">
        <v>2</v>
      </c>
      <c r="R1638">
        <v>-52.658200000000001</v>
      </c>
      <c r="S1638" t="s">
        <v>90</v>
      </c>
    </row>
    <row r="1639" spans="1:19" x14ac:dyDescent="0.35">
      <c r="A1639" t="s">
        <v>3823</v>
      </c>
      <c r="B1639" s="1">
        <v>42608</v>
      </c>
      <c r="C1639" s="1">
        <v>42615</v>
      </c>
      <c r="D1639" t="s">
        <v>37</v>
      </c>
      <c r="E1639" t="s">
        <v>1278</v>
      </c>
      <c r="F1639" t="s">
        <v>1279</v>
      </c>
      <c r="G1639" t="s">
        <v>23</v>
      </c>
      <c r="H1639" t="s">
        <v>24</v>
      </c>
      <c r="I1639" t="s">
        <v>280</v>
      </c>
      <c r="J1639" t="s">
        <v>281</v>
      </c>
      <c r="K1639" t="s">
        <v>87</v>
      </c>
      <c r="L1639" t="s">
        <v>1031</v>
      </c>
      <c r="M1639" t="s">
        <v>29</v>
      </c>
      <c r="N1639" t="s">
        <v>43</v>
      </c>
      <c r="O1639" t="s">
        <v>1032</v>
      </c>
      <c r="P1639">
        <v>447.84</v>
      </c>
      <c r="Q1639">
        <v>4</v>
      </c>
      <c r="R1639">
        <v>98.524799999999999</v>
      </c>
      <c r="S1639" t="s">
        <v>245</v>
      </c>
    </row>
    <row r="1640" spans="1:19" x14ac:dyDescent="0.35">
      <c r="A1640" t="s">
        <v>3824</v>
      </c>
      <c r="B1640" s="1">
        <v>43036</v>
      </c>
      <c r="C1640" s="1">
        <v>43038</v>
      </c>
      <c r="D1640" t="s">
        <v>20</v>
      </c>
      <c r="E1640" t="s">
        <v>2645</v>
      </c>
      <c r="F1640" t="s">
        <v>2646</v>
      </c>
      <c r="G1640" t="s">
        <v>23</v>
      </c>
      <c r="H1640" t="s">
        <v>24</v>
      </c>
      <c r="I1640" t="s">
        <v>1902</v>
      </c>
      <c r="J1640" t="s">
        <v>1027</v>
      </c>
      <c r="K1640" t="s">
        <v>27</v>
      </c>
      <c r="L1640" t="s">
        <v>2046</v>
      </c>
      <c r="M1640" t="s">
        <v>29</v>
      </c>
      <c r="N1640" t="s">
        <v>53</v>
      </c>
      <c r="O1640" t="s">
        <v>2047</v>
      </c>
      <c r="P1640">
        <v>77.951999999999998</v>
      </c>
      <c r="Q1640">
        <v>3</v>
      </c>
      <c r="R1640">
        <v>15.590400000000001</v>
      </c>
      <c r="S1640" t="s">
        <v>45</v>
      </c>
    </row>
    <row r="1641" spans="1:19" x14ac:dyDescent="0.35">
      <c r="A1641" t="s">
        <v>3825</v>
      </c>
      <c r="B1641" s="1">
        <v>42257</v>
      </c>
      <c r="C1641" s="1">
        <v>42261</v>
      </c>
      <c r="D1641" t="s">
        <v>37</v>
      </c>
      <c r="E1641" t="s">
        <v>3724</v>
      </c>
      <c r="F1641" t="s">
        <v>3725</v>
      </c>
      <c r="G1641" t="s">
        <v>84</v>
      </c>
      <c r="H1641" t="s">
        <v>24</v>
      </c>
      <c r="I1641" t="s">
        <v>2321</v>
      </c>
      <c r="J1641" t="s">
        <v>86</v>
      </c>
      <c r="K1641" t="s">
        <v>87</v>
      </c>
      <c r="L1641" t="s">
        <v>1591</v>
      </c>
      <c r="M1641" t="s">
        <v>29</v>
      </c>
      <c r="N1641" t="s">
        <v>34</v>
      </c>
      <c r="O1641" t="s">
        <v>1592</v>
      </c>
      <c r="P1641">
        <v>179.886</v>
      </c>
      <c r="Q1641">
        <v>1</v>
      </c>
      <c r="R1641">
        <v>-2.5697999999999999</v>
      </c>
      <c r="S1641" t="s">
        <v>72</v>
      </c>
    </row>
    <row r="1642" spans="1:19" x14ac:dyDescent="0.35">
      <c r="A1642" t="s">
        <v>3826</v>
      </c>
      <c r="B1642" s="1">
        <v>42899</v>
      </c>
      <c r="C1642" s="1">
        <v>42905</v>
      </c>
      <c r="D1642" t="s">
        <v>37</v>
      </c>
      <c r="E1642" t="s">
        <v>3533</v>
      </c>
      <c r="F1642" t="s">
        <v>3534</v>
      </c>
      <c r="G1642" t="s">
        <v>94</v>
      </c>
      <c r="H1642" t="s">
        <v>24</v>
      </c>
      <c r="I1642" t="s">
        <v>183</v>
      </c>
      <c r="J1642" t="s">
        <v>184</v>
      </c>
      <c r="K1642" t="s">
        <v>51</v>
      </c>
      <c r="L1642" t="s">
        <v>1608</v>
      </c>
      <c r="M1642" t="s">
        <v>29</v>
      </c>
      <c r="N1642" t="s">
        <v>34</v>
      </c>
      <c r="O1642" t="s">
        <v>1609</v>
      </c>
      <c r="P1642">
        <v>291.13600000000002</v>
      </c>
      <c r="Q1642">
        <v>4</v>
      </c>
      <c r="R1642">
        <v>-25.474399999999999</v>
      </c>
      <c r="S1642" t="s">
        <v>55</v>
      </c>
    </row>
    <row r="1643" spans="1:19" x14ac:dyDescent="0.35">
      <c r="A1643" t="s">
        <v>3827</v>
      </c>
      <c r="B1643" s="1">
        <v>42173</v>
      </c>
      <c r="C1643" s="1">
        <v>42179</v>
      </c>
      <c r="D1643" t="s">
        <v>37</v>
      </c>
      <c r="E1643" t="s">
        <v>443</v>
      </c>
      <c r="F1643" t="s">
        <v>444</v>
      </c>
      <c r="G1643" t="s">
        <v>23</v>
      </c>
      <c r="H1643" t="s">
        <v>24</v>
      </c>
      <c r="I1643" t="s">
        <v>680</v>
      </c>
      <c r="J1643" t="s">
        <v>707</v>
      </c>
      <c r="K1643" t="s">
        <v>27</v>
      </c>
      <c r="L1643" t="s">
        <v>2309</v>
      </c>
      <c r="M1643" t="s">
        <v>29</v>
      </c>
      <c r="N1643" t="s">
        <v>53</v>
      </c>
      <c r="O1643" t="s">
        <v>2310</v>
      </c>
      <c r="P1643">
        <v>60.84</v>
      </c>
      <c r="Q1643">
        <v>3</v>
      </c>
      <c r="R1643">
        <v>19.468800000000002</v>
      </c>
      <c r="S1643" t="s">
        <v>55</v>
      </c>
    </row>
    <row r="1644" spans="1:19" x14ac:dyDescent="0.35">
      <c r="A1644" t="s">
        <v>3828</v>
      </c>
      <c r="B1644" s="1">
        <v>42338</v>
      </c>
      <c r="C1644" s="1">
        <v>42341</v>
      </c>
      <c r="D1644" t="s">
        <v>81</v>
      </c>
      <c r="E1644" t="s">
        <v>1211</v>
      </c>
      <c r="F1644" t="s">
        <v>1212</v>
      </c>
      <c r="G1644" t="s">
        <v>84</v>
      </c>
      <c r="H1644" t="s">
        <v>24</v>
      </c>
      <c r="I1644" t="s">
        <v>597</v>
      </c>
      <c r="J1644" t="s">
        <v>1027</v>
      </c>
      <c r="K1644" t="s">
        <v>27</v>
      </c>
      <c r="L1644" t="s">
        <v>2131</v>
      </c>
      <c r="M1644" t="s">
        <v>29</v>
      </c>
      <c r="N1644" t="s">
        <v>53</v>
      </c>
      <c r="O1644" t="s">
        <v>2132</v>
      </c>
      <c r="P1644">
        <v>17.088000000000001</v>
      </c>
      <c r="Q1644">
        <v>2</v>
      </c>
      <c r="R1644">
        <v>1.0680000000000001</v>
      </c>
      <c r="S1644" t="s">
        <v>32</v>
      </c>
    </row>
    <row r="1645" spans="1:19" x14ac:dyDescent="0.35">
      <c r="A1645" t="s">
        <v>3829</v>
      </c>
      <c r="B1645" s="1">
        <v>43052</v>
      </c>
      <c r="C1645" s="1">
        <v>43055</v>
      </c>
      <c r="D1645" t="s">
        <v>20</v>
      </c>
      <c r="E1645" t="s">
        <v>1102</v>
      </c>
      <c r="F1645" t="s">
        <v>1103</v>
      </c>
      <c r="G1645" t="s">
        <v>84</v>
      </c>
      <c r="H1645" t="s">
        <v>24</v>
      </c>
      <c r="I1645" t="s">
        <v>2945</v>
      </c>
      <c r="J1645" t="s">
        <v>114</v>
      </c>
      <c r="K1645" t="s">
        <v>63</v>
      </c>
      <c r="L1645" t="s">
        <v>2964</v>
      </c>
      <c r="M1645" t="s">
        <v>29</v>
      </c>
      <c r="N1645" t="s">
        <v>53</v>
      </c>
      <c r="O1645" t="s">
        <v>2965</v>
      </c>
      <c r="P1645">
        <v>154.94999999999999</v>
      </c>
      <c r="Q1645">
        <v>3</v>
      </c>
      <c r="R1645">
        <v>30.99</v>
      </c>
      <c r="S1645" t="s">
        <v>32</v>
      </c>
    </row>
    <row r="1646" spans="1:19" x14ac:dyDescent="0.35">
      <c r="A1646" t="s">
        <v>3830</v>
      </c>
      <c r="B1646" s="1">
        <v>42959</v>
      </c>
      <c r="C1646" s="1">
        <v>42959</v>
      </c>
      <c r="D1646" t="s">
        <v>417</v>
      </c>
      <c r="E1646" t="s">
        <v>1926</v>
      </c>
      <c r="F1646" t="s">
        <v>1927</v>
      </c>
      <c r="G1646" t="s">
        <v>84</v>
      </c>
      <c r="H1646" t="s">
        <v>24</v>
      </c>
      <c r="I1646" t="s">
        <v>149</v>
      </c>
      <c r="J1646" t="s">
        <v>1080</v>
      </c>
      <c r="K1646" t="s">
        <v>63</v>
      </c>
      <c r="L1646" t="s">
        <v>505</v>
      </c>
      <c r="M1646" t="s">
        <v>29</v>
      </c>
      <c r="N1646" t="s">
        <v>34</v>
      </c>
      <c r="O1646" t="s">
        <v>506</v>
      </c>
      <c r="P1646">
        <v>1779.9</v>
      </c>
      <c r="Q1646">
        <v>5</v>
      </c>
      <c r="R1646">
        <v>373.779</v>
      </c>
      <c r="S1646" t="s">
        <v>245</v>
      </c>
    </row>
    <row r="1647" spans="1:19" x14ac:dyDescent="0.35">
      <c r="A1647" t="s">
        <v>3831</v>
      </c>
      <c r="B1647" s="1">
        <v>42678</v>
      </c>
      <c r="C1647" s="1">
        <v>42680</v>
      </c>
      <c r="D1647" t="s">
        <v>20</v>
      </c>
      <c r="E1647" t="s">
        <v>3832</v>
      </c>
      <c r="F1647" t="s">
        <v>3833</v>
      </c>
      <c r="G1647" t="s">
        <v>84</v>
      </c>
      <c r="H1647" t="s">
        <v>24</v>
      </c>
      <c r="I1647" t="s">
        <v>1518</v>
      </c>
      <c r="J1647" t="s">
        <v>1027</v>
      </c>
      <c r="K1647" t="s">
        <v>27</v>
      </c>
      <c r="L1647" t="s">
        <v>360</v>
      </c>
      <c r="M1647" t="s">
        <v>29</v>
      </c>
      <c r="N1647" t="s">
        <v>43</v>
      </c>
      <c r="O1647" t="s">
        <v>361</v>
      </c>
      <c r="P1647">
        <v>876.3</v>
      </c>
      <c r="Q1647">
        <v>10</v>
      </c>
      <c r="R1647">
        <v>-292.10000000000002</v>
      </c>
      <c r="S1647" t="s">
        <v>32</v>
      </c>
    </row>
    <row r="1648" spans="1:19" x14ac:dyDescent="0.35">
      <c r="A1648" t="s">
        <v>3834</v>
      </c>
      <c r="B1648" s="1">
        <v>42507</v>
      </c>
      <c r="C1648" s="1">
        <v>42510</v>
      </c>
      <c r="D1648" t="s">
        <v>81</v>
      </c>
      <c r="E1648" t="s">
        <v>3835</v>
      </c>
      <c r="F1648" t="s">
        <v>3836</v>
      </c>
      <c r="G1648" t="s">
        <v>23</v>
      </c>
      <c r="H1648" t="s">
        <v>24</v>
      </c>
      <c r="I1648" t="s">
        <v>125</v>
      </c>
      <c r="J1648" t="s">
        <v>126</v>
      </c>
      <c r="K1648" t="s">
        <v>87</v>
      </c>
      <c r="L1648" t="s">
        <v>1533</v>
      </c>
      <c r="M1648" t="s">
        <v>29</v>
      </c>
      <c r="N1648" t="s">
        <v>53</v>
      </c>
      <c r="O1648" t="s">
        <v>1534</v>
      </c>
      <c r="P1648">
        <v>22.608000000000001</v>
      </c>
      <c r="Q1648">
        <v>3</v>
      </c>
      <c r="R1648">
        <v>-10.1736</v>
      </c>
      <c r="S1648" t="s">
        <v>153</v>
      </c>
    </row>
    <row r="1649" spans="1:19" x14ac:dyDescent="0.35">
      <c r="A1649" t="s">
        <v>3837</v>
      </c>
      <c r="B1649" s="1">
        <v>42818</v>
      </c>
      <c r="C1649" s="1">
        <v>42821</v>
      </c>
      <c r="D1649" t="s">
        <v>81</v>
      </c>
      <c r="E1649" t="s">
        <v>2022</v>
      </c>
      <c r="F1649" t="s">
        <v>2023</v>
      </c>
      <c r="G1649" t="s">
        <v>84</v>
      </c>
      <c r="H1649" t="s">
        <v>24</v>
      </c>
      <c r="I1649" t="s">
        <v>165</v>
      </c>
      <c r="J1649" t="s">
        <v>114</v>
      </c>
      <c r="K1649" t="s">
        <v>63</v>
      </c>
      <c r="L1649" t="s">
        <v>479</v>
      </c>
      <c r="M1649" t="s">
        <v>29</v>
      </c>
      <c r="N1649" t="s">
        <v>34</v>
      </c>
      <c r="O1649" t="s">
        <v>480</v>
      </c>
      <c r="P1649">
        <v>207.846</v>
      </c>
      <c r="Q1649">
        <v>3</v>
      </c>
      <c r="R1649">
        <v>2.3094000000000001</v>
      </c>
      <c r="S1649" t="s">
        <v>187</v>
      </c>
    </row>
    <row r="1650" spans="1:19" x14ac:dyDescent="0.35">
      <c r="A1650" t="s">
        <v>3838</v>
      </c>
      <c r="B1650" s="1">
        <v>41722</v>
      </c>
      <c r="C1650" s="1">
        <v>41727</v>
      </c>
      <c r="D1650" t="s">
        <v>20</v>
      </c>
      <c r="E1650" t="s">
        <v>1153</v>
      </c>
      <c r="F1650" t="s">
        <v>1154</v>
      </c>
      <c r="G1650" t="s">
        <v>23</v>
      </c>
      <c r="H1650" t="s">
        <v>24</v>
      </c>
      <c r="I1650" t="s">
        <v>1124</v>
      </c>
      <c r="J1650" t="s">
        <v>50</v>
      </c>
      <c r="K1650" t="s">
        <v>51</v>
      </c>
      <c r="L1650" t="s">
        <v>2956</v>
      </c>
      <c r="M1650" t="s">
        <v>29</v>
      </c>
      <c r="N1650" t="s">
        <v>53</v>
      </c>
      <c r="O1650" t="s">
        <v>2957</v>
      </c>
      <c r="P1650">
        <v>40.479999999999997</v>
      </c>
      <c r="Q1650">
        <v>2</v>
      </c>
      <c r="R1650">
        <v>14.572800000000001</v>
      </c>
      <c r="S1650" t="s">
        <v>187</v>
      </c>
    </row>
    <row r="1651" spans="1:19" x14ac:dyDescent="0.35">
      <c r="A1651" t="s">
        <v>3839</v>
      </c>
      <c r="B1651" s="1">
        <v>42414</v>
      </c>
      <c r="C1651" s="1">
        <v>42415</v>
      </c>
      <c r="D1651" t="s">
        <v>81</v>
      </c>
      <c r="E1651" t="s">
        <v>181</v>
      </c>
      <c r="F1651" t="s">
        <v>182</v>
      </c>
      <c r="G1651" t="s">
        <v>23</v>
      </c>
      <c r="H1651" t="s">
        <v>24</v>
      </c>
      <c r="I1651" t="s">
        <v>2513</v>
      </c>
      <c r="J1651" t="s">
        <v>1080</v>
      </c>
      <c r="K1651" t="s">
        <v>63</v>
      </c>
      <c r="L1651" t="s">
        <v>906</v>
      </c>
      <c r="M1651" t="s">
        <v>29</v>
      </c>
      <c r="N1651" t="s">
        <v>43</v>
      </c>
      <c r="O1651" t="s">
        <v>907</v>
      </c>
      <c r="P1651">
        <v>550.43100000000004</v>
      </c>
      <c r="Q1651">
        <v>3</v>
      </c>
      <c r="R1651">
        <v>-47.1798</v>
      </c>
      <c r="S1651" t="s">
        <v>289</v>
      </c>
    </row>
    <row r="1652" spans="1:19" x14ac:dyDescent="0.35">
      <c r="A1652" t="s">
        <v>3839</v>
      </c>
      <c r="B1652" s="1">
        <v>42414</v>
      </c>
      <c r="C1652" s="1">
        <v>42415</v>
      </c>
      <c r="D1652" t="s">
        <v>81</v>
      </c>
      <c r="E1652" t="s">
        <v>181</v>
      </c>
      <c r="F1652" t="s">
        <v>182</v>
      </c>
      <c r="G1652" t="s">
        <v>23</v>
      </c>
      <c r="H1652" t="s">
        <v>24</v>
      </c>
      <c r="I1652" t="s">
        <v>2513</v>
      </c>
      <c r="J1652" t="s">
        <v>1080</v>
      </c>
      <c r="K1652" t="s">
        <v>63</v>
      </c>
      <c r="L1652" t="s">
        <v>329</v>
      </c>
      <c r="M1652" t="s">
        <v>29</v>
      </c>
      <c r="N1652" t="s">
        <v>53</v>
      </c>
      <c r="O1652" t="s">
        <v>330</v>
      </c>
      <c r="P1652">
        <v>10.56</v>
      </c>
      <c r="Q1652">
        <v>6</v>
      </c>
      <c r="R1652">
        <v>4.6463999999999999</v>
      </c>
      <c r="S1652" t="s">
        <v>289</v>
      </c>
    </row>
    <row r="1653" spans="1:19" x14ac:dyDescent="0.35">
      <c r="A1653" t="s">
        <v>3840</v>
      </c>
      <c r="B1653" s="1">
        <v>42894</v>
      </c>
      <c r="C1653" s="1">
        <v>42896</v>
      </c>
      <c r="D1653" t="s">
        <v>81</v>
      </c>
      <c r="E1653" t="s">
        <v>220</v>
      </c>
      <c r="F1653" t="s">
        <v>221</v>
      </c>
      <c r="G1653" t="s">
        <v>94</v>
      </c>
      <c r="H1653" t="s">
        <v>24</v>
      </c>
      <c r="I1653" t="s">
        <v>49</v>
      </c>
      <c r="J1653" t="s">
        <v>50</v>
      </c>
      <c r="K1653" t="s">
        <v>51</v>
      </c>
      <c r="L1653" t="s">
        <v>76</v>
      </c>
      <c r="M1653" t="s">
        <v>29</v>
      </c>
      <c r="N1653" t="s">
        <v>30</v>
      </c>
      <c r="O1653" t="s">
        <v>77</v>
      </c>
      <c r="P1653">
        <v>1497.6659999999999</v>
      </c>
      <c r="Q1653">
        <v>2</v>
      </c>
      <c r="R1653">
        <v>140.95679999999999</v>
      </c>
      <c r="S1653" t="s">
        <v>55</v>
      </c>
    </row>
    <row r="1654" spans="1:19" x14ac:dyDescent="0.35">
      <c r="A1654" t="s">
        <v>3841</v>
      </c>
      <c r="B1654" s="1">
        <v>41775</v>
      </c>
      <c r="C1654" s="1">
        <v>41782</v>
      </c>
      <c r="D1654" t="s">
        <v>37</v>
      </c>
      <c r="E1654" t="s">
        <v>3842</v>
      </c>
      <c r="F1654" t="s">
        <v>3843</v>
      </c>
      <c r="G1654" t="s">
        <v>84</v>
      </c>
      <c r="H1654" t="s">
        <v>24</v>
      </c>
      <c r="I1654" t="s">
        <v>49</v>
      </c>
      <c r="J1654" t="s">
        <v>50</v>
      </c>
      <c r="K1654" t="s">
        <v>51</v>
      </c>
      <c r="L1654" t="s">
        <v>1883</v>
      </c>
      <c r="M1654" t="s">
        <v>29</v>
      </c>
      <c r="N1654" t="s">
        <v>34</v>
      </c>
      <c r="O1654" t="s">
        <v>1884</v>
      </c>
      <c r="P1654">
        <v>232.88</v>
      </c>
      <c r="Q1654">
        <v>5</v>
      </c>
      <c r="R1654">
        <v>17.466000000000001</v>
      </c>
      <c r="S1654" t="s">
        <v>153</v>
      </c>
    </row>
    <row r="1655" spans="1:19" x14ac:dyDescent="0.35">
      <c r="A1655" t="s">
        <v>3844</v>
      </c>
      <c r="B1655" s="1">
        <v>42038</v>
      </c>
      <c r="C1655" s="1">
        <v>42042</v>
      </c>
      <c r="D1655" t="s">
        <v>37</v>
      </c>
      <c r="E1655" t="s">
        <v>3842</v>
      </c>
      <c r="F1655" t="s">
        <v>3843</v>
      </c>
      <c r="G1655" t="s">
        <v>84</v>
      </c>
      <c r="H1655" t="s">
        <v>24</v>
      </c>
      <c r="I1655" t="s">
        <v>2847</v>
      </c>
      <c r="J1655" t="s">
        <v>114</v>
      </c>
      <c r="K1655" t="s">
        <v>63</v>
      </c>
      <c r="L1655" t="s">
        <v>98</v>
      </c>
      <c r="M1655" t="s">
        <v>29</v>
      </c>
      <c r="N1655" t="s">
        <v>34</v>
      </c>
      <c r="O1655" t="s">
        <v>99</v>
      </c>
      <c r="P1655">
        <v>90.882000000000005</v>
      </c>
      <c r="Q1655">
        <v>1</v>
      </c>
      <c r="R1655">
        <v>15.147</v>
      </c>
      <c r="S1655" t="s">
        <v>289</v>
      </c>
    </row>
    <row r="1656" spans="1:19" x14ac:dyDescent="0.35">
      <c r="A1656" t="s">
        <v>3845</v>
      </c>
      <c r="B1656" s="1">
        <v>42120</v>
      </c>
      <c r="C1656" s="1">
        <v>42125</v>
      </c>
      <c r="D1656" t="s">
        <v>37</v>
      </c>
      <c r="E1656" t="s">
        <v>1951</v>
      </c>
      <c r="F1656" t="s">
        <v>1952</v>
      </c>
      <c r="G1656" t="s">
        <v>84</v>
      </c>
      <c r="H1656" t="s">
        <v>24</v>
      </c>
      <c r="I1656" t="s">
        <v>630</v>
      </c>
      <c r="J1656" t="s">
        <v>50</v>
      </c>
      <c r="K1656" t="s">
        <v>51</v>
      </c>
      <c r="L1656" t="s">
        <v>1999</v>
      </c>
      <c r="M1656" t="s">
        <v>29</v>
      </c>
      <c r="N1656" t="s">
        <v>34</v>
      </c>
      <c r="O1656" t="s">
        <v>2000</v>
      </c>
      <c r="P1656">
        <v>63.936</v>
      </c>
      <c r="Q1656">
        <v>3</v>
      </c>
      <c r="R1656">
        <v>6.3936000000000002</v>
      </c>
      <c r="S1656" t="s">
        <v>107</v>
      </c>
    </row>
    <row r="1657" spans="1:19" x14ac:dyDescent="0.35">
      <c r="A1657" t="s">
        <v>3846</v>
      </c>
      <c r="B1657" s="1">
        <v>42107</v>
      </c>
      <c r="C1657" s="1">
        <v>42111</v>
      </c>
      <c r="D1657" t="s">
        <v>20</v>
      </c>
      <c r="E1657" t="s">
        <v>2954</v>
      </c>
      <c r="F1657" t="s">
        <v>2955</v>
      </c>
      <c r="G1657" t="s">
        <v>23</v>
      </c>
      <c r="H1657" t="s">
        <v>24</v>
      </c>
      <c r="I1657" t="s">
        <v>49</v>
      </c>
      <c r="J1657" t="s">
        <v>50</v>
      </c>
      <c r="K1657" t="s">
        <v>51</v>
      </c>
      <c r="L1657" t="s">
        <v>1275</v>
      </c>
      <c r="M1657" t="s">
        <v>29</v>
      </c>
      <c r="N1657" t="s">
        <v>43</v>
      </c>
      <c r="O1657" t="s">
        <v>1276</v>
      </c>
      <c r="P1657">
        <v>241.56800000000001</v>
      </c>
      <c r="Q1657">
        <v>2</v>
      </c>
      <c r="R1657">
        <v>-15.098000000000001</v>
      </c>
      <c r="S1657" t="s">
        <v>107</v>
      </c>
    </row>
    <row r="1658" spans="1:19" x14ac:dyDescent="0.35">
      <c r="A1658" t="s">
        <v>3847</v>
      </c>
      <c r="B1658" s="1">
        <v>42272</v>
      </c>
      <c r="C1658" s="1">
        <v>42277</v>
      </c>
      <c r="D1658" t="s">
        <v>37</v>
      </c>
      <c r="E1658" t="s">
        <v>2015</v>
      </c>
      <c r="F1658" t="s">
        <v>2016</v>
      </c>
      <c r="G1658" t="s">
        <v>84</v>
      </c>
      <c r="H1658" t="s">
        <v>24</v>
      </c>
      <c r="I1658" t="s">
        <v>183</v>
      </c>
      <c r="J1658" t="s">
        <v>184</v>
      </c>
      <c r="K1658" t="s">
        <v>51</v>
      </c>
      <c r="L1658" t="s">
        <v>1270</v>
      </c>
      <c r="M1658" t="s">
        <v>29</v>
      </c>
      <c r="N1658" t="s">
        <v>34</v>
      </c>
      <c r="O1658" t="s">
        <v>1271</v>
      </c>
      <c r="P1658">
        <v>307.13600000000002</v>
      </c>
      <c r="Q1658">
        <v>4</v>
      </c>
      <c r="R1658">
        <v>-11.5176</v>
      </c>
      <c r="S1658" t="s">
        <v>72</v>
      </c>
    </row>
    <row r="1659" spans="1:19" x14ac:dyDescent="0.35">
      <c r="A1659" t="s">
        <v>3848</v>
      </c>
      <c r="B1659" s="1">
        <v>41726</v>
      </c>
      <c r="C1659" s="1">
        <v>41731</v>
      </c>
      <c r="D1659" t="s">
        <v>37</v>
      </c>
      <c r="E1659" t="s">
        <v>3119</v>
      </c>
      <c r="F1659" t="s">
        <v>3120</v>
      </c>
      <c r="G1659" t="s">
        <v>23</v>
      </c>
      <c r="H1659" t="s">
        <v>24</v>
      </c>
      <c r="I1659" t="s">
        <v>791</v>
      </c>
      <c r="J1659" t="s">
        <v>792</v>
      </c>
      <c r="K1659" t="s">
        <v>87</v>
      </c>
      <c r="L1659" t="s">
        <v>1662</v>
      </c>
      <c r="M1659" t="s">
        <v>29</v>
      </c>
      <c r="N1659" t="s">
        <v>43</v>
      </c>
      <c r="O1659" t="s">
        <v>1663</v>
      </c>
      <c r="P1659">
        <v>1184.72</v>
      </c>
      <c r="Q1659">
        <v>4</v>
      </c>
      <c r="R1659">
        <v>106.62479999999999</v>
      </c>
      <c r="S1659" t="s">
        <v>187</v>
      </c>
    </row>
    <row r="1660" spans="1:19" x14ac:dyDescent="0.35">
      <c r="A1660" t="s">
        <v>3849</v>
      </c>
      <c r="B1660" s="1">
        <v>42937</v>
      </c>
      <c r="C1660" s="1">
        <v>42941</v>
      </c>
      <c r="D1660" t="s">
        <v>37</v>
      </c>
      <c r="E1660" t="s">
        <v>3850</v>
      </c>
      <c r="F1660" t="s">
        <v>3851</v>
      </c>
      <c r="G1660" t="s">
        <v>23</v>
      </c>
      <c r="H1660" t="s">
        <v>24</v>
      </c>
      <c r="I1660" t="s">
        <v>2234</v>
      </c>
      <c r="J1660" t="s">
        <v>86</v>
      </c>
      <c r="K1660" t="s">
        <v>87</v>
      </c>
      <c r="L1660" t="s">
        <v>1240</v>
      </c>
      <c r="M1660" t="s">
        <v>29</v>
      </c>
      <c r="N1660" t="s">
        <v>43</v>
      </c>
      <c r="O1660" t="s">
        <v>1241</v>
      </c>
      <c r="P1660">
        <v>124.404</v>
      </c>
      <c r="Q1660">
        <v>4</v>
      </c>
      <c r="R1660">
        <v>-21.3264</v>
      </c>
      <c r="S1660" t="s">
        <v>66</v>
      </c>
    </row>
    <row r="1661" spans="1:19" x14ac:dyDescent="0.35">
      <c r="A1661" t="s">
        <v>3852</v>
      </c>
      <c r="B1661" s="1">
        <v>42427</v>
      </c>
      <c r="C1661" s="1">
        <v>42431</v>
      </c>
      <c r="D1661" t="s">
        <v>37</v>
      </c>
      <c r="E1661" t="s">
        <v>3853</v>
      </c>
      <c r="F1661" t="s">
        <v>3854</v>
      </c>
      <c r="G1661" t="s">
        <v>23</v>
      </c>
      <c r="H1661" t="s">
        <v>24</v>
      </c>
      <c r="I1661" t="s">
        <v>95</v>
      </c>
      <c r="J1661" t="s">
        <v>86</v>
      </c>
      <c r="K1661" t="s">
        <v>87</v>
      </c>
      <c r="L1661" t="s">
        <v>2786</v>
      </c>
      <c r="M1661" t="s">
        <v>29</v>
      </c>
      <c r="N1661" t="s">
        <v>53</v>
      </c>
      <c r="O1661" t="s">
        <v>2787</v>
      </c>
      <c r="P1661">
        <v>16.192</v>
      </c>
      <c r="Q1661">
        <v>2</v>
      </c>
      <c r="R1661">
        <v>-6.8815999999999997</v>
      </c>
      <c r="S1661" t="s">
        <v>289</v>
      </c>
    </row>
    <row r="1662" spans="1:19" x14ac:dyDescent="0.35">
      <c r="A1662" t="s">
        <v>3855</v>
      </c>
      <c r="B1662" s="1">
        <v>42199</v>
      </c>
      <c r="C1662" s="1">
        <v>42204</v>
      </c>
      <c r="D1662" t="s">
        <v>20</v>
      </c>
      <c r="E1662" t="s">
        <v>3856</v>
      </c>
      <c r="F1662" t="s">
        <v>3857</v>
      </c>
      <c r="G1662" t="s">
        <v>23</v>
      </c>
      <c r="H1662" t="s">
        <v>24</v>
      </c>
      <c r="I1662" t="s">
        <v>905</v>
      </c>
      <c r="J1662" t="s">
        <v>511</v>
      </c>
      <c r="K1662" t="s">
        <v>51</v>
      </c>
      <c r="L1662" t="s">
        <v>238</v>
      </c>
      <c r="M1662" t="s">
        <v>29</v>
      </c>
      <c r="N1662" t="s">
        <v>34</v>
      </c>
      <c r="O1662" t="s">
        <v>239</v>
      </c>
      <c r="P1662">
        <v>441.92</v>
      </c>
      <c r="Q1662">
        <v>2</v>
      </c>
      <c r="R1662">
        <v>49.716000000000001</v>
      </c>
      <c r="S1662" t="s">
        <v>66</v>
      </c>
    </row>
    <row r="1663" spans="1:19" x14ac:dyDescent="0.35">
      <c r="A1663" t="s">
        <v>3855</v>
      </c>
      <c r="B1663" s="1">
        <v>42199</v>
      </c>
      <c r="C1663" s="1">
        <v>42204</v>
      </c>
      <c r="D1663" t="s">
        <v>20</v>
      </c>
      <c r="E1663" t="s">
        <v>3856</v>
      </c>
      <c r="F1663" t="s">
        <v>3857</v>
      </c>
      <c r="G1663" t="s">
        <v>23</v>
      </c>
      <c r="H1663" t="s">
        <v>24</v>
      </c>
      <c r="I1663" t="s">
        <v>905</v>
      </c>
      <c r="J1663" t="s">
        <v>511</v>
      </c>
      <c r="K1663" t="s">
        <v>51</v>
      </c>
      <c r="L1663" t="s">
        <v>2470</v>
      </c>
      <c r="M1663" t="s">
        <v>29</v>
      </c>
      <c r="N1663" t="s">
        <v>30</v>
      </c>
      <c r="O1663" t="s">
        <v>2471</v>
      </c>
      <c r="P1663">
        <v>127.764</v>
      </c>
      <c r="Q1663">
        <v>6</v>
      </c>
      <c r="R1663">
        <v>-191.64599999999999</v>
      </c>
      <c r="S1663" t="s">
        <v>66</v>
      </c>
    </row>
    <row r="1664" spans="1:19" x14ac:dyDescent="0.35">
      <c r="A1664" t="s">
        <v>3858</v>
      </c>
      <c r="B1664" s="1">
        <v>42646</v>
      </c>
      <c r="C1664" s="1">
        <v>42650</v>
      </c>
      <c r="D1664" t="s">
        <v>37</v>
      </c>
      <c r="E1664" t="s">
        <v>2292</v>
      </c>
      <c r="F1664" t="s">
        <v>2293</v>
      </c>
      <c r="G1664" t="s">
        <v>94</v>
      </c>
      <c r="H1664" t="s">
        <v>24</v>
      </c>
      <c r="I1664" t="s">
        <v>3256</v>
      </c>
      <c r="J1664" t="s">
        <v>50</v>
      </c>
      <c r="K1664" t="s">
        <v>51</v>
      </c>
      <c r="L1664" t="s">
        <v>198</v>
      </c>
      <c r="M1664" t="s">
        <v>29</v>
      </c>
      <c r="N1664" t="s">
        <v>34</v>
      </c>
      <c r="O1664" t="s">
        <v>199</v>
      </c>
      <c r="P1664">
        <v>915.13599999999997</v>
      </c>
      <c r="Q1664">
        <v>4</v>
      </c>
      <c r="R1664">
        <v>102.9528</v>
      </c>
      <c r="S1664" t="s">
        <v>45</v>
      </c>
    </row>
    <row r="1665" spans="1:19" x14ac:dyDescent="0.35">
      <c r="A1665" t="s">
        <v>3859</v>
      </c>
      <c r="B1665" s="1">
        <v>42703</v>
      </c>
      <c r="C1665" s="1">
        <v>42708</v>
      </c>
      <c r="D1665" t="s">
        <v>20</v>
      </c>
      <c r="E1665" t="s">
        <v>2104</v>
      </c>
      <c r="F1665" t="s">
        <v>2105</v>
      </c>
      <c r="G1665" t="s">
        <v>94</v>
      </c>
      <c r="H1665" t="s">
        <v>24</v>
      </c>
      <c r="I1665" t="s">
        <v>171</v>
      </c>
      <c r="J1665" t="s">
        <v>126</v>
      </c>
      <c r="K1665" t="s">
        <v>87</v>
      </c>
      <c r="L1665" t="s">
        <v>3667</v>
      </c>
      <c r="M1665" t="s">
        <v>29</v>
      </c>
      <c r="N1665" t="s">
        <v>53</v>
      </c>
      <c r="O1665" t="s">
        <v>3668</v>
      </c>
      <c r="P1665">
        <v>242.17599999999999</v>
      </c>
      <c r="Q1665">
        <v>4</v>
      </c>
      <c r="R1665">
        <v>-302.72000000000003</v>
      </c>
      <c r="S1665" t="s">
        <v>32</v>
      </c>
    </row>
    <row r="1666" spans="1:19" x14ac:dyDescent="0.35">
      <c r="A1666" t="s">
        <v>3860</v>
      </c>
      <c r="B1666" s="1">
        <v>42535</v>
      </c>
      <c r="C1666" s="1">
        <v>42542</v>
      </c>
      <c r="D1666" t="s">
        <v>37</v>
      </c>
      <c r="E1666" t="s">
        <v>3861</v>
      </c>
      <c r="F1666" t="s">
        <v>3862</v>
      </c>
      <c r="G1666" t="s">
        <v>84</v>
      </c>
      <c r="H1666" t="s">
        <v>24</v>
      </c>
      <c r="I1666" t="s">
        <v>61</v>
      </c>
      <c r="J1666" t="s">
        <v>62</v>
      </c>
      <c r="K1666" t="s">
        <v>63</v>
      </c>
      <c r="L1666" t="s">
        <v>2810</v>
      </c>
      <c r="M1666" t="s">
        <v>29</v>
      </c>
      <c r="N1666" t="s">
        <v>43</v>
      </c>
      <c r="O1666" t="s">
        <v>2811</v>
      </c>
      <c r="P1666">
        <v>337.17599999999999</v>
      </c>
      <c r="Q1666">
        <v>2</v>
      </c>
      <c r="R1666">
        <v>-118.0116</v>
      </c>
      <c r="S1666" t="s">
        <v>55</v>
      </c>
    </row>
    <row r="1667" spans="1:19" x14ac:dyDescent="0.35">
      <c r="A1667" t="s">
        <v>3863</v>
      </c>
      <c r="B1667" s="1">
        <v>43072</v>
      </c>
      <c r="C1667" s="1">
        <v>43075</v>
      </c>
      <c r="D1667" t="s">
        <v>20</v>
      </c>
      <c r="E1667" t="s">
        <v>169</v>
      </c>
      <c r="F1667" t="s">
        <v>170</v>
      </c>
      <c r="G1667" t="s">
        <v>23</v>
      </c>
      <c r="H1667" t="s">
        <v>24</v>
      </c>
      <c r="I1667" t="s">
        <v>3864</v>
      </c>
      <c r="J1667" t="s">
        <v>172</v>
      </c>
      <c r="K1667" t="s">
        <v>51</v>
      </c>
      <c r="L1667" t="s">
        <v>307</v>
      </c>
      <c r="M1667" t="s">
        <v>29</v>
      </c>
      <c r="N1667" t="s">
        <v>53</v>
      </c>
      <c r="O1667" t="s">
        <v>308</v>
      </c>
      <c r="P1667">
        <v>23.376000000000001</v>
      </c>
      <c r="Q1667">
        <v>3</v>
      </c>
      <c r="R1667">
        <v>7.0128000000000004</v>
      </c>
      <c r="S1667" t="s">
        <v>90</v>
      </c>
    </row>
    <row r="1668" spans="1:19" x14ac:dyDescent="0.35">
      <c r="A1668" t="s">
        <v>3863</v>
      </c>
      <c r="B1668" s="1">
        <v>43072</v>
      </c>
      <c r="C1668" s="1">
        <v>43075</v>
      </c>
      <c r="D1668" t="s">
        <v>20</v>
      </c>
      <c r="E1668" t="s">
        <v>169</v>
      </c>
      <c r="F1668" t="s">
        <v>170</v>
      </c>
      <c r="G1668" t="s">
        <v>23</v>
      </c>
      <c r="H1668" t="s">
        <v>24</v>
      </c>
      <c r="I1668" t="s">
        <v>3864</v>
      </c>
      <c r="J1668" t="s">
        <v>172</v>
      </c>
      <c r="K1668" t="s">
        <v>51</v>
      </c>
      <c r="L1668" t="s">
        <v>1302</v>
      </c>
      <c r="M1668" t="s">
        <v>29</v>
      </c>
      <c r="N1668" t="s">
        <v>53</v>
      </c>
      <c r="O1668" t="s">
        <v>1303</v>
      </c>
      <c r="P1668">
        <v>16.72</v>
      </c>
      <c r="Q1668">
        <v>5</v>
      </c>
      <c r="R1668">
        <v>3.3439999999999999</v>
      </c>
      <c r="S1668" t="s">
        <v>90</v>
      </c>
    </row>
    <row r="1669" spans="1:19" x14ac:dyDescent="0.35">
      <c r="A1669" t="s">
        <v>3863</v>
      </c>
      <c r="B1669" s="1">
        <v>43072</v>
      </c>
      <c r="C1669" s="1">
        <v>43075</v>
      </c>
      <c r="D1669" t="s">
        <v>20</v>
      </c>
      <c r="E1669" t="s">
        <v>169</v>
      </c>
      <c r="F1669" t="s">
        <v>170</v>
      </c>
      <c r="G1669" t="s">
        <v>23</v>
      </c>
      <c r="H1669" t="s">
        <v>24</v>
      </c>
      <c r="I1669" t="s">
        <v>3864</v>
      </c>
      <c r="J1669" t="s">
        <v>172</v>
      </c>
      <c r="K1669" t="s">
        <v>51</v>
      </c>
      <c r="L1669" t="s">
        <v>2786</v>
      </c>
      <c r="M1669" t="s">
        <v>29</v>
      </c>
      <c r="N1669" t="s">
        <v>53</v>
      </c>
      <c r="O1669" t="s">
        <v>2787</v>
      </c>
      <c r="P1669">
        <v>16.192</v>
      </c>
      <c r="Q1669">
        <v>1</v>
      </c>
      <c r="R1669">
        <v>4.6551999999999998</v>
      </c>
      <c r="S1669" t="s">
        <v>90</v>
      </c>
    </row>
    <row r="1670" spans="1:19" x14ac:dyDescent="0.35">
      <c r="A1670" t="s">
        <v>3865</v>
      </c>
      <c r="B1670" s="1">
        <v>42729</v>
      </c>
      <c r="C1670" s="1">
        <v>42733</v>
      </c>
      <c r="D1670" t="s">
        <v>37</v>
      </c>
      <c r="E1670" t="s">
        <v>3866</v>
      </c>
      <c r="F1670" t="s">
        <v>3867</v>
      </c>
      <c r="G1670" t="s">
        <v>23</v>
      </c>
      <c r="H1670" t="s">
        <v>24</v>
      </c>
      <c r="I1670" t="s">
        <v>1902</v>
      </c>
      <c r="J1670" t="s">
        <v>1049</v>
      </c>
      <c r="K1670" t="s">
        <v>27</v>
      </c>
      <c r="L1670" t="s">
        <v>696</v>
      </c>
      <c r="M1670" t="s">
        <v>29</v>
      </c>
      <c r="N1670" t="s">
        <v>53</v>
      </c>
      <c r="O1670" t="s">
        <v>697</v>
      </c>
      <c r="P1670">
        <v>343.85</v>
      </c>
      <c r="Q1670">
        <v>5</v>
      </c>
      <c r="R1670">
        <v>137.54</v>
      </c>
      <c r="S1670" t="s">
        <v>90</v>
      </c>
    </row>
    <row r="1671" spans="1:19" x14ac:dyDescent="0.35">
      <c r="A1671" t="s">
        <v>3868</v>
      </c>
      <c r="B1671" s="1">
        <v>42960</v>
      </c>
      <c r="C1671" s="1">
        <v>42965</v>
      </c>
      <c r="D1671" t="s">
        <v>37</v>
      </c>
      <c r="E1671" t="s">
        <v>3869</v>
      </c>
      <c r="F1671" t="s">
        <v>3870</v>
      </c>
      <c r="G1671" t="s">
        <v>23</v>
      </c>
      <c r="H1671" t="s">
        <v>24</v>
      </c>
      <c r="I1671" t="s">
        <v>132</v>
      </c>
      <c r="J1671" t="s">
        <v>133</v>
      </c>
      <c r="K1671" t="s">
        <v>27</v>
      </c>
      <c r="L1671" t="s">
        <v>1114</v>
      </c>
      <c r="M1671" t="s">
        <v>29</v>
      </c>
      <c r="N1671" t="s">
        <v>53</v>
      </c>
      <c r="O1671" t="s">
        <v>1115</v>
      </c>
      <c r="P1671">
        <v>31.984000000000002</v>
      </c>
      <c r="Q1671">
        <v>1</v>
      </c>
      <c r="R1671">
        <v>0</v>
      </c>
      <c r="S1671" t="s">
        <v>245</v>
      </c>
    </row>
    <row r="1672" spans="1:19" x14ac:dyDescent="0.35">
      <c r="A1672" t="s">
        <v>3868</v>
      </c>
      <c r="B1672" s="1">
        <v>42960</v>
      </c>
      <c r="C1672" s="1">
        <v>42965</v>
      </c>
      <c r="D1672" t="s">
        <v>37</v>
      </c>
      <c r="E1672" t="s">
        <v>3869</v>
      </c>
      <c r="F1672" t="s">
        <v>3870</v>
      </c>
      <c r="G1672" t="s">
        <v>23</v>
      </c>
      <c r="H1672" t="s">
        <v>24</v>
      </c>
      <c r="I1672" t="s">
        <v>132</v>
      </c>
      <c r="J1672" t="s">
        <v>133</v>
      </c>
      <c r="K1672" t="s">
        <v>27</v>
      </c>
      <c r="L1672" t="s">
        <v>3582</v>
      </c>
      <c r="M1672" t="s">
        <v>29</v>
      </c>
      <c r="N1672" t="s">
        <v>34</v>
      </c>
      <c r="O1672" t="s">
        <v>3583</v>
      </c>
      <c r="P1672">
        <v>423.64800000000002</v>
      </c>
      <c r="Q1672">
        <v>2</v>
      </c>
      <c r="R1672">
        <v>47.660400000000003</v>
      </c>
      <c r="S1672" t="s">
        <v>245</v>
      </c>
    </row>
    <row r="1673" spans="1:19" x14ac:dyDescent="0.35">
      <c r="A1673" t="s">
        <v>3871</v>
      </c>
      <c r="B1673" s="1">
        <v>42707</v>
      </c>
      <c r="C1673" s="1">
        <v>42711</v>
      </c>
      <c r="D1673" t="s">
        <v>37</v>
      </c>
      <c r="E1673" t="s">
        <v>2844</v>
      </c>
      <c r="F1673" t="s">
        <v>2845</v>
      </c>
      <c r="G1673" t="s">
        <v>23</v>
      </c>
      <c r="H1673" t="s">
        <v>24</v>
      </c>
      <c r="I1673" t="s">
        <v>3872</v>
      </c>
      <c r="J1673" t="s">
        <v>50</v>
      </c>
      <c r="K1673" t="s">
        <v>51</v>
      </c>
      <c r="L1673" t="s">
        <v>1031</v>
      </c>
      <c r="M1673" t="s">
        <v>29</v>
      </c>
      <c r="N1673" t="s">
        <v>43</v>
      </c>
      <c r="O1673" t="s">
        <v>1032</v>
      </c>
      <c r="P1673">
        <v>268.70400000000001</v>
      </c>
      <c r="Q1673">
        <v>3</v>
      </c>
      <c r="R1673">
        <v>6.7176</v>
      </c>
      <c r="S1673" t="s">
        <v>90</v>
      </c>
    </row>
    <row r="1674" spans="1:19" x14ac:dyDescent="0.35">
      <c r="A1674" t="s">
        <v>3871</v>
      </c>
      <c r="B1674" s="1">
        <v>42707</v>
      </c>
      <c r="C1674" s="1">
        <v>42711</v>
      </c>
      <c r="D1674" t="s">
        <v>37</v>
      </c>
      <c r="E1674" t="s">
        <v>2844</v>
      </c>
      <c r="F1674" t="s">
        <v>2845</v>
      </c>
      <c r="G1674" t="s">
        <v>23</v>
      </c>
      <c r="H1674" t="s">
        <v>24</v>
      </c>
      <c r="I1674" t="s">
        <v>3872</v>
      </c>
      <c r="J1674" t="s">
        <v>50</v>
      </c>
      <c r="K1674" t="s">
        <v>51</v>
      </c>
      <c r="L1674" t="s">
        <v>533</v>
      </c>
      <c r="M1674" t="s">
        <v>29</v>
      </c>
      <c r="N1674" t="s">
        <v>30</v>
      </c>
      <c r="O1674" t="s">
        <v>534</v>
      </c>
      <c r="P1674">
        <v>205.666</v>
      </c>
      <c r="Q1674">
        <v>2</v>
      </c>
      <c r="R1674">
        <v>-12.098000000000001</v>
      </c>
      <c r="S1674" t="s">
        <v>90</v>
      </c>
    </row>
    <row r="1675" spans="1:19" x14ac:dyDescent="0.35">
      <c r="A1675" t="s">
        <v>3873</v>
      </c>
      <c r="B1675" s="1">
        <v>42488</v>
      </c>
      <c r="C1675" s="1">
        <v>42490</v>
      </c>
      <c r="D1675" t="s">
        <v>20</v>
      </c>
      <c r="E1675" t="s">
        <v>3780</v>
      </c>
      <c r="F1675" t="s">
        <v>3781</v>
      </c>
      <c r="G1675" t="s">
        <v>23</v>
      </c>
      <c r="H1675" t="s">
        <v>24</v>
      </c>
      <c r="I1675" t="s">
        <v>3648</v>
      </c>
      <c r="J1675" t="s">
        <v>126</v>
      </c>
      <c r="K1675" t="s">
        <v>87</v>
      </c>
      <c r="L1675" t="s">
        <v>958</v>
      </c>
      <c r="M1675" t="s">
        <v>29</v>
      </c>
      <c r="N1675" t="s">
        <v>53</v>
      </c>
      <c r="O1675" t="s">
        <v>959</v>
      </c>
      <c r="P1675">
        <v>30.344000000000001</v>
      </c>
      <c r="Q1675">
        <v>2</v>
      </c>
      <c r="R1675">
        <v>-31.8612</v>
      </c>
      <c r="S1675" t="s">
        <v>107</v>
      </c>
    </row>
    <row r="1676" spans="1:19" x14ac:dyDescent="0.35">
      <c r="A1676" t="s">
        <v>3874</v>
      </c>
      <c r="B1676" s="1">
        <v>42328</v>
      </c>
      <c r="C1676" s="1">
        <v>42332</v>
      </c>
      <c r="D1676" t="s">
        <v>37</v>
      </c>
      <c r="E1676" t="s">
        <v>3875</v>
      </c>
      <c r="F1676" t="s">
        <v>3876</v>
      </c>
      <c r="G1676" t="s">
        <v>94</v>
      </c>
      <c r="H1676" t="s">
        <v>24</v>
      </c>
      <c r="I1676" t="s">
        <v>61</v>
      </c>
      <c r="J1676" t="s">
        <v>62</v>
      </c>
      <c r="K1676" t="s">
        <v>63</v>
      </c>
      <c r="L1676" t="s">
        <v>1019</v>
      </c>
      <c r="M1676" t="s">
        <v>29</v>
      </c>
      <c r="N1676" t="s">
        <v>34</v>
      </c>
      <c r="O1676" t="s">
        <v>1020</v>
      </c>
      <c r="P1676">
        <v>344.37200000000001</v>
      </c>
      <c r="Q1676">
        <v>4</v>
      </c>
      <c r="R1676">
        <v>-93.472399999999993</v>
      </c>
      <c r="S1676" t="s">
        <v>32</v>
      </c>
    </row>
    <row r="1677" spans="1:19" x14ac:dyDescent="0.35">
      <c r="A1677" t="s">
        <v>3877</v>
      </c>
      <c r="B1677" s="1">
        <v>43059</v>
      </c>
      <c r="C1677" s="1">
        <v>43063</v>
      </c>
      <c r="D1677" t="s">
        <v>20</v>
      </c>
      <c r="E1677" t="s">
        <v>1520</v>
      </c>
      <c r="F1677" t="s">
        <v>1521</v>
      </c>
      <c r="G1677" t="s">
        <v>84</v>
      </c>
      <c r="H1677" t="s">
        <v>24</v>
      </c>
      <c r="I1677" t="s">
        <v>165</v>
      </c>
      <c r="J1677" t="s">
        <v>114</v>
      </c>
      <c r="K1677" t="s">
        <v>63</v>
      </c>
      <c r="L1677" t="s">
        <v>3536</v>
      </c>
      <c r="M1677" t="s">
        <v>29</v>
      </c>
      <c r="N1677" t="s">
        <v>53</v>
      </c>
      <c r="O1677" t="s">
        <v>3537</v>
      </c>
      <c r="P1677">
        <v>50.97</v>
      </c>
      <c r="Q1677">
        <v>3</v>
      </c>
      <c r="R1677">
        <v>9.1745999999999999</v>
      </c>
      <c r="S1677" t="s">
        <v>32</v>
      </c>
    </row>
    <row r="1678" spans="1:19" x14ac:dyDescent="0.35">
      <c r="A1678" t="s">
        <v>3878</v>
      </c>
      <c r="B1678" s="1">
        <v>42941</v>
      </c>
      <c r="C1678" s="1">
        <v>42943</v>
      </c>
      <c r="D1678" t="s">
        <v>81</v>
      </c>
      <c r="E1678" t="s">
        <v>3879</v>
      </c>
      <c r="F1678" t="s">
        <v>3880</v>
      </c>
      <c r="G1678" t="s">
        <v>94</v>
      </c>
      <c r="H1678" t="s">
        <v>24</v>
      </c>
      <c r="I1678" t="s">
        <v>1730</v>
      </c>
      <c r="J1678" t="s">
        <v>86</v>
      </c>
      <c r="K1678" t="s">
        <v>87</v>
      </c>
      <c r="L1678" t="s">
        <v>1558</v>
      </c>
      <c r="M1678" t="s">
        <v>29</v>
      </c>
      <c r="N1678" t="s">
        <v>43</v>
      </c>
      <c r="O1678" t="s">
        <v>1559</v>
      </c>
      <c r="P1678">
        <v>298.11599999999999</v>
      </c>
      <c r="Q1678">
        <v>6</v>
      </c>
      <c r="R1678">
        <v>-4.2587999999999999</v>
      </c>
      <c r="S1678" t="s">
        <v>66</v>
      </c>
    </row>
    <row r="1679" spans="1:19" x14ac:dyDescent="0.35">
      <c r="A1679" t="s">
        <v>3881</v>
      </c>
      <c r="B1679" s="1">
        <v>42566</v>
      </c>
      <c r="C1679" s="1">
        <v>42571</v>
      </c>
      <c r="D1679" t="s">
        <v>37</v>
      </c>
      <c r="E1679" t="s">
        <v>2403</v>
      </c>
      <c r="F1679" t="s">
        <v>2404</v>
      </c>
      <c r="G1679" t="s">
        <v>84</v>
      </c>
      <c r="H1679" t="s">
        <v>24</v>
      </c>
      <c r="I1679" t="s">
        <v>3389</v>
      </c>
      <c r="J1679" t="s">
        <v>1508</v>
      </c>
      <c r="K1679" t="s">
        <v>51</v>
      </c>
      <c r="L1679" t="s">
        <v>457</v>
      </c>
      <c r="M1679" t="s">
        <v>29</v>
      </c>
      <c r="N1679" t="s">
        <v>34</v>
      </c>
      <c r="O1679" t="s">
        <v>458</v>
      </c>
      <c r="P1679">
        <v>230.28</v>
      </c>
      <c r="Q1679">
        <v>3</v>
      </c>
      <c r="R1679">
        <v>23.027999999999999</v>
      </c>
      <c r="S1679" t="s">
        <v>66</v>
      </c>
    </row>
    <row r="1680" spans="1:19" x14ac:dyDescent="0.35">
      <c r="A1680" t="s">
        <v>3882</v>
      </c>
      <c r="B1680" s="1">
        <v>42718</v>
      </c>
      <c r="C1680" s="1">
        <v>42721</v>
      </c>
      <c r="D1680" t="s">
        <v>81</v>
      </c>
      <c r="E1680" t="s">
        <v>278</v>
      </c>
      <c r="F1680" t="s">
        <v>279</v>
      </c>
      <c r="G1680" t="s">
        <v>84</v>
      </c>
      <c r="H1680" t="s">
        <v>24</v>
      </c>
      <c r="I1680" t="s">
        <v>630</v>
      </c>
      <c r="J1680" t="s">
        <v>50</v>
      </c>
      <c r="K1680" t="s">
        <v>51</v>
      </c>
      <c r="L1680" t="s">
        <v>127</v>
      </c>
      <c r="M1680" t="s">
        <v>29</v>
      </c>
      <c r="N1680" t="s">
        <v>34</v>
      </c>
      <c r="O1680" t="s">
        <v>209</v>
      </c>
      <c r="P1680">
        <v>81.424000000000007</v>
      </c>
      <c r="Q1680">
        <v>2</v>
      </c>
      <c r="R1680">
        <v>-9.1601999999999997</v>
      </c>
      <c r="S1680" t="s">
        <v>90</v>
      </c>
    </row>
    <row r="1681" spans="1:19" x14ac:dyDescent="0.35">
      <c r="A1681" t="s">
        <v>3883</v>
      </c>
      <c r="B1681" s="1">
        <v>41699</v>
      </c>
      <c r="C1681" s="1">
        <v>41703</v>
      </c>
      <c r="D1681" t="s">
        <v>37</v>
      </c>
      <c r="E1681" t="s">
        <v>2127</v>
      </c>
      <c r="F1681" t="s">
        <v>2128</v>
      </c>
      <c r="G1681" t="s">
        <v>23</v>
      </c>
      <c r="H1681" t="s">
        <v>24</v>
      </c>
      <c r="I1681" t="s">
        <v>1365</v>
      </c>
      <c r="J1681" t="s">
        <v>86</v>
      </c>
      <c r="K1681" t="s">
        <v>87</v>
      </c>
      <c r="L1681" t="s">
        <v>1081</v>
      </c>
      <c r="M1681" t="s">
        <v>29</v>
      </c>
      <c r="N1681" t="s">
        <v>34</v>
      </c>
      <c r="O1681" t="s">
        <v>1082</v>
      </c>
      <c r="P1681">
        <v>362.25</v>
      </c>
      <c r="Q1681">
        <v>6</v>
      </c>
      <c r="R1681">
        <v>0</v>
      </c>
      <c r="S1681" t="s">
        <v>187</v>
      </c>
    </row>
    <row r="1682" spans="1:19" x14ac:dyDescent="0.35">
      <c r="A1682" t="s">
        <v>3883</v>
      </c>
      <c r="B1682" s="1">
        <v>41699</v>
      </c>
      <c r="C1682" s="1">
        <v>41703</v>
      </c>
      <c r="D1682" t="s">
        <v>37</v>
      </c>
      <c r="E1682" t="s">
        <v>2127</v>
      </c>
      <c r="F1682" t="s">
        <v>2128</v>
      </c>
      <c r="G1682" t="s">
        <v>23</v>
      </c>
      <c r="H1682" t="s">
        <v>24</v>
      </c>
      <c r="I1682" t="s">
        <v>1365</v>
      </c>
      <c r="J1682" t="s">
        <v>86</v>
      </c>
      <c r="K1682" t="s">
        <v>87</v>
      </c>
      <c r="L1682" t="s">
        <v>934</v>
      </c>
      <c r="M1682" t="s">
        <v>29</v>
      </c>
      <c r="N1682" t="s">
        <v>53</v>
      </c>
      <c r="O1682" t="s">
        <v>935</v>
      </c>
      <c r="P1682">
        <v>63.552</v>
      </c>
      <c r="Q1682">
        <v>6</v>
      </c>
      <c r="R1682">
        <v>-34.953600000000002</v>
      </c>
      <c r="S1682" t="s">
        <v>187</v>
      </c>
    </row>
    <row r="1683" spans="1:19" x14ac:dyDescent="0.35">
      <c r="A1683" t="s">
        <v>3884</v>
      </c>
      <c r="B1683" s="1">
        <v>43013</v>
      </c>
      <c r="C1683" s="1">
        <v>43018</v>
      </c>
      <c r="D1683" t="s">
        <v>37</v>
      </c>
      <c r="E1683" t="s">
        <v>1658</v>
      </c>
      <c r="F1683" t="s">
        <v>1659</v>
      </c>
      <c r="G1683" t="s">
        <v>84</v>
      </c>
      <c r="H1683" t="s">
        <v>24</v>
      </c>
      <c r="I1683" t="s">
        <v>3422</v>
      </c>
      <c r="J1683" t="s">
        <v>50</v>
      </c>
      <c r="K1683" t="s">
        <v>51</v>
      </c>
      <c r="L1683" t="s">
        <v>1909</v>
      </c>
      <c r="M1683" t="s">
        <v>29</v>
      </c>
      <c r="N1683" t="s">
        <v>34</v>
      </c>
      <c r="O1683" t="s">
        <v>1910</v>
      </c>
      <c r="P1683">
        <v>435.16800000000001</v>
      </c>
      <c r="Q1683">
        <v>4</v>
      </c>
      <c r="R1683">
        <v>-59.835599999999999</v>
      </c>
      <c r="S1683" t="s">
        <v>45</v>
      </c>
    </row>
    <row r="1684" spans="1:19" x14ac:dyDescent="0.35">
      <c r="A1684" t="s">
        <v>3884</v>
      </c>
      <c r="B1684" s="1">
        <v>43013</v>
      </c>
      <c r="C1684" s="1">
        <v>43018</v>
      </c>
      <c r="D1684" t="s">
        <v>37</v>
      </c>
      <c r="E1684" t="s">
        <v>1658</v>
      </c>
      <c r="F1684" t="s">
        <v>1659</v>
      </c>
      <c r="G1684" t="s">
        <v>84</v>
      </c>
      <c r="H1684" t="s">
        <v>24</v>
      </c>
      <c r="I1684" t="s">
        <v>3422</v>
      </c>
      <c r="J1684" t="s">
        <v>50</v>
      </c>
      <c r="K1684" t="s">
        <v>51</v>
      </c>
      <c r="L1684" t="s">
        <v>2252</v>
      </c>
      <c r="M1684" t="s">
        <v>29</v>
      </c>
      <c r="N1684" t="s">
        <v>53</v>
      </c>
      <c r="O1684" t="s">
        <v>2253</v>
      </c>
      <c r="P1684">
        <v>72.900000000000006</v>
      </c>
      <c r="Q1684">
        <v>5</v>
      </c>
      <c r="R1684">
        <v>26.972999999999999</v>
      </c>
      <c r="S1684" t="s">
        <v>45</v>
      </c>
    </row>
    <row r="1685" spans="1:19" x14ac:dyDescent="0.35">
      <c r="A1685" t="s">
        <v>3884</v>
      </c>
      <c r="B1685" s="1">
        <v>43013</v>
      </c>
      <c r="C1685" s="1">
        <v>43018</v>
      </c>
      <c r="D1685" t="s">
        <v>37</v>
      </c>
      <c r="E1685" t="s">
        <v>1658</v>
      </c>
      <c r="F1685" t="s">
        <v>1659</v>
      </c>
      <c r="G1685" t="s">
        <v>84</v>
      </c>
      <c r="H1685" t="s">
        <v>24</v>
      </c>
      <c r="I1685" t="s">
        <v>3422</v>
      </c>
      <c r="J1685" t="s">
        <v>50</v>
      </c>
      <c r="K1685" t="s">
        <v>51</v>
      </c>
      <c r="L1685" t="s">
        <v>1053</v>
      </c>
      <c r="M1685" t="s">
        <v>29</v>
      </c>
      <c r="N1685" t="s">
        <v>43</v>
      </c>
      <c r="O1685" t="s">
        <v>1054</v>
      </c>
      <c r="P1685">
        <v>206.352</v>
      </c>
      <c r="Q1685">
        <v>3</v>
      </c>
      <c r="R1685">
        <v>5.1588000000000003</v>
      </c>
      <c r="S1685" t="s">
        <v>45</v>
      </c>
    </row>
    <row r="1686" spans="1:19" x14ac:dyDescent="0.35">
      <c r="A1686" t="s">
        <v>3885</v>
      </c>
      <c r="B1686" s="1">
        <v>42653</v>
      </c>
      <c r="C1686" s="1">
        <v>42655</v>
      </c>
      <c r="D1686" t="s">
        <v>81</v>
      </c>
      <c r="E1686" t="s">
        <v>2455</v>
      </c>
      <c r="F1686" t="s">
        <v>2456</v>
      </c>
      <c r="G1686" t="s">
        <v>84</v>
      </c>
      <c r="H1686" t="s">
        <v>24</v>
      </c>
      <c r="I1686" t="s">
        <v>257</v>
      </c>
      <c r="J1686" t="s">
        <v>172</v>
      </c>
      <c r="K1686" t="s">
        <v>51</v>
      </c>
      <c r="L1686" t="s">
        <v>3886</v>
      </c>
      <c r="M1686" t="s">
        <v>29</v>
      </c>
      <c r="N1686" t="s">
        <v>30</v>
      </c>
      <c r="O1686" t="s">
        <v>3887</v>
      </c>
      <c r="P1686">
        <v>90.882000000000005</v>
      </c>
      <c r="Q1686">
        <v>3</v>
      </c>
      <c r="R1686">
        <v>-190.85220000000001</v>
      </c>
      <c r="S1686" t="s">
        <v>45</v>
      </c>
    </row>
    <row r="1687" spans="1:19" x14ac:dyDescent="0.35">
      <c r="A1687" t="s">
        <v>3885</v>
      </c>
      <c r="B1687" s="1">
        <v>42653</v>
      </c>
      <c r="C1687" s="1">
        <v>42655</v>
      </c>
      <c r="D1687" t="s">
        <v>81</v>
      </c>
      <c r="E1687" t="s">
        <v>2455</v>
      </c>
      <c r="F1687" t="s">
        <v>2456</v>
      </c>
      <c r="G1687" t="s">
        <v>84</v>
      </c>
      <c r="H1687" t="s">
        <v>24</v>
      </c>
      <c r="I1687" t="s">
        <v>257</v>
      </c>
      <c r="J1687" t="s">
        <v>172</v>
      </c>
      <c r="K1687" t="s">
        <v>51</v>
      </c>
      <c r="L1687" t="s">
        <v>647</v>
      </c>
      <c r="M1687" t="s">
        <v>29</v>
      </c>
      <c r="N1687" t="s">
        <v>34</v>
      </c>
      <c r="O1687" t="s">
        <v>648</v>
      </c>
      <c r="P1687">
        <v>120.78400000000001</v>
      </c>
      <c r="Q1687">
        <v>1</v>
      </c>
      <c r="R1687">
        <v>13.588200000000001</v>
      </c>
      <c r="S1687" t="s">
        <v>45</v>
      </c>
    </row>
    <row r="1688" spans="1:19" x14ac:dyDescent="0.35">
      <c r="A1688" t="s">
        <v>3888</v>
      </c>
      <c r="B1688" s="1">
        <v>42232</v>
      </c>
      <c r="C1688" s="1">
        <v>42236</v>
      </c>
      <c r="D1688" t="s">
        <v>37</v>
      </c>
      <c r="E1688" t="s">
        <v>2608</v>
      </c>
      <c r="F1688" t="s">
        <v>2609</v>
      </c>
      <c r="G1688" t="s">
        <v>84</v>
      </c>
      <c r="H1688" t="s">
        <v>24</v>
      </c>
      <c r="I1688" t="s">
        <v>61</v>
      </c>
      <c r="J1688" t="s">
        <v>62</v>
      </c>
      <c r="K1688" t="s">
        <v>63</v>
      </c>
      <c r="L1688" t="s">
        <v>1382</v>
      </c>
      <c r="M1688" t="s">
        <v>29</v>
      </c>
      <c r="N1688" t="s">
        <v>53</v>
      </c>
      <c r="O1688" t="s">
        <v>1383</v>
      </c>
      <c r="P1688">
        <v>254.352</v>
      </c>
      <c r="Q1688">
        <v>3</v>
      </c>
      <c r="R1688">
        <v>0</v>
      </c>
      <c r="S1688" t="s">
        <v>245</v>
      </c>
    </row>
    <row r="1689" spans="1:19" x14ac:dyDescent="0.35">
      <c r="A1689" t="s">
        <v>3889</v>
      </c>
      <c r="B1689" s="1">
        <v>41892</v>
      </c>
      <c r="C1689" s="1">
        <v>41895</v>
      </c>
      <c r="D1689" t="s">
        <v>81</v>
      </c>
      <c r="E1689" t="s">
        <v>59</v>
      </c>
      <c r="F1689" t="s">
        <v>60</v>
      </c>
      <c r="G1689" t="s">
        <v>23</v>
      </c>
      <c r="H1689" t="s">
        <v>24</v>
      </c>
      <c r="I1689" t="s">
        <v>3890</v>
      </c>
      <c r="J1689" t="s">
        <v>354</v>
      </c>
      <c r="K1689" t="s">
        <v>63</v>
      </c>
      <c r="L1689" t="s">
        <v>1528</v>
      </c>
      <c r="M1689" t="s">
        <v>29</v>
      </c>
      <c r="N1689" t="s">
        <v>53</v>
      </c>
      <c r="O1689" t="s">
        <v>1529</v>
      </c>
      <c r="P1689">
        <v>254.9</v>
      </c>
      <c r="Q1689">
        <v>5</v>
      </c>
      <c r="R1689">
        <v>76.47</v>
      </c>
      <c r="S1689" t="s">
        <v>72</v>
      </c>
    </row>
    <row r="1690" spans="1:19" x14ac:dyDescent="0.35">
      <c r="A1690" t="s">
        <v>3891</v>
      </c>
      <c r="B1690" s="1">
        <v>42328</v>
      </c>
      <c r="C1690" s="1">
        <v>42331</v>
      </c>
      <c r="D1690" t="s">
        <v>20</v>
      </c>
      <c r="E1690" t="s">
        <v>1432</v>
      </c>
      <c r="F1690" t="s">
        <v>1433</v>
      </c>
      <c r="G1690" t="s">
        <v>23</v>
      </c>
      <c r="H1690" t="s">
        <v>24</v>
      </c>
      <c r="I1690" t="s">
        <v>171</v>
      </c>
      <c r="J1690" t="s">
        <v>172</v>
      </c>
      <c r="K1690" t="s">
        <v>51</v>
      </c>
      <c r="L1690" t="s">
        <v>407</v>
      </c>
      <c r="M1690" t="s">
        <v>29</v>
      </c>
      <c r="N1690" t="s">
        <v>30</v>
      </c>
      <c r="O1690" t="s">
        <v>408</v>
      </c>
      <c r="P1690">
        <v>145.76400000000001</v>
      </c>
      <c r="Q1690">
        <v>6</v>
      </c>
      <c r="R1690">
        <v>-247.7988</v>
      </c>
      <c r="S1690" t="s">
        <v>32</v>
      </c>
    </row>
    <row r="1691" spans="1:19" x14ac:dyDescent="0.35">
      <c r="A1691" t="s">
        <v>3892</v>
      </c>
      <c r="B1691" s="1">
        <v>43042</v>
      </c>
      <c r="C1691" s="1">
        <v>43044</v>
      </c>
      <c r="D1691" t="s">
        <v>81</v>
      </c>
      <c r="E1691" t="s">
        <v>3893</v>
      </c>
      <c r="F1691" t="s">
        <v>3894</v>
      </c>
      <c r="G1691" t="s">
        <v>94</v>
      </c>
      <c r="H1691" t="s">
        <v>24</v>
      </c>
      <c r="I1691" t="s">
        <v>630</v>
      </c>
      <c r="J1691" t="s">
        <v>50</v>
      </c>
      <c r="K1691" t="s">
        <v>51</v>
      </c>
      <c r="L1691" t="s">
        <v>775</v>
      </c>
      <c r="M1691" t="s">
        <v>29</v>
      </c>
      <c r="N1691" t="s">
        <v>43</v>
      </c>
      <c r="O1691" t="s">
        <v>776</v>
      </c>
      <c r="P1691">
        <v>1673.184</v>
      </c>
      <c r="Q1691">
        <v>12</v>
      </c>
      <c r="R1691">
        <v>20.9148</v>
      </c>
      <c r="S1691" t="s">
        <v>32</v>
      </c>
    </row>
    <row r="1692" spans="1:19" x14ac:dyDescent="0.35">
      <c r="A1692" t="s">
        <v>3895</v>
      </c>
      <c r="B1692" s="1">
        <v>41763</v>
      </c>
      <c r="C1692" s="1">
        <v>41766</v>
      </c>
      <c r="D1692" t="s">
        <v>81</v>
      </c>
      <c r="E1692" t="s">
        <v>2750</v>
      </c>
      <c r="F1692" t="s">
        <v>2751</v>
      </c>
      <c r="G1692" t="s">
        <v>84</v>
      </c>
      <c r="H1692" t="s">
        <v>24</v>
      </c>
      <c r="I1692" t="s">
        <v>183</v>
      </c>
      <c r="J1692" t="s">
        <v>184</v>
      </c>
      <c r="K1692" t="s">
        <v>51</v>
      </c>
      <c r="L1692" t="s">
        <v>1062</v>
      </c>
      <c r="M1692" t="s">
        <v>29</v>
      </c>
      <c r="N1692" t="s">
        <v>53</v>
      </c>
      <c r="O1692" t="s">
        <v>1063</v>
      </c>
      <c r="P1692">
        <v>12.18</v>
      </c>
      <c r="Q1692">
        <v>7</v>
      </c>
      <c r="R1692">
        <v>3.8976000000000002</v>
      </c>
      <c r="S1692" t="s">
        <v>153</v>
      </c>
    </row>
    <row r="1693" spans="1:19" x14ac:dyDescent="0.35">
      <c r="A1693" t="s">
        <v>3896</v>
      </c>
      <c r="B1693" s="1">
        <v>41974</v>
      </c>
      <c r="C1693" s="1">
        <v>41976</v>
      </c>
      <c r="D1693" t="s">
        <v>81</v>
      </c>
      <c r="E1693" t="s">
        <v>2684</v>
      </c>
      <c r="F1693" t="s">
        <v>2685</v>
      </c>
      <c r="G1693" t="s">
        <v>23</v>
      </c>
      <c r="H1693" t="s">
        <v>24</v>
      </c>
      <c r="I1693" t="s">
        <v>2034</v>
      </c>
      <c r="J1693" t="s">
        <v>425</v>
      </c>
      <c r="K1693" t="s">
        <v>63</v>
      </c>
      <c r="L1693" t="s">
        <v>861</v>
      </c>
      <c r="M1693" t="s">
        <v>29</v>
      </c>
      <c r="N1693" t="s">
        <v>53</v>
      </c>
      <c r="O1693" t="s">
        <v>862</v>
      </c>
      <c r="P1693">
        <v>45.84</v>
      </c>
      <c r="Q1693">
        <v>3</v>
      </c>
      <c r="R1693">
        <v>15.585599999999999</v>
      </c>
      <c r="S1693" t="s">
        <v>90</v>
      </c>
    </row>
    <row r="1694" spans="1:19" x14ac:dyDescent="0.35">
      <c r="A1694" t="s">
        <v>3896</v>
      </c>
      <c r="B1694" s="1">
        <v>41974</v>
      </c>
      <c r="C1694" s="1">
        <v>41976</v>
      </c>
      <c r="D1694" t="s">
        <v>81</v>
      </c>
      <c r="E1694" t="s">
        <v>2684</v>
      </c>
      <c r="F1694" t="s">
        <v>2685</v>
      </c>
      <c r="G1694" t="s">
        <v>23</v>
      </c>
      <c r="H1694" t="s">
        <v>24</v>
      </c>
      <c r="I1694" t="s">
        <v>2034</v>
      </c>
      <c r="J1694" t="s">
        <v>425</v>
      </c>
      <c r="K1694" t="s">
        <v>63</v>
      </c>
      <c r="L1694" t="s">
        <v>1090</v>
      </c>
      <c r="M1694" t="s">
        <v>29</v>
      </c>
      <c r="N1694" t="s">
        <v>53</v>
      </c>
      <c r="O1694" t="s">
        <v>1091</v>
      </c>
      <c r="P1694">
        <v>9.82</v>
      </c>
      <c r="Q1694">
        <v>2</v>
      </c>
      <c r="R1694">
        <v>3.2406000000000001</v>
      </c>
      <c r="S1694" t="s">
        <v>90</v>
      </c>
    </row>
    <row r="1695" spans="1:19" x14ac:dyDescent="0.35">
      <c r="A1695" t="s">
        <v>3897</v>
      </c>
      <c r="B1695" s="1">
        <v>42325</v>
      </c>
      <c r="C1695" s="1">
        <v>42332</v>
      </c>
      <c r="D1695" t="s">
        <v>37</v>
      </c>
      <c r="E1695" t="s">
        <v>2684</v>
      </c>
      <c r="F1695" t="s">
        <v>2685</v>
      </c>
      <c r="G1695" t="s">
        <v>23</v>
      </c>
      <c r="H1695" t="s">
        <v>24</v>
      </c>
      <c r="I1695" t="s">
        <v>3007</v>
      </c>
      <c r="J1695" t="s">
        <v>1513</v>
      </c>
      <c r="K1695" t="s">
        <v>87</v>
      </c>
      <c r="L1695" t="s">
        <v>3582</v>
      </c>
      <c r="M1695" t="s">
        <v>29</v>
      </c>
      <c r="N1695" t="s">
        <v>34</v>
      </c>
      <c r="O1695" t="s">
        <v>3583</v>
      </c>
      <c r="P1695">
        <v>1323.9</v>
      </c>
      <c r="Q1695">
        <v>5</v>
      </c>
      <c r="R1695">
        <v>383.93099999999998</v>
      </c>
      <c r="S1695" t="s">
        <v>32</v>
      </c>
    </row>
    <row r="1696" spans="1:19" x14ac:dyDescent="0.35">
      <c r="A1696" t="s">
        <v>3898</v>
      </c>
      <c r="B1696" s="1">
        <v>42880</v>
      </c>
      <c r="C1696" s="1">
        <v>42880</v>
      </c>
      <c r="D1696" t="s">
        <v>417</v>
      </c>
      <c r="E1696" t="s">
        <v>1706</v>
      </c>
      <c r="F1696" t="s">
        <v>1707</v>
      </c>
      <c r="G1696" t="s">
        <v>23</v>
      </c>
      <c r="H1696" t="s">
        <v>24</v>
      </c>
      <c r="I1696" t="s">
        <v>165</v>
      </c>
      <c r="J1696" t="s">
        <v>114</v>
      </c>
      <c r="K1696" t="s">
        <v>63</v>
      </c>
      <c r="L1696" t="s">
        <v>668</v>
      </c>
      <c r="M1696" t="s">
        <v>29</v>
      </c>
      <c r="N1696" t="s">
        <v>53</v>
      </c>
      <c r="O1696" t="s">
        <v>669</v>
      </c>
      <c r="P1696">
        <v>18.84</v>
      </c>
      <c r="Q1696">
        <v>3</v>
      </c>
      <c r="R1696">
        <v>6.0288000000000004</v>
      </c>
      <c r="S1696" t="s">
        <v>153</v>
      </c>
    </row>
    <row r="1697" spans="1:19" x14ac:dyDescent="0.35">
      <c r="A1697" t="s">
        <v>3899</v>
      </c>
      <c r="B1697" s="1">
        <v>41891</v>
      </c>
      <c r="C1697" s="1">
        <v>41893</v>
      </c>
      <c r="D1697" t="s">
        <v>81</v>
      </c>
      <c r="E1697" t="s">
        <v>1006</v>
      </c>
      <c r="F1697" t="s">
        <v>1007</v>
      </c>
      <c r="G1697" t="s">
        <v>94</v>
      </c>
      <c r="H1697" t="s">
        <v>24</v>
      </c>
      <c r="I1697" t="s">
        <v>806</v>
      </c>
      <c r="J1697" t="s">
        <v>223</v>
      </c>
      <c r="K1697" t="s">
        <v>63</v>
      </c>
      <c r="L1697" t="s">
        <v>1825</v>
      </c>
      <c r="M1697" t="s">
        <v>29</v>
      </c>
      <c r="N1697" t="s">
        <v>53</v>
      </c>
      <c r="O1697" t="s">
        <v>1826</v>
      </c>
      <c r="P1697">
        <v>60.671999999999997</v>
      </c>
      <c r="Q1697">
        <v>6</v>
      </c>
      <c r="R1697">
        <v>12.892799999999999</v>
      </c>
      <c r="S1697" t="s">
        <v>72</v>
      </c>
    </row>
    <row r="1698" spans="1:19" x14ac:dyDescent="0.35">
      <c r="A1698" t="s">
        <v>3900</v>
      </c>
      <c r="B1698" s="1">
        <v>41841</v>
      </c>
      <c r="C1698" s="1">
        <v>41845</v>
      </c>
      <c r="D1698" t="s">
        <v>37</v>
      </c>
      <c r="E1698" t="s">
        <v>1857</v>
      </c>
      <c r="F1698" t="s">
        <v>1858</v>
      </c>
      <c r="G1698" t="s">
        <v>84</v>
      </c>
      <c r="H1698" t="s">
        <v>24</v>
      </c>
      <c r="I1698" t="s">
        <v>1730</v>
      </c>
      <c r="J1698" t="s">
        <v>86</v>
      </c>
      <c r="K1698" t="s">
        <v>87</v>
      </c>
      <c r="L1698" t="s">
        <v>616</v>
      </c>
      <c r="M1698" t="s">
        <v>29</v>
      </c>
      <c r="N1698" t="s">
        <v>34</v>
      </c>
      <c r="O1698" t="s">
        <v>617</v>
      </c>
      <c r="P1698">
        <v>657.93</v>
      </c>
      <c r="Q1698">
        <v>5</v>
      </c>
      <c r="R1698">
        <v>-93.99</v>
      </c>
      <c r="S1698" t="s">
        <v>66</v>
      </c>
    </row>
    <row r="1699" spans="1:19" x14ac:dyDescent="0.35">
      <c r="A1699" t="s">
        <v>3901</v>
      </c>
      <c r="B1699" s="1">
        <v>42258</v>
      </c>
      <c r="C1699" s="1">
        <v>42262</v>
      </c>
      <c r="D1699" t="s">
        <v>20</v>
      </c>
      <c r="E1699" t="s">
        <v>3145</v>
      </c>
      <c r="F1699" t="s">
        <v>3146</v>
      </c>
      <c r="G1699" t="s">
        <v>84</v>
      </c>
      <c r="H1699" t="s">
        <v>24</v>
      </c>
      <c r="I1699" t="s">
        <v>165</v>
      </c>
      <c r="J1699" t="s">
        <v>114</v>
      </c>
      <c r="K1699" t="s">
        <v>63</v>
      </c>
      <c r="L1699" t="s">
        <v>3608</v>
      </c>
      <c r="M1699" t="s">
        <v>29</v>
      </c>
      <c r="N1699" t="s">
        <v>53</v>
      </c>
      <c r="O1699" t="s">
        <v>3609</v>
      </c>
      <c r="P1699">
        <v>210.68</v>
      </c>
      <c r="Q1699">
        <v>2</v>
      </c>
      <c r="R1699">
        <v>50.563200000000002</v>
      </c>
      <c r="S1699" t="s">
        <v>72</v>
      </c>
    </row>
    <row r="1700" spans="1:19" x14ac:dyDescent="0.35">
      <c r="A1700" t="s">
        <v>3902</v>
      </c>
      <c r="B1700" s="1">
        <v>42376</v>
      </c>
      <c r="C1700" s="1">
        <v>42380</v>
      </c>
      <c r="D1700" t="s">
        <v>37</v>
      </c>
      <c r="E1700" t="s">
        <v>1300</v>
      </c>
      <c r="F1700" t="s">
        <v>1301</v>
      </c>
      <c r="G1700" t="s">
        <v>23</v>
      </c>
      <c r="H1700" t="s">
        <v>24</v>
      </c>
      <c r="I1700" t="s">
        <v>519</v>
      </c>
      <c r="J1700" t="s">
        <v>86</v>
      </c>
      <c r="K1700" t="s">
        <v>87</v>
      </c>
      <c r="L1700" t="s">
        <v>1302</v>
      </c>
      <c r="M1700" t="s">
        <v>29</v>
      </c>
      <c r="N1700" t="s">
        <v>53</v>
      </c>
      <c r="O1700" t="s">
        <v>2013</v>
      </c>
      <c r="P1700">
        <v>23.076000000000001</v>
      </c>
      <c r="Q1700">
        <v>3</v>
      </c>
      <c r="R1700">
        <v>-10.9611</v>
      </c>
      <c r="S1700" t="s">
        <v>161</v>
      </c>
    </row>
    <row r="1701" spans="1:19" x14ac:dyDescent="0.35">
      <c r="A1701" t="s">
        <v>3903</v>
      </c>
      <c r="B1701" s="1">
        <v>42180</v>
      </c>
      <c r="C1701" s="1">
        <v>42183</v>
      </c>
      <c r="D1701" t="s">
        <v>81</v>
      </c>
      <c r="E1701" t="s">
        <v>1782</v>
      </c>
      <c r="F1701" t="s">
        <v>1783</v>
      </c>
      <c r="G1701" t="s">
        <v>23</v>
      </c>
      <c r="H1701" t="s">
        <v>24</v>
      </c>
      <c r="I1701" t="s">
        <v>95</v>
      </c>
      <c r="J1701" t="s">
        <v>86</v>
      </c>
      <c r="K1701" t="s">
        <v>87</v>
      </c>
      <c r="L1701" t="s">
        <v>1969</v>
      </c>
      <c r="M1701" t="s">
        <v>29</v>
      </c>
      <c r="N1701" t="s">
        <v>53</v>
      </c>
      <c r="O1701" t="s">
        <v>1970</v>
      </c>
      <c r="P1701">
        <v>75.384</v>
      </c>
      <c r="Q1701">
        <v>9</v>
      </c>
      <c r="R1701">
        <v>-20.730599999999999</v>
      </c>
      <c r="S1701" t="s">
        <v>55</v>
      </c>
    </row>
    <row r="1702" spans="1:19" x14ac:dyDescent="0.35">
      <c r="A1702" t="s">
        <v>3904</v>
      </c>
      <c r="B1702" s="1">
        <v>42916</v>
      </c>
      <c r="C1702" s="1">
        <v>42918</v>
      </c>
      <c r="D1702" t="s">
        <v>20</v>
      </c>
      <c r="E1702" t="s">
        <v>2497</v>
      </c>
      <c r="F1702" t="s">
        <v>2498</v>
      </c>
      <c r="G1702" t="s">
        <v>23</v>
      </c>
      <c r="H1702" t="s">
        <v>24</v>
      </c>
      <c r="I1702" t="s">
        <v>49</v>
      </c>
      <c r="J1702" t="s">
        <v>50</v>
      </c>
      <c r="K1702" t="s">
        <v>51</v>
      </c>
      <c r="L1702" t="s">
        <v>1447</v>
      </c>
      <c r="M1702" t="s">
        <v>29</v>
      </c>
      <c r="N1702" t="s">
        <v>30</v>
      </c>
      <c r="O1702" t="s">
        <v>1448</v>
      </c>
      <c r="P1702">
        <v>435.99900000000002</v>
      </c>
      <c r="Q1702">
        <v>3</v>
      </c>
      <c r="R1702">
        <v>5.1294000000000004</v>
      </c>
      <c r="S1702" t="s">
        <v>55</v>
      </c>
    </row>
    <row r="1703" spans="1:19" x14ac:dyDescent="0.35">
      <c r="A1703" t="s">
        <v>3905</v>
      </c>
      <c r="B1703" s="1">
        <v>42968</v>
      </c>
      <c r="C1703" s="1">
        <v>42972</v>
      </c>
      <c r="D1703" t="s">
        <v>20</v>
      </c>
      <c r="E1703" t="s">
        <v>3906</v>
      </c>
      <c r="F1703" t="s">
        <v>3907</v>
      </c>
      <c r="G1703" t="s">
        <v>84</v>
      </c>
      <c r="H1703" t="s">
        <v>24</v>
      </c>
      <c r="I1703" t="s">
        <v>183</v>
      </c>
      <c r="J1703" t="s">
        <v>184</v>
      </c>
      <c r="K1703" t="s">
        <v>51</v>
      </c>
      <c r="L1703" t="s">
        <v>247</v>
      </c>
      <c r="M1703" t="s">
        <v>29</v>
      </c>
      <c r="N1703" t="s">
        <v>34</v>
      </c>
      <c r="O1703" t="s">
        <v>248</v>
      </c>
      <c r="P1703">
        <v>388.70400000000001</v>
      </c>
      <c r="Q1703">
        <v>6</v>
      </c>
      <c r="R1703">
        <v>38.870399999999997</v>
      </c>
      <c r="S1703" t="s">
        <v>245</v>
      </c>
    </row>
    <row r="1704" spans="1:19" x14ac:dyDescent="0.35">
      <c r="A1704" t="s">
        <v>3908</v>
      </c>
      <c r="B1704" s="1">
        <v>42805</v>
      </c>
      <c r="C1704" s="1">
        <v>42809</v>
      </c>
      <c r="D1704" t="s">
        <v>37</v>
      </c>
      <c r="E1704" t="s">
        <v>1034</v>
      </c>
      <c r="F1704" t="s">
        <v>1035</v>
      </c>
      <c r="G1704" t="s">
        <v>94</v>
      </c>
      <c r="H1704" t="s">
        <v>24</v>
      </c>
      <c r="I1704" t="s">
        <v>3909</v>
      </c>
      <c r="J1704" t="s">
        <v>425</v>
      </c>
      <c r="K1704" t="s">
        <v>63</v>
      </c>
      <c r="L1704" t="s">
        <v>3910</v>
      </c>
      <c r="M1704" t="s">
        <v>29</v>
      </c>
      <c r="N1704" t="s">
        <v>53</v>
      </c>
      <c r="O1704" t="s">
        <v>3911</v>
      </c>
      <c r="P1704">
        <v>26.72</v>
      </c>
      <c r="Q1704">
        <v>1</v>
      </c>
      <c r="R1704">
        <v>11.7568</v>
      </c>
      <c r="S1704" t="s">
        <v>187</v>
      </c>
    </row>
    <row r="1705" spans="1:19" x14ac:dyDescent="0.35">
      <c r="A1705" t="s">
        <v>3912</v>
      </c>
      <c r="B1705" s="1">
        <v>41908</v>
      </c>
      <c r="C1705" s="1">
        <v>41912</v>
      </c>
      <c r="D1705" t="s">
        <v>37</v>
      </c>
      <c r="E1705" t="s">
        <v>3913</v>
      </c>
      <c r="F1705" t="s">
        <v>3914</v>
      </c>
      <c r="G1705" t="s">
        <v>84</v>
      </c>
      <c r="H1705" t="s">
        <v>24</v>
      </c>
      <c r="I1705" t="s">
        <v>61</v>
      </c>
      <c r="J1705" t="s">
        <v>62</v>
      </c>
      <c r="K1705" t="s">
        <v>63</v>
      </c>
      <c r="L1705" t="s">
        <v>934</v>
      </c>
      <c r="M1705" t="s">
        <v>29</v>
      </c>
      <c r="N1705" t="s">
        <v>53</v>
      </c>
      <c r="O1705" t="s">
        <v>935</v>
      </c>
      <c r="P1705">
        <v>21.184000000000001</v>
      </c>
      <c r="Q1705">
        <v>1</v>
      </c>
      <c r="R1705">
        <v>4.7664</v>
      </c>
      <c r="S1705" t="s">
        <v>72</v>
      </c>
    </row>
    <row r="1706" spans="1:19" x14ac:dyDescent="0.35">
      <c r="A1706" t="s">
        <v>3915</v>
      </c>
      <c r="B1706" s="1">
        <v>42244</v>
      </c>
      <c r="C1706" s="1">
        <v>42251</v>
      </c>
      <c r="D1706" t="s">
        <v>37</v>
      </c>
      <c r="E1706" t="s">
        <v>678</v>
      </c>
      <c r="F1706" t="s">
        <v>679</v>
      </c>
      <c r="G1706" t="s">
        <v>23</v>
      </c>
      <c r="H1706" t="s">
        <v>24</v>
      </c>
      <c r="I1706" t="s">
        <v>49</v>
      </c>
      <c r="J1706" t="s">
        <v>50</v>
      </c>
      <c r="K1706" t="s">
        <v>51</v>
      </c>
      <c r="L1706" t="s">
        <v>269</v>
      </c>
      <c r="M1706" t="s">
        <v>29</v>
      </c>
      <c r="N1706" t="s">
        <v>30</v>
      </c>
      <c r="O1706" t="s">
        <v>270</v>
      </c>
      <c r="P1706">
        <v>307.666</v>
      </c>
      <c r="Q1706">
        <v>2</v>
      </c>
      <c r="R1706">
        <v>28.956800000000001</v>
      </c>
      <c r="S1706" t="s">
        <v>245</v>
      </c>
    </row>
    <row r="1707" spans="1:19" x14ac:dyDescent="0.35">
      <c r="A1707" t="s">
        <v>3915</v>
      </c>
      <c r="B1707" s="1">
        <v>42244</v>
      </c>
      <c r="C1707" s="1">
        <v>42251</v>
      </c>
      <c r="D1707" t="s">
        <v>37</v>
      </c>
      <c r="E1707" t="s">
        <v>678</v>
      </c>
      <c r="F1707" t="s">
        <v>679</v>
      </c>
      <c r="G1707" t="s">
        <v>23</v>
      </c>
      <c r="H1707" t="s">
        <v>24</v>
      </c>
      <c r="I1707" t="s">
        <v>49</v>
      </c>
      <c r="J1707" t="s">
        <v>50</v>
      </c>
      <c r="K1707" t="s">
        <v>51</v>
      </c>
      <c r="L1707" t="s">
        <v>1352</v>
      </c>
      <c r="M1707" t="s">
        <v>29</v>
      </c>
      <c r="N1707" t="s">
        <v>53</v>
      </c>
      <c r="O1707" t="s">
        <v>415</v>
      </c>
      <c r="P1707">
        <v>4.16</v>
      </c>
      <c r="Q1707">
        <v>2</v>
      </c>
      <c r="R1707">
        <v>1.7472000000000001</v>
      </c>
      <c r="S1707" t="s">
        <v>245</v>
      </c>
    </row>
    <row r="1708" spans="1:19" x14ac:dyDescent="0.35">
      <c r="A1708" t="s">
        <v>3916</v>
      </c>
      <c r="B1708" s="1">
        <v>42297</v>
      </c>
      <c r="C1708" s="1">
        <v>42301</v>
      </c>
      <c r="D1708" t="s">
        <v>37</v>
      </c>
      <c r="E1708" t="s">
        <v>1029</v>
      </c>
      <c r="F1708" t="s">
        <v>1030</v>
      </c>
      <c r="G1708" t="s">
        <v>84</v>
      </c>
      <c r="H1708" t="s">
        <v>24</v>
      </c>
      <c r="I1708" t="s">
        <v>320</v>
      </c>
      <c r="J1708" t="s">
        <v>50</v>
      </c>
      <c r="K1708" t="s">
        <v>51</v>
      </c>
      <c r="L1708" t="s">
        <v>2504</v>
      </c>
      <c r="M1708" t="s">
        <v>29</v>
      </c>
      <c r="N1708" t="s">
        <v>53</v>
      </c>
      <c r="O1708" t="s">
        <v>2505</v>
      </c>
      <c r="P1708">
        <v>16.02</v>
      </c>
      <c r="Q1708">
        <v>6</v>
      </c>
      <c r="R1708">
        <v>6.0876000000000001</v>
      </c>
      <c r="S1708" t="s">
        <v>45</v>
      </c>
    </row>
    <row r="1709" spans="1:19" x14ac:dyDescent="0.35">
      <c r="A1709" t="s">
        <v>3917</v>
      </c>
      <c r="B1709" s="1">
        <v>42736</v>
      </c>
      <c r="C1709" s="1">
        <v>42740</v>
      </c>
      <c r="D1709" t="s">
        <v>37</v>
      </c>
      <c r="E1709" t="s">
        <v>2645</v>
      </c>
      <c r="F1709" t="s">
        <v>2646</v>
      </c>
      <c r="G1709" t="s">
        <v>23</v>
      </c>
      <c r="H1709" t="s">
        <v>24</v>
      </c>
      <c r="I1709" t="s">
        <v>1859</v>
      </c>
      <c r="J1709" t="s">
        <v>86</v>
      </c>
      <c r="K1709" t="s">
        <v>87</v>
      </c>
      <c r="L1709" t="s">
        <v>2160</v>
      </c>
      <c r="M1709" t="s">
        <v>29</v>
      </c>
      <c r="N1709" t="s">
        <v>53</v>
      </c>
      <c r="O1709" t="s">
        <v>2161</v>
      </c>
      <c r="P1709">
        <v>141.41999999999999</v>
      </c>
      <c r="Q1709">
        <v>5</v>
      </c>
      <c r="R1709">
        <v>-187.38149999999999</v>
      </c>
      <c r="S1709" t="s">
        <v>161</v>
      </c>
    </row>
    <row r="1710" spans="1:19" x14ac:dyDescent="0.35">
      <c r="A1710" t="s">
        <v>3917</v>
      </c>
      <c r="B1710" s="1">
        <v>42736</v>
      </c>
      <c r="C1710" s="1">
        <v>42740</v>
      </c>
      <c r="D1710" t="s">
        <v>37</v>
      </c>
      <c r="E1710" t="s">
        <v>2645</v>
      </c>
      <c r="F1710" t="s">
        <v>2646</v>
      </c>
      <c r="G1710" t="s">
        <v>23</v>
      </c>
      <c r="H1710" t="s">
        <v>24</v>
      </c>
      <c r="I1710" t="s">
        <v>1859</v>
      </c>
      <c r="J1710" t="s">
        <v>86</v>
      </c>
      <c r="K1710" t="s">
        <v>87</v>
      </c>
      <c r="L1710" t="s">
        <v>812</v>
      </c>
      <c r="M1710" t="s">
        <v>29</v>
      </c>
      <c r="N1710" t="s">
        <v>34</v>
      </c>
      <c r="O1710" t="s">
        <v>813</v>
      </c>
      <c r="P1710">
        <v>310.74400000000003</v>
      </c>
      <c r="Q1710">
        <v>4</v>
      </c>
      <c r="R1710">
        <v>-26.635200000000001</v>
      </c>
      <c r="S1710" t="s">
        <v>161</v>
      </c>
    </row>
    <row r="1711" spans="1:19" x14ac:dyDescent="0.35">
      <c r="A1711" t="s">
        <v>3918</v>
      </c>
      <c r="B1711" s="1">
        <v>42178</v>
      </c>
      <c r="C1711" s="1">
        <v>42184</v>
      </c>
      <c r="D1711" t="s">
        <v>37</v>
      </c>
      <c r="E1711" t="s">
        <v>1703</v>
      </c>
      <c r="F1711" t="s">
        <v>1704</v>
      </c>
      <c r="G1711" t="s">
        <v>84</v>
      </c>
      <c r="H1711" t="s">
        <v>24</v>
      </c>
      <c r="I1711" t="s">
        <v>3919</v>
      </c>
      <c r="J1711" t="s">
        <v>658</v>
      </c>
      <c r="K1711" t="s">
        <v>27</v>
      </c>
      <c r="L1711" t="s">
        <v>826</v>
      </c>
      <c r="M1711" t="s">
        <v>29</v>
      </c>
      <c r="N1711" t="s">
        <v>53</v>
      </c>
      <c r="O1711" t="s">
        <v>827</v>
      </c>
      <c r="P1711">
        <v>27.42</v>
      </c>
      <c r="Q1711">
        <v>3</v>
      </c>
      <c r="R1711">
        <v>9.3228000000000009</v>
      </c>
      <c r="S1711" t="s">
        <v>55</v>
      </c>
    </row>
    <row r="1712" spans="1:19" x14ac:dyDescent="0.35">
      <c r="A1712" t="s">
        <v>3920</v>
      </c>
      <c r="B1712" s="1">
        <v>42663</v>
      </c>
      <c r="C1712" s="1">
        <v>42669</v>
      </c>
      <c r="D1712" t="s">
        <v>37</v>
      </c>
      <c r="E1712" t="s">
        <v>3921</v>
      </c>
      <c r="F1712" t="s">
        <v>3922</v>
      </c>
      <c r="G1712" t="s">
        <v>94</v>
      </c>
      <c r="H1712" t="s">
        <v>24</v>
      </c>
      <c r="I1712" t="s">
        <v>680</v>
      </c>
      <c r="J1712" t="s">
        <v>707</v>
      </c>
      <c r="K1712" t="s">
        <v>27</v>
      </c>
      <c r="L1712" t="s">
        <v>484</v>
      </c>
      <c r="M1712" t="s">
        <v>29</v>
      </c>
      <c r="N1712" t="s">
        <v>53</v>
      </c>
      <c r="O1712" t="s">
        <v>485</v>
      </c>
      <c r="P1712">
        <v>61.1</v>
      </c>
      <c r="Q1712">
        <v>5</v>
      </c>
      <c r="R1712">
        <v>18.329999999999998</v>
      </c>
      <c r="S1712" t="s">
        <v>45</v>
      </c>
    </row>
    <row r="1713" spans="1:19" x14ac:dyDescent="0.35">
      <c r="A1713" t="s">
        <v>3923</v>
      </c>
      <c r="B1713" s="1">
        <v>42943</v>
      </c>
      <c r="C1713" s="1">
        <v>42948</v>
      </c>
      <c r="D1713" t="s">
        <v>20</v>
      </c>
      <c r="E1713" t="s">
        <v>1759</v>
      </c>
      <c r="F1713" t="s">
        <v>1760</v>
      </c>
      <c r="G1713" t="s">
        <v>23</v>
      </c>
      <c r="H1713" t="s">
        <v>24</v>
      </c>
      <c r="I1713" t="s">
        <v>183</v>
      </c>
      <c r="J1713" t="s">
        <v>184</v>
      </c>
      <c r="K1713" t="s">
        <v>51</v>
      </c>
      <c r="L1713" t="s">
        <v>918</v>
      </c>
      <c r="M1713" t="s">
        <v>29</v>
      </c>
      <c r="N1713" t="s">
        <v>53</v>
      </c>
      <c r="O1713" t="s">
        <v>308</v>
      </c>
      <c r="P1713">
        <v>23.88</v>
      </c>
      <c r="Q1713">
        <v>3</v>
      </c>
      <c r="R1713">
        <v>10.507199999999999</v>
      </c>
      <c r="S1713" t="s">
        <v>66</v>
      </c>
    </row>
    <row r="1714" spans="1:19" x14ac:dyDescent="0.35">
      <c r="A1714" t="s">
        <v>3924</v>
      </c>
      <c r="B1714" s="1">
        <v>42783</v>
      </c>
      <c r="C1714" s="1">
        <v>42785</v>
      </c>
      <c r="D1714" t="s">
        <v>81</v>
      </c>
      <c r="E1714" t="s">
        <v>3925</v>
      </c>
      <c r="F1714" t="s">
        <v>3926</v>
      </c>
      <c r="G1714" t="s">
        <v>94</v>
      </c>
      <c r="H1714" t="s">
        <v>24</v>
      </c>
      <c r="I1714" t="s">
        <v>95</v>
      </c>
      <c r="J1714" t="s">
        <v>86</v>
      </c>
      <c r="K1714" t="s">
        <v>87</v>
      </c>
      <c r="L1714" t="s">
        <v>525</v>
      </c>
      <c r="M1714" t="s">
        <v>29</v>
      </c>
      <c r="N1714" t="s">
        <v>30</v>
      </c>
      <c r="O1714" t="s">
        <v>526</v>
      </c>
      <c r="P1714">
        <v>89.066400000000002</v>
      </c>
      <c r="Q1714">
        <v>1</v>
      </c>
      <c r="R1714">
        <v>-17.0274</v>
      </c>
      <c r="S1714" t="s">
        <v>289</v>
      </c>
    </row>
    <row r="1715" spans="1:19" x14ac:dyDescent="0.35">
      <c r="A1715" t="s">
        <v>3927</v>
      </c>
      <c r="B1715" s="1">
        <v>43077</v>
      </c>
      <c r="C1715" s="1">
        <v>43084</v>
      </c>
      <c r="D1715" t="s">
        <v>37</v>
      </c>
      <c r="E1715" t="s">
        <v>750</v>
      </c>
      <c r="F1715" t="s">
        <v>751</v>
      </c>
      <c r="G1715" t="s">
        <v>23</v>
      </c>
      <c r="H1715" t="s">
        <v>24</v>
      </c>
      <c r="I1715" t="s">
        <v>61</v>
      </c>
      <c r="J1715" t="s">
        <v>62</v>
      </c>
      <c r="K1715" t="s">
        <v>63</v>
      </c>
      <c r="L1715" t="s">
        <v>479</v>
      </c>
      <c r="M1715" t="s">
        <v>29</v>
      </c>
      <c r="N1715" t="s">
        <v>34</v>
      </c>
      <c r="O1715" t="s">
        <v>480</v>
      </c>
      <c r="P1715">
        <v>215.54400000000001</v>
      </c>
      <c r="Q1715">
        <v>4</v>
      </c>
      <c r="R1715">
        <v>-58.504800000000003</v>
      </c>
      <c r="S1715" t="s">
        <v>90</v>
      </c>
    </row>
    <row r="1716" spans="1:19" x14ac:dyDescent="0.35">
      <c r="A1716" t="s">
        <v>3928</v>
      </c>
      <c r="B1716" s="1">
        <v>43057</v>
      </c>
      <c r="C1716" s="1">
        <v>43062</v>
      </c>
      <c r="D1716" t="s">
        <v>37</v>
      </c>
      <c r="E1716" t="s">
        <v>3929</v>
      </c>
      <c r="F1716" t="s">
        <v>3930</v>
      </c>
      <c r="G1716" t="s">
        <v>23</v>
      </c>
      <c r="H1716" t="s">
        <v>24</v>
      </c>
      <c r="I1716" t="s">
        <v>125</v>
      </c>
      <c r="J1716" t="s">
        <v>126</v>
      </c>
      <c r="K1716" t="s">
        <v>87</v>
      </c>
      <c r="L1716" t="s">
        <v>2171</v>
      </c>
      <c r="M1716" t="s">
        <v>29</v>
      </c>
      <c r="N1716" t="s">
        <v>34</v>
      </c>
      <c r="O1716" t="s">
        <v>2172</v>
      </c>
      <c r="P1716">
        <v>127.386</v>
      </c>
      <c r="Q1716">
        <v>2</v>
      </c>
      <c r="R1716">
        <v>-25.4772</v>
      </c>
      <c r="S1716" t="s">
        <v>32</v>
      </c>
    </row>
    <row r="1717" spans="1:19" x14ac:dyDescent="0.35">
      <c r="A1717" t="s">
        <v>3931</v>
      </c>
      <c r="B1717" s="1">
        <v>42705</v>
      </c>
      <c r="C1717" s="1">
        <v>42707</v>
      </c>
      <c r="D1717" t="s">
        <v>20</v>
      </c>
      <c r="E1717" t="s">
        <v>3807</v>
      </c>
      <c r="F1717" t="s">
        <v>3808</v>
      </c>
      <c r="G1717" t="s">
        <v>23</v>
      </c>
      <c r="H1717" t="s">
        <v>24</v>
      </c>
      <c r="I1717" t="s">
        <v>1736</v>
      </c>
      <c r="J1717" t="s">
        <v>86</v>
      </c>
      <c r="K1717" t="s">
        <v>87</v>
      </c>
      <c r="L1717" t="s">
        <v>581</v>
      </c>
      <c r="M1717" t="s">
        <v>29</v>
      </c>
      <c r="N1717" t="s">
        <v>34</v>
      </c>
      <c r="O1717" t="s">
        <v>582</v>
      </c>
      <c r="P1717">
        <v>248.43</v>
      </c>
      <c r="Q1717">
        <v>5</v>
      </c>
      <c r="R1717">
        <v>-17.745000000000001</v>
      </c>
      <c r="S1717" t="s">
        <v>90</v>
      </c>
    </row>
    <row r="1718" spans="1:19" x14ac:dyDescent="0.35">
      <c r="A1718" t="s">
        <v>3931</v>
      </c>
      <c r="B1718" s="1">
        <v>42705</v>
      </c>
      <c r="C1718" s="1">
        <v>42707</v>
      </c>
      <c r="D1718" t="s">
        <v>20</v>
      </c>
      <c r="E1718" t="s">
        <v>3807</v>
      </c>
      <c r="F1718" t="s">
        <v>3808</v>
      </c>
      <c r="G1718" t="s">
        <v>23</v>
      </c>
      <c r="H1718" t="s">
        <v>24</v>
      </c>
      <c r="I1718" t="s">
        <v>1736</v>
      </c>
      <c r="J1718" t="s">
        <v>86</v>
      </c>
      <c r="K1718" t="s">
        <v>87</v>
      </c>
      <c r="L1718" t="s">
        <v>290</v>
      </c>
      <c r="M1718" t="s">
        <v>29</v>
      </c>
      <c r="N1718" t="s">
        <v>34</v>
      </c>
      <c r="O1718" t="s">
        <v>291</v>
      </c>
      <c r="P1718">
        <v>85.245999999999995</v>
      </c>
      <c r="Q1718">
        <v>2</v>
      </c>
      <c r="R1718">
        <v>-1.2178</v>
      </c>
      <c r="S1718" t="s">
        <v>90</v>
      </c>
    </row>
    <row r="1719" spans="1:19" x14ac:dyDescent="0.35">
      <c r="A1719" t="s">
        <v>3932</v>
      </c>
      <c r="B1719" s="1">
        <v>42976</v>
      </c>
      <c r="C1719" s="1">
        <v>42982</v>
      </c>
      <c r="D1719" t="s">
        <v>37</v>
      </c>
      <c r="E1719" t="s">
        <v>1579</v>
      </c>
      <c r="F1719" t="s">
        <v>1580</v>
      </c>
      <c r="G1719" t="s">
        <v>84</v>
      </c>
      <c r="H1719" t="s">
        <v>24</v>
      </c>
      <c r="I1719" t="s">
        <v>49</v>
      </c>
      <c r="J1719" t="s">
        <v>50</v>
      </c>
      <c r="K1719" t="s">
        <v>51</v>
      </c>
      <c r="L1719" t="s">
        <v>3685</v>
      </c>
      <c r="M1719" t="s">
        <v>29</v>
      </c>
      <c r="N1719" t="s">
        <v>53</v>
      </c>
      <c r="O1719" t="s">
        <v>3686</v>
      </c>
      <c r="P1719">
        <v>148.02000000000001</v>
      </c>
      <c r="Q1719">
        <v>3</v>
      </c>
      <c r="R1719">
        <v>41.445599999999999</v>
      </c>
      <c r="S1719" t="s">
        <v>245</v>
      </c>
    </row>
    <row r="1720" spans="1:19" x14ac:dyDescent="0.35">
      <c r="A1720" t="s">
        <v>3933</v>
      </c>
      <c r="B1720" s="1">
        <v>42938</v>
      </c>
      <c r="C1720" s="1">
        <v>42943</v>
      </c>
      <c r="D1720" t="s">
        <v>37</v>
      </c>
      <c r="E1720" t="s">
        <v>2648</v>
      </c>
      <c r="F1720" t="s">
        <v>2649</v>
      </c>
      <c r="G1720" t="s">
        <v>23</v>
      </c>
      <c r="H1720" t="s">
        <v>24</v>
      </c>
      <c r="I1720" t="s">
        <v>125</v>
      </c>
      <c r="J1720" t="s">
        <v>126</v>
      </c>
      <c r="K1720" t="s">
        <v>87</v>
      </c>
      <c r="L1720" t="s">
        <v>616</v>
      </c>
      <c r="M1720" t="s">
        <v>29</v>
      </c>
      <c r="N1720" t="s">
        <v>34</v>
      </c>
      <c r="O1720" t="s">
        <v>617</v>
      </c>
      <c r="P1720">
        <v>526.34400000000005</v>
      </c>
      <c r="Q1720">
        <v>4</v>
      </c>
      <c r="R1720">
        <v>-75.191999999999993</v>
      </c>
      <c r="S1720" t="s">
        <v>66</v>
      </c>
    </row>
    <row r="1721" spans="1:19" x14ac:dyDescent="0.35">
      <c r="A1721" t="s">
        <v>3934</v>
      </c>
      <c r="B1721" s="1">
        <v>42685</v>
      </c>
      <c r="C1721" s="1">
        <v>42690</v>
      </c>
      <c r="D1721" t="s">
        <v>37</v>
      </c>
      <c r="E1721" t="s">
        <v>606</v>
      </c>
      <c r="F1721" t="s">
        <v>607</v>
      </c>
      <c r="G1721" t="s">
        <v>23</v>
      </c>
      <c r="H1721" t="s">
        <v>24</v>
      </c>
      <c r="I1721" t="s">
        <v>320</v>
      </c>
      <c r="J1721" t="s">
        <v>50</v>
      </c>
      <c r="K1721" t="s">
        <v>51</v>
      </c>
      <c r="L1721" t="s">
        <v>178</v>
      </c>
      <c r="M1721" t="s">
        <v>29</v>
      </c>
      <c r="N1721" t="s">
        <v>53</v>
      </c>
      <c r="O1721" t="s">
        <v>179</v>
      </c>
      <c r="P1721">
        <v>41.96</v>
      </c>
      <c r="Q1721">
        <v>2</v>
      </c>
      <c r="R1721">
        <v>10.909599999999999</v>
      </c>
      <c r="S1721" t="s">
        <v>32</v>
      </c>
    </row>
    <row r="1722" spans="1:19" x14ac:dyDescent="0.35">
      <c r="A1722" t="s">
        <v>3934</v>
      </c>
      <c r="B1722" s="1">
        <v>42685</v>
      </c>
      <c r="C1722" s="1">
        <v>42690</v>
      </c>
      <c r="D1722" t="s">
        <v>37</v>
      </c>
      <c r="E1722" t="s">
        <v>606</v>
      </c>
      <c r="F1722" t="s">
        <v>607</v>
      </c>
      <c r="G1722" t="s">
        <v>23</v>
      </c>
      <c r="H1722" t="s">
        <v>24</v>
      </c>
      <c r="I1722" t="s">
        <v>320</v>
      </c>
      <c r="J1722" t="s">
        <v>50</v>
      </c>
      <c r="K1722" t="s">
        <v>51</v>
      </c>
      <c r="L1722" t="s">
        <v>616</v>
      </c>
      <c r="M1722" t="s">
        <v>29</v>
      </c>
      <c r="N1722" t="s">
        <v>34</v>
      </c>
      <c r="O1722" t="s">
        <v>617</v>
      </c>
      <c r="P1722">
        <v>451.15199999999999</v>
      </c>
      <c r="Q1722">
        <v>3</v>
      </c>
      <c r="R1722">
        <v>0</v>
      </c>
      <c r="S1722" t="s">
        <v>32</v>
      </c>
    </row>
    <row r="1723" spans="1:19" x14ac:dyDescent="0.35">
      <c r="A1723" t="s">
        <v>3935</v>
      </c>
      <c r="B1723" s="1">
        <v>42985</v>
      </c>
      <c r="C1723" s="1">
        <v>42990</v>
      </c>
      <c r="D1723" t="s">
        <v>37</v>
      </c>
      <c r="E1723" t="s">
        <v>1866</v>
      </c>
      <c r="F1723" t="s">
        <v>1867</v>
      </c>
      <c r="G1723" t="s">
        <v>23</v>
      </c>
      <c r="H1723" t="s">
        <v>24</v>
      </c>
      <c r="I1723" t="s">
        <v>3936</v>
      </c>
      <c r="J1723" t="s">
        <v>50</v>
      </c>
      <c r="K1723" t="s">
        <v>51</v>
      </c>
      <c r="L1723" t="s">
        <v>287</v>
      </c>
      <c r="M1723" t="s">
        <v>29</v>
      </c>
      <c r="N1723" t="s">
        <v>34</v>
      </c>
      <c r="O1723" t="s">
        <v>288</v>
      </c>
      <c r="P1723">
        <v>161.56800000000001</v>
      </c>
      <c r="Q1723">
        <v>2</v>
      </c>
      <c r="R1723">
        <v>-28.2744</v>
      </c>
      <c r="S1723" t="s">
        <v>72</v>
      </c>
    </row>
    <row r="1724" spans="1:19" x14ac:dyDescent="0.35">
      <c r="A1724" t="s">
        <v>3937</v>
      </c>
      <c r="B1724" s="1">
        <v>42973</v>
      </c>
      <c r="C1724" s="1">
        <v>42979</v>
      </c>
      <c r="D1724" t="s">
        <v>37</v>
      </c>
      <c r="E1724" t="s">
        <v>101</v>
      </c>
      <c r="F1724" t="s">
        <v>102</v>
      </c>
      <c r="G1724" t="s">
        <v>23</v>
      </c>
      <c r="H1724" t="s">
        <v>24</v>
      </c>
      <c r="I1724" t="s">
        <v>125</v>
      </c>
      <c r="J1724" t="s">
        <v>126</v>
      </c>
      <c r="K1724" t="s">
        <v>87</v>
      </c>
      <c r="L1724" t="s">
        <v>747</v>
      </c>
      <c r="M1724" t="s">
        <v>29</v>
      </c>
      <c r="N1724" t="s">
        <v>53</v>
      </c>
      <c r="O1724" t="s">
        <v>748</v>
      </c>
      <c r="P1724">
        <v>64.959999999999994</v>
      </c>
      <c r="Q1724">
        <v>5</v>
      </c>
      <c r="R1724">
        <v>-43.847999999999999</v>
      </c>
      <c r="S1724" t="s">
        <v>245</v>
      </c>
    </row>
    <row r="1725" spans="1:19" x14ac:dyDescent="0.35">
      <c r="A1725" t="s">
        <v>3938</v>
      </c>
      <c r="B1725" s="1">
        <v>42285</v>
      </c>
      <c r="C1725" s="1">
        <v>42290</v>
      </c>
      <c r="D1725" t="s">
        <v>37</v>
      </c>
      <c r="E1725" t="s">
        <v>82</v>
      </c>
      <c r="F1725" t="s">
        <v>83</v>
      </c>
      <c r="G1725" t="s">
        <v>84</v>
      </c>
      <c r="H1725" t="s">
        <v>24</v>
      </c>
      <c r="I1725" t="s">
        <v>1730</v>
      </c>
      <c r="J1725" t="s">
        <v>86</v>
      </c>
      <c r="K1725" t="s">
        <v>87</v>
      </c>
      <c r="L1725" t="s">
        <v>136</v>
      </c>
      <c r="M1725" t="s">
        <v>29</v>
      </c>
      <c r="N1725" t="s">
        <v>53</v>
      </c>
      <c r="O1725" t="s">
        <v>137</v>
      </c>
      <c r="P1725">
        <v>72.78</v>
      </c>
      <c r="Q1725">
        <v>3</v>
      </c>
      <c r="R1725">
        <v>-70.960499999999996</v>
      </c>
      <c r="S1725" t="s">
        <v>45</v>
      </c>
    </row>
    <row r="1726" spans="1:19" x14ac:dyDescent="0.35">
      <c r="A1726" t="s">
        <v>3939</v>
      </c>
      <c r="B1726" s="1">
        <v>42594</v>
      </c>
      <c r="C1726" s="1">
        <v>42598</v>
      </c>
      <c r="D1726" t="s">
        <v>37</v>
      </c>
      <c r="E1726" t="s">
        <v>3940</v>
      </c>
      <c r="F1726" t="s">
        <v>3941</v>
      </c>
      <c r="G1726" t="s">
        <v>84</v>
      </c>
      <c r="H1726" t="s">
        <v>24</v>
      </c>
      <c r="I1726" t="s">
        <v>565</v>
      </c>
      <c r="J1726" t="s">
        <v>41</v>
      </c>
      <c r="K1726" t="s">
        <v>27</v>
      </c>
      <c r="L1726" t="s">
        <v>360</v>
      </c>
      <c r="M1726" t="s">
        <v>29</v>
      </c>
      <c r="N1726" t="s">
        <v>43</v>
      </c>
      <c r="O1726" t="s">
        <v>361</v>
      </c>
      <c r="P1726">
        <v>562.29250000000002</v>
      </c>
      <c r="Q1726">
        <v>7</v>
      </c>
      <c r="R1726">
        <v>-255.58750000000001</v>
      </c>
      <c r="S1726" t="s">
        <v>245</v>
      </c>
    </row>
    <row r="1727" spans="1:19" x14ac:dyDescent="0.35">
      <c r="A1727" t="s">
        <v>3942</v>
      </c>
      <c r="B1727" s="1">
        <v>41952</v>
      </c>
      <c r="C1727" s="1">
        <v>41956</v>
      </c>
      <c r="D1727" t="s">
        <v>37</v>
      </c>
      <c r="E1727" t="s">
        <v>3354</v>
      </c>
      <c r="F1727" t="s">
        <v>3355</v>
      </c>
      <c r="G1727" t="s">
        <v>94</v>
      </c>
      <c r="H1727" t="s">
        <v>24</v>
      </c>
      <c r="I1727" t="s">
        <v>165</v>
      </c>
      <c r="J1727" t="s">
        <v>114</v>
      </c>
      <c r="K1727" t="s">
        <v>63</v>
      </c>
      <c r="L1727" t="s">
        <v>346</v>
      </c>
      <c r="M1727" t="s">
        <v>29</v>
      </c>
      <c r="N1727" t="s">
        <v>53</v>
      </c>
      <c r="O1727" t="s">
        <v>1234</v>
      </c>
      <c r="P1727">
        <v>56.52</v>
      </c>
      <c r="Q1727">
        <v>9</v>
      </c>
      <c r="R1727">
        <v>21.477599999999999</v>
      </c>
      <c r="S1727" t="s">
        <v>32</v>
      </c>
    </row>
    <row r="1728" spans="1:19" x14ac:dyDescent="0.35">
      <c r="A1728" t="s">
        <v>3943</v>
      </c>
      <c r="B1728" s="1">
        <v>42405</v>
      </c>
      <c r="C1728" s="1">
        <v>42410</v>
      </c>
      <c r="D1728" t="s">
        <v>37</v>
      </c>
      <c r="E1728" t="s">
        <v>1881</v>
      </c>
      <c r="F1728" t="s">
        <v>1882</v>
      </c>
      <c r="G1728" t="s">
        <v>23</v>
      </c>
      <c r="H1728" t="s">
        <v>24</v>
      </c>
      <c r="I1728" t="s">
        <v>630</v>
      </c>
      <c r="J1728" t="s">
        <v>50</v>
      </c>
      <c r="K1728" t="s">
        <v>51</v>
      </c>
      <c r="L1728" t="s">
        <v>775</v>
      </c>
      <c r="M1728" t="s">
        <v>29</v>
      </c>
      <c r="N1728" t="s">
        <v>43</v>
      </c>
      <c r="O1728" t="s">
        <v>776</v>
      </c>
      <c r="P1728">
        <v>557.72799999999995</v>
      </c>
      <c r="Q1728">
        <v>4</v>
      </c>
      <c r="R1728">
        <v>6.9715999999999996</v>
      </c>
      <c r="S1728" t="s">
        <v>289</v>
      </c>
    </row>
    <row r="1729" spans="1:19" x14ac:dyDescent="0.35">
      <c r="A1729" t="s">
        <v>3944</v>
      </c>
      <c r="B1729" s="1">
        <v>41665</v>
      </c>
      <c r="C1729" s="1">
        <v>41668</v>
      </c>
      <c r="D1729" t="s">
        <v>81</v>
      </c>
      <c r="E1729" t="s">
        <v>2765</v>
      </c>
      <c r="F1729" t="s">
        <v>2766</v>
      </c>
      <c r="G1729" t="s">
        <v>84</v>
      </c>
      <c r="H1729" t="s">
        <v>24</v>
      </c>
      <c r="I1729" t="s">
        <v>3945</v>
      </c>
      <c r="J1729" t="s">
        <v>1817</v>
      </c>
      <c r="K1729" t="s">
        <v>87</v>
      </c>
      <c r="L1729" t="s">
        <v>801</v>
      </c>
      <c r="M1729" t="s">
        <v>29</v>
      </c>
      <c r="N1729" t="s">
        <v>30</v>
      </c>
      <c r="O1729" t="s">
        <v>802</v>
      </c>
      <c r="P1729">
        <v>141.96</v>
      </c>
      <c r="Q1729">
        <v>2</v>
      </c>
      <c r="R1729">
        <v>39.748800000000003</v>
      </c>
      <c r="S1729" t="s">
        <v>161</v>
      </c>
    </row>
    <row r="1730" spans="1:19" x14ac:dyDescent="0.35">
      <c r="A1730" t="s">
        <v>3946</v>
      </c>
      <c r="B1730" s="1">
        <v>42647</v>
      </c>
      <c r="C1730" s="1">
        <v>42652</v>
      </c>
      <c r="D1730" t="s">
        <v>37</v>
      </c>
      <c r="E1730" t="s">
        <v>770</v>
      </c>
      <c r="F1730" t="s">
        <v>771</v>
      </c>
      <c r="G1730" t="s">
        <v>23</v>
      </c>
      <c r="H1730" t="s">
        <v>24</v>
      </c>
      <c r="I1730" t="s">
        <v>2745</v>
      </c>
      <c r="J1730" t="s">
        <v>1080</v>
      </c>
      <c r="K1730" t="s">
        <v>63</v>
      </c>
      <c r="L1730" t="s">
        <v>1245</v>
      </c>
      <c r="M1730" t="s">
        <v>29</v>
      </c>
      <c r="N1730" t="s">
        <v>43</v>
      </c>
      <c r="O1730" t="s">
        <v>1246</v>
      </c>
      <c r="P1730">
        <v>239.37200000000001</v>
      </c>
      <c r="Q1730">
        <v>2</v>
      </c>
      <c r="R1730">
        <v>-23.937200000000001</v>
      </c>
      <c r="S1730" t="s">
        <v>45</v>
      </c>
    </row>
    <row r="1731" spans="1:19" x14ac:dyDescent="0.35">
      <c r="A1731" t="s">
        <v>3947</v>
      </c>
      <c r="B1731" s="1">
        <v>42416</v>
      </c>
      <c r="C1731" s="1">
        <v>42420</v>
      </c>
      <c r="D1731" t="s">
        <v>37</v>
      </c>
      <c r="E1731" t="s">
        <v>3948</v>
      </c>
      <c r="F1731" t="s">
        <v>3949</v>
      </c>
      <c r="G1731" t="s">
        <v>23</v>
      </c>
      <c r="H1731" t="s">
        <v>24</v>
      </c>
      <c r="I1731" t="s">
        <v>353</v>
      </c>
      <c r="J1731" t="s">
        <v>354</v>
      </c>
      <c r="K1731" t="s">
        <v>63</v>
      </c>
      <c r="L1731" t="s">
        <v>3207</v>
      </c>
      <c r="M1731" t="s">
        <v>29</v>
      </c>
      <c r="N1731" t="s">
        <v>34</v>
      </c>
      <c r="O1731" t="s">
        <v>3208</v>
      </c>
      <c r="P1731">
        <v>227.96</v>
      </c>
      <c r="Q1731">
        <v>2</v>
      </c>
      <c r="R1731">
        <v>36.473599999999998</v>
      </c>
      <c r="S1731" t="s">
        <v>289</v>
      </c>
    </row>
    <row r="1732" spans="1:19" x14ac:dyDescent="0.35">
      <c r="A1732" t="s">
        <v>3950</v>
      </c>
      <c r="B1732" s="1">
        <v>42310</v>
      </c>
      <c r="C1732" s="1">
        <v>42314</v>
      </c>
      <c r="D1732" t="s">
        <v>37</v>
      </c>
      <c r="E1732" t="s">
        <v>804</v>
      </c>
      <c r="F1732" t="s">
        <v>805</v>
      </c>
      <c r="G1732" t="s">
        <v>23</v>
      </c>
      <c r="H1732" t="s">
        <v>24</v>
      </c>
      <c r="I1732" t="s">
        <v>630</v>
      </c>
      <c r="J1732" t="s">
        <v>50</v>
      </c>
      <c r="K1732" t="s">
        <v>51</v>
      </c>
      <c r="L1732" t="s">
        <v>1953</v>
      </c>
      <c r="M1732" t="s">
        <v>29</v>
      </c>
      <c r="N1732" t="s">
        <v>53</v>
      </c>
      <c r="O1732" t="s">
        <v>1954</v>
      </c>
      <c r="P1732">
        <v>96.96</v>
      </c>
      <c r="Q1732">
        <v>6</v>
      </c>
      <c r="R1732">
        <v>33.936</v>
      </c>
      <c r="S1732" t="s">
        <v>32</v>
      </c>
    </row>
    <row r="1733" spans="1:19" x14ac:dyDescent="0.35">
      <c r="A1733" t="s">
        <v>3950</v>
      </c>
      <c r="B1733" s="1">
        <v>42310</v>
      </c>
      <c r="C1733" s="1">
        <v>42314</v>
      </c>
      <c r="D1733" t="s">
        <v>37</v>
      </c>
      <c r="E1733" t="s">
        <v>804</v>
      </c>
      <c r="F1733" t="s">
        <v>805</v>
      </c>
      <c r="G1733" t="s">
        <v>23</v>
      </c>
      <c r="H1733" t="s">
        <v>24</v>
      </c>
      <c r="I1733" t="s">
        <v>630</v>
      </c>
      <c r="J1733" t="s">
        <v>50</v>
      </c>
      <c r="K1733" t="s">
        <v>51</v>
      </c>
      <c r="L1733" t="s">
        <v>1958</v>
      </c>
      <c r="M1733" t="s">
        <v>29</v>
      </c>
      <c r="N1733" t="s">
        <v>30</v>
      </c>
      <c r="O1733" t="s">
        <v>1959</v>
      </c>
      <c r="P1733">
        <v>512.49900000000002</v>
      </c>
      <c r="Q1733">
        <v>3</v>
      </c>
      <c r="R1733">
        <v>-30.146999999999998</v>
      </c>
      <c r="S1733" t="s">
        <v>32</v>
      </c>
    </row>
    <row r="1734" spans="1:19" x14ac:dyDescent="0.35">
      <c r="A1734" t="s">
        <v>3951</v>
      </c>
      <c r="B1734" s="1">
        <v>42582</v>
      </c>
      <c r="C1734" s="1">
        <v>42587</v>
      </c>
      <c r="D1734" t="s">
        <v>37</v>
      </c>
      <c r="E1734" t="s">
        <v>2567</v>
      </c>
      <c r="F1734" t="s">
        <v>2568</v>
      </c>
      <c r="G1734" t="s">
        <v>84</v>
      </c>
      <c r="H1734" t="s">
        <v>24</v>
      </c>
      <c r="I1734" t="s">
        <v>320</v>
      </c>
      <c r="J1734" t="s">
        <v>50</v>
      </c>
      <c r="K1734" t="s">
        <v>51</v>
      </c>
      <c r="L1734" t="s">
        <v>722</v>
      </c>
      <c r="M1734" t="s">
        <v>29</v>
      </c>
      <c r="N1734" t="s">
        <v>43</v>
      </c>
      <c r="O1734" t="s">
        <v>723</v>
      </c>
      <c r="P1734">
        <v>863.12800000000004</v>
      </c>
      <c r="Q1734">
        <v>7</v>
      </c>
      <c r="R1734">
        <v>-32.3673</v>
      </c>
      <c r="S1734" t="s">
        <v>66</v>
      </c>
    </row>
    <row r="1735" spans="1:19" x14ac:dyDescent="0.35">
      <c r="A1735" t="s">
        <v>3952</v>
      </c>
      <c r="B1735" s="1">
        <v>43045</v>
      </c>
      <c r="C1735" s="1">
        <v>43052</v>
      </c>
      <c r="D1735" t="s">
        <v>37</v>
      </c>
      <c r="E1735" t="s">
        <v>1835</v>
      </c>
      <c r="F1735" t="s">
        <v>1836</v>
      </c>
      <c r="G1735" t="s">
        <v>94</v>
      </c>
      <c r="H1735" t="s">
        <v>24</v>
      </c>
      <c r="I1735" t="s">
        <v>183</v>
      </c>
      <c r="J1735" t="s">
        <v>184</v>
      </c>
      <c r="K1735" t="s">
        <v>51</v>
      </c>
      <c r="L1735" t="s">
        <v>402</v>
      </c>
      <c r="M1735" t="s">
        <v>29</v>
      </c>
      <c r="N1735" t="s">
        <v>43</v>
      </c>
      <c r="O1735" t="s">
        <v>403</v>
      </c>
      <c r="P1735">
        <v>2036.86</v>
      </c>
      <c r="Q1735">
        <v>7</v>
      </c>
      <c r="R1735">
        <v>366.63479999999998</v>
      </c>
      <c r="S1735" t="s">
        <v>32</v>
      </c>
    </row>
    <row r="1736" spans="1:19" x14ac:dyDescent="0.35">
      <c r="A1736" t="s">
        <v>3952</v>
      </c>
      <c r="B1736" s="1">
        <v>43045</v>
      </c>
      <c r="C1736" s="1">
        <v>43052</v>
      </c>
      <c r="D1736" t="s">
        <v>37</v>
      </c>
      <c r="E1736" t="s">
        <v>1835</v>
      </c>
      <c r="F1736" t="s">
        <v>1836</v>
      </c>
      <c r="G1736" t="s">
        <v>94</v>
      </c>
      <c r="H1736" t="s">
        <v>24</v>
      </c>
      <c r="I1736" t="s">
        <v>183</v>
      </c>
      <c r="J1736" t="s">
        <v>184</v>
      </c>
      <c r="K1736" t="s">
        <v>51</v>
      </c>
      <c r="L1736" t="s">
        <v>397</v>
      </c>
      <c r="M1736" t="s">
        <v>29</v>
      </c>
      <c r="N1736" t="s">
        <v>34</v>
      </c>
      <c r="O1736" t="s">
        <v>398</v>
      </c>
      <c r="P1736">
        <v>449.56799999999998</v>
      </c>
      <c r="Q1736">
        <v>2</v>
      </c>
      <c r="R1736">
        <v>-73.0548</v>
      </c>
      <c r="S1736" t="s">
        <v>32</v>
      </c>
    </row>
    <row r="1737" spans="1:19" x14ac:dyDescent="0.35">
      <c r="A1737" t="s">
        <v>3953</v>
      </c>
      <c r="B1737" s="1">
        <v>42218</v>
      </c>
      <c r="C1737" s="1">
        <v>42222</v>
      </c>
      <c r="D1737" t="s">
        <v>37</v>
      </c>
      <c r="E1737" t="s">
        <v>579</v>
      </c>
      <c r="F1737" t="s">
        <v>580</v>
      </c>
      <c r="G1737" t="s">
        <v>23</v>
      </c>
      <c r="H1737" t="s">
        <v>24</v>
      </c>
      <c r="I1737" t="s">
        <v>869</v>
      </c>
      <c r="J1737" t="s">
        <v>1508</v>
      </c>
      <c r="K1737" t="s">
        <v>51</v>
      </c>
      <c r="L1737" t="s">
        <v>2557</v>
      </c>
      <c r="M1737" t="s">
        <v>29</v>
      </c>
      <c r="N1737" t="s">
        <v>43</v>
      </c>
      <c r="O1737" t="s">
        <v>2558</v>
      </c>
      <c r="P1737">
        <v>277.5</v>
      </c>
      <c r="Q1737">
        <v>4</v>
      </c>
      <c r="R1737">
        <v>-188.7</v>
      </c>
      <c r="S1737" t="s">
        <v>245</v>
      </c>
    </row>
    <row r="1738" spans="1:19" x14ac:dyDescent="0.35">
      <c r="A1738" t="s">
        <v>3954</v>
      </c>
      <c r="B1738" s="1">
        <v>42329</v>
      </c>
      <c r="C1738" s="1">
        <v>42333</v>
      </c>
      <c r="D1738" t="s">
        <v>37</v>
      </c>
      <c r="E1738" t="s">
        <v>3003</v>
      </c>
      <c r="F1738" t="s">
        <v>3004</v>
      </c>
      <c r="G1738" t="s">
        <v>23</v>
      </c>
      <c r="H1738" t="s">
        <v>24</v>
      </c>
      <c r="I1738" t="s">
        <v>61</v>
      </c>
      <c r="J1738" t="s">
        <v>62</v>
      </c>
      <c r="K1738" t="s">
        <v>63</v>
      </c>
      <c r="L1738" t="s">
        <v>1238</v>
      </c>
      <c r="M1738" t="s">
        <v>29</v>
      </c>
      <c r="N1738" t="s">
        <v>43</v>
      </c>
      <c r="O1738" t="s">
        <v>1239</v>
      </c>
      <c r="P1738">
        <v>1252.704</v>
      </c>
      <c r="Q1738">
        <v>8</v>
      </c>
      <c r="R1738">
        <v>-480.20319999999998</v>
      </c>
      <c r="S1738" t="s">
        <v>32</v>
      </c>
    </row>
    <row r="1739" spans="1:19" x14ac:dyDescent="0.35">
      <c r="A1739" t="s">
        <v>3955</v>
      </c>
      <c r="B1739" s="1">
        <v>42873</v>
      </c>
      <c r="C1739" s="1">
        <v>42877</v>
      </c>
      <c r="D1739" t="s">
        <v>37</v>
      </c>
      <c r="E1739" t="s">
        <v>1819</v>
      </c>
      <c r="F1739" t="s">
        <v>1820</v>
      </c>
      <c r="G1739" t="s">
        <v>84</v>
      </c>
      <c r="H1739" t="s">
        <v>24</v>
      </c>
      <c r="I1739" t="s">
        <v>125</v>
      </c>
      <c r="J1739" t="s">
        <v>126</v>
      </c>
      <c r="K1739" t="s">
        <v>87</v>
      </c>
      <c r="L1739" t="s">
        <v>1533</v>
      </c>
      <c r="M1739" t="s">
        <v>29</v>
      </c>
      <c r="N1739" t="s">
        <v>53</v>
      </c>
      <c r="O1739" t="s">
        <v>1534</v>
      </c>
      <c r="P1739">
        <v>22.608000000000001</v>
      </c>
      <c r="Q1739">
        <v>3</v>
      </c>
      <c r="R1739">
        <v>-10.1736</v>
      </c>
      <c r="S1739" t="s">
        <v>153</v>
      </c>
    </row>
    <row r="1740" spans="1:19" x14ac:dyDescent="0.35">
      <c r="A1740" t="s">
        <v>3955</v>
      </c>
      <c r="B1740" s="1">
        <v>42873</v>
      </c>
      <c r="C1740" s="1">
        <v>42877</v>
      </c>
      <c r="D1740" t="s">
        <v>37</v>
      </c>
      <c r="E1740" t="s">
        <v>1819</v>
      </c>
      <c r="F1740" t="s">
        <v>1820</v>
      </c>
      <c r="G1740" t="s">
        <v>84</v>
      </c>
      <c r="H1740" t="s">
        <v>24</v>
      </c>
      <c r="I1740" t="s">
        <v>125</v>
      </c>
      <c r="J1740" t="s">
        <v>126</v>
      </c>
      <c r="K1740" t="s">
        <v>87</v>
      </c>
      <c r="L1740" t="s">
        <v>371</v>
      </c>
      <c r="M1740" t="s">
        <v>29</v>
      </c>
      <c r="N1740" t="s">
        <v>53</v>
      </c>
      <c r="O1740" t="s">
        <v>372</v>
      </c>
      <c r="P1740">
        <v>1.8919999999999999</v>
      </c>
      <c r="Q1740">
        <v>1</v>
      </c>
      <c r="R1740">
        <v>-0.99329999999999996</v>
      </c>
      <c r="S1740" t="s">
        <v>153</v>
      </c>
    </row>
    <row r="1741" spans="1:19" x14ac:dyDescent="0.35">
      <c r="A1741" t="s">
        <v>3956</v>
      </c>
      <c r="B1741" s="1">
        <v>42260</v>
      </c>
      <c r="C1741" s="1">
        <v>42264</v>
      </c>
      <c r="D1741" t="s">
        <v>20</v>
      </c>
      <c r="E1741" t="s">
        <v>1463</v>
      </c>
      <c r="F1741" t="s">
        <v>1464</v>
      </c>
      <c r="G1741" t="s">
        <v>23</v>
      </c>
      <c r="H1741" t="s">
        <v>24</v>
      </c>
      <c r="I1741" t="s">
        <v>125</v>
      </c>
      <c r="J1741" t="s">
        <v>126</v>
      </c>
      <c r="K1741" t="s">
        <v>87</v>
      </c>
      <c r="L1741" t="s">
        <v>243</v>
      </c>
      <c r="M1741" t="s">
        <v>29</v>
      </c>
      <c r="N1741" t="s">
        <v>34</v>
      </c>
      <c r="O1741" t="s">
        <v>244</v>
      </c>
      <c r="P1741">
        <v>170.072</v>
      </c>
      <c r="Q1741">
        <v>4</v>
      </c>
      <c r="R1741">
        <v>-12.148</v>
      </c>
      <c r="S1741" t="s">
        <v>72</v>
      </c>
    </row>
    <row r="1742" spans="1:19" x14ac:dyDescent="0.35">
      <c r="A1742" t="s">
        <v>3957</v>
      </c>
      <c r="B1742" s="1">
        <v>43056</v>
      </c>
      <c r="C1742" s="1">
        <v>43060</v>
      </c>
      <c r="D1742" t="s">
        <v>37</v>
      </c>
      <c r="E1742" t="s">
        <v>2124</v>
      </c>
      <c r="F1742" t="s">
        <v>2125</v>
      </c>
      <c r="G1742" t="s">
        <v>23</v>
      </c>
      <c r="H1742" t="s">
        <v>24</v>
      </c>
      <c r="I1742" t="s">
        <v>165</v>
      </c>
      <c r="J1742" t="s">
        <v>114</v>
      </c>
      <c r="K1742" t="s">
        <v>63</v>
      </c>
      <c r="L1742" t="s">
        <v>346</v>
      </c>
      <c r="M1742" t="s">
        <v>29</v>
      </c>
      <c r="N1742" t="s">
        <v>53</v>
      </c>
      <c r="O1742" t="s">
        <v>347</v>
      </c>
      <c r="P1742">
        <v>187.76</v>
      </c>
      <c r="Q1742">
        <v>4</v>
      </c>
      <c r="R1742">
        <v>76.9816</v>
      </c>
      <c r="S1742" t="s">
        <v>32</v>
      </c>
    </row>
    <row r="1743" spans="1:19" x14ac:dyDescent="0.35">
      <c r="A1743" t="s">
        <v>3958</v>
      </c>
      <c r="B1743" s="1">
        <v>42338</v>
      </c>
      <c r="C1743" s="1">
        <v>42341</v>
      </c>
      <c r="D1743" t="s">
        <v>81</v>
      </c>
      <c r="E1743" t="s">
        <v>628</v>
      </c>
      <c r="F1743" t="s">
        <v>629</v>
      </c>
      <c r="G1743" t="s">
        <v>23</v>
      </c>
      <c r="H1743" t="s">
        <v>24</v>
      </c>
      <c r="I1743" t="s">
        <v>3959</v>
      </c>
      <c r="J1743" t="s">
        <v>1027</v>
      </c>
      <c r="K1743" t="s">
        <v>27</v>
      </c>
      <c r="L1743" t="s">
        <v>305</v>
      </c>
      <c r="M1743" t="s">
        <v>29</v>
      </c>
      <c r="N1743" t="s">
        <v>53</v>
      </c>
      <c r="O1743" t="s">
        <v>306</v>
      </c>
      <c r="P1743">
        <v>335.74400000000003</v>
      </c>
      <c r="Q1743">
        <v>2</v>
      </c>
      <c r="R1743">
        <v>25.180800000000001</v>
      </c>
      <c r="S1743" t="s">
        <v>32</v>
      </c>
    </row>
    <row r="1744" spans="1:19" x14ac:dyDescent="0.35">
      <c r="A1744" t="s">
        <v>3960</v>
      </c>
      <c r="B1744" s="1">
        <v>42316</v>
      </c>
      <c r="C1744" s="1">
        <v>42316</v>
      </c>
      <c r="D1744" t="s">
        <v>417</v>
      </c>
      <c r="E1744" t="s">
        <v>2488</v>
      </c>
      <c r="F1744" t="s">
        <v>2489</v>
      </c>
      <c r="G1744" t="s">
        <v>84</v>
      </c>
      <c r="H1744" t="s">
        <v>24</v>
      </c>
      <c r="I1744" t="s">
        <v>165</v>
      </c>
      <c r="J1744" t="s">
        <v>114</v>
      </c>
      <c r="K1744" t="s">
        <v>63</v>
      </c>
      <c r="L1744" t="s">
        <v>3566</v>
      </c>
      <c r="M1744" t="s">
        <v>29</v>
      </c>
      <c r="N1744" t="s">
        <v>53</v>
      </c>
      <c r="O1744" t="s">
        <v>3567</v>
      </c>
      <c r="P1744">
        <v>11.82</v>
      </c>
      <c r="Q1744">
        <v>3</v>
      </c>
      <c r="R1744">
        <v>4.7279999999999998</v>
      </c>
      <c r="S1744" t="s">
        <v>32</v>
      </c>
    </row>
    <row r="1745" spans="1:19" x14ac:dyDescent="0.35">
      <c r="A1745" t="s">
        <v>3960</v>
      </c>
      <c r="B1745" s="1">
        <v>42316</v>
      </c>
      <c r="C1745" s="1">
        <v>42316</v>
      </c>
      <c r="D1745" t="s">
        <v>417</v>
      </c>
      <c r="E1745" t="s">
        <v>2488</v>
      </c>
      <c r="F1745" t="s">
        <v>2489</v>
      </c>
      <c r="G1745" t="s">
        <v>84</v>
      </c>
      <c r="H1745" t="s">
        <v>24</v>
      </c>
      <c r="I1745" t="s">
        <v>165</v>
      </c>
      <c r="J1745" t="s">
        <v>114</v>
      </c>
      <c r="K1745" t="s">
        <v>63</v>
      </c>
      <c r="L1745" t="s">
        <v>786</v>
      </c>
      <c r="M1745" t="s">
        <v>29</v>
      </c>
      <c r="N1745" t="s">
        <v>34</v>
      </c>
      <c r="O1745" t="s">
        <v>787</v>
      </c>
      <c r="P1745">
        <v>577.76400000000001</v>
      </c>
      <c r="Q1745">
        <v>2</v>
      </c>
      <c r="R1745">
        <v>115.5528</v>
      </c>
      <c r="S1745" t="s">
        <v>32</v>
      </c>
    </row>
    <row r="1746" spans="1:19" x14ac:dyDescent="0.35">
      <c r="A1746" t="s">
        <v>3961</v>
      </c>
      <c r="B1746" s="1">
        <v>42120</v>
      </c>
      <c r="C1746" s="1">
        <v>42124</v>
      </c>
      <c r="D1746" t="s">
        <v>37</v>
      </c>
      <c r="E1746" t="s">
        <v>810</v>
      </c>
      <c r="F1746" t="s">
        <v>811</v>
      </c>
      <c r="G1746" t="s">
        <v>23</v>
      </c>
      <c r="H1746" t="s">
        <v>24</v>
      </c>
      <c r="I1746" t="s">
        <v>3962</v>
      </c>
      <c r="J1746" t="s">
        <v>41</v>
      </c>
      <c r="K1746" t="s">
        <v>27</v>
      </c>
      <c r="L1746" t="s">
        <v>42</v>
      </c>
      <c r="M1746" t="s">
        <v>29</v>
      </c>
      <c r="N1746" t="s">
        <v>43</v>
      </c>
      <c r="O1746" t="s">
        <v>44</v>
      </c>
      <c r="P1746">
        <v>191.5155</v>
      </c>
      <c r="Q1746">
        <v>1</v>
      </c>
      <c r="R1746">
        <v>-76.606200000000001</v>
      </c>
      <c r="S1746" t="s">
        <v>107</v>
      </c>
    </row>
    <row r="1747" spans="1:19" x14ac:dyDescent="0.35">
      <c r="A1747" t="s">
        <v>3963</v>
      </c>
      <c r="B1747" s="1">
        <v>42681</v>
      </c>
      <c r="C1747" s="1">
        <v>42686</v>
      </c>
      <c r="D1747" t="s">
        <v>37</v>
      </c>
      <c r="E1747" t="s">
        <v>1328</v>
      </c>
      <c r="F1747" t="s">
        <v>1329</v>
      </c>
      <c r="G1747" t="s">
        <v>23</v>
      </c>
      <c r="H1747" t="s">
        <v>24</v>
      </c>
      <c r="I1747" t="s">
        <v>1730</v>
      </c>
      <c r="J1747" t="s">
        <v>86</v>
      </c>
      <c r="K1747" t="s">
        <v>87</v>
      </c>
      <c r="L1747" t="s">
        <v>3964</v>
      </c>
      <c r="M1747" t="s">
        <v>29</v>
      </c>
      <c r="N1747" t="s">
        <v>53</v>
      </c>
      <c r="O1747" t="s">
        <v>3965</v>
      </c>
      <c r="P1747">
        <v>44.46</v>
      </c>
      <c r="Q1747">
        <v>5</v>
      </c>
      <c r="R1747">
        <v>-17.783999999999999</v>
      </c>
      <c r="S1747" t="s">
        <v>32</v>
      </c>
    </row>
    <row r="1748" spans="1:19" x14ac:dyDescent="0.35">
      <c r="A1748" t="s">
        <v>3966</v>
      </c>
      <c r="B1748" s="1">
        <v>41915</v>
      </c>
      <c r="C1748" s="1">
        <v>41919</v>
      </c>
      <c r="D1748" t="s">
        <v>37</v>
      </c>
      <c r="E1748" t="s">
        <v>3929</v>
      </c>
      <c r="F1748" t="s">
        <v>3930</v>
      </c>
      <c r="G1748" t="s">
        <v>23</v>
      </c>
      <c r="H1748" t="s">
        <v>24</v>
      </c>
      <c r="I1748" t="s">
        <v>1730</v>
      </c>
      <c r="J1748" t="s">
        <v>86</v>
      </c>
      <c r="K1748" t="s">
        <v>87</v>
      </c>
      <c r="L1748" t="s">
        <v>1412</v>
      </c>
      <c r="M1748" t="s">
        <v>29</v>
      </c>
      <c r="N1748" t="s">
        <v>53</v>
      </c>
      <c r="O1748" t="s">
        <v>1413</v>
      </c>
      <c r="P1748">
        <v>31.776</v>
      </c>
      <c r="Q1748">
        <v>3</v>
      </c>
      <c r="R1748">
        <v>-19.0656</v>
      </c>
      <c r="S1748" t="s">
        <v>45</v>
      </c>
    </row>
    <row r="1749" spans="1:19" x14ac:dyDescent="0.35">
      <c r="A1749" t="s">
        <v>3967</v>
      </c>
      <c r="B1749" s="1">
        <v>42464</v>
      </c>
      <c r="C1749" s="1">
        <v>42468</v>
      </c>
      <c r="D1749" t="s">
        <v>20</v>
      </c>
      <c r="E1749" t="s">
        <v>1811</v>
      </c>
      <c r="F1749" t="s">
        <v>1812</v>
      </c>
      <c r="G1749" t="s">
        <v>94</v>
      </c>
      <c r="H1749" t="s">
        <v>24</v>
      </c>
      <c r="I1749" t="s">
        <v>113</v>
      </c>
      <c r="J1749" t="s">
        <v>114</v>
      </c>
      <c r="K1749" t="s">
        <v>63</v>
      </c>
      <c r="L1749" t="s">
        <v>587</v>
      </c>
      <c r="M1749" t="s">
        <v>29</v>
      </c>
      <c r="N1749" t="s">
        <v>53</v>
      </c>
      <c r="O1749" t="s">
        <v>588</v>
      </c>
      <c r="P1749">
        <v>82.64</v>
      </c>
      <c r="Q1749">
        <v>2</v>
      </c>
      <c r="R1749">
        <v>7.4375999999999998</v>
      </c>
      <c r="S1749" t="s">
        <v>107</v>
      </c>
    </row>
    <row r="1750" spans="1:19" x14ac:dyDescent="0.35">
      <c r="A1750" t="s">
        <v>3968</v>
      </c>
      <c r="B1750" s="1">
        <v>42551</v>
      </c>
      <c r="C1750" s="1">
        <v>42553</v>
      </c>
      <c r="D1750" t="s">
        <v>20</v>
      </c>
      <c r="E1750" t="s">
        <v>201</v>
      </c>
      <c r="F1750" t="s">
        <v>202</v>
      </c>
      <c r="G1750" t="s">
        <v>23</v>
      </c>
      <c r="H1750" t="s">
        <v>24</v>
      </c>
      <c r="I1750" t="s">
        <v>2805</v>
      </c>
      <c r="J1750" t="s">
        <v>658</v>
      </c>
      <c r="K1750" t="s">
        <v>27</v>
      </c>
      <c r="L1750" t="s">
        <v>269</v>
      </c>
      <c r="M1750" t="s">
        <v>29</v>
      </c>
      <c r="N1750" t="s">
        <v>30</v>
      </c>
      <c r="O1750" t="s">
        <v>270</v>
      </c>
      <c r="P1750">
        <v>1266.8599999999999</v>
      </c>
      <c r="Q1750">
        <v>7</v>
      </c>
      <c r="R1750">
        <v>291.37779999999998</v>
      </c>
      <c r="S1750" t="s">
        <v>55</v>
      </c>
    </row>
    <row r="1751" spans="1:19" x14ac:dyDescent="0.35">
      <c r="A1751" t="s">
        <v>3969</v>
      </c>
      <c r="B1751" s="1">
        <v>42856</v>
      </c>
      <c r="C1751" s="1">
        <v>42861</v>
      </c>
      <c r="D1751" t="s">
        <v>37</v>
      </c>
      <c r="E1751" t="s">
        <v>1336</v>
      </c>
      <c r="F1751" t="s">
        <v>1337</v>
      </c>
      <c r="G1751" t="s">
        <v>23</v>
      </c>
      <c r="H1751" t="s">
        <v>24</v>
      </c>
      <c r="I1751" t="s">
        <v>597</v>
      </c>
      <c r="J1751" t="s">
        <v>41</v>
      </c>
      <c r="K1751" t="s">
        <v>27</v>
      </c>
      <c r="L1751" t="s">
        <v>512</v>
      </c>
      <c r="M1751" t="s">
        <v>29</v>
      </c>
      <c r="N1751" t="s">
        <v>43</v>
      </c>
      <c r="O1751" t="s">
        <v>513</v>
      </c>
      <c r="P1751">
        <v>933.26199999999994</v>
      </c>
      <c r="Q1751">
        <v>4</v>
      </c>
      <c r="R1751">
        <v>-458.14679999999998</v>
      </c>
      <c r="S1751" t="s">
        <v>153</v>
      </c>
    </row>
    <row r="1752" spans="1:19" x14ac:dyDescent="0.35">
      <c r="A1752" t="s">
        <v>3969</v>
      </c>
      <c r="B1752" s="1">
        <v>42856</v>
      </c>
      <c r="C1752" s="1">
        <v>42861</v>
      </c>
      <c r="D1752" t="s">
        <v>37</v>
      </c>
      <c r="E1752" t="s">
        <v>1336</v>
      </c>
      <c r="F1752" t="s">
        <v>1337</v>
      </c>
      <c r="G1752" t="s">
        <v>23</v>
      </c>
      <c r="H1752" t="s">
        <v>24</v>
      </c>
      <c r="I1752" t="s">
        <v>597</v>
      </c>
      <c r="J1752" t="s">
        <v>41</v>
      </c>
      <c r="K1752" t="s">
        <v>27</v>
      </c>
      <c r="L1752" t="s">
        <v>592</v>
      </c>
      <c r="M1752" t="s">
        <v>29</v>
      </c>
      <c r="N1752" t="s">
        <v>34</v>
      </c>
      <c r="O1752" t="s">
        <v>593</v>
      </c>
      <c r="P1752">
        <v>2803.92</v>
      </c>
      <c r="Q1752">
        <v>5</v>
      </c>
      <c r="R1752">
        <v>0</v>
      </c>
      <c r="S1752" t="s">
        <v>153</v>
      </c>
    </row>
    <row r="1753" spans="1:19" x14ac:dyDescent="0.35">
      <c r="A1753" t="s">
        <v>3970</v>
      </c>
      <c r="B1753" s="1">
        <v>43028</v>
      </c>
      <c r="C1753" s="1">
        <v>43028</v>
      </c>
      <c r="D1753" t="s">
        <v>417</v>
      </c>
      <c r="E1753" t="s">
        <v>3971</v>
      </c>
      <c r="F1753" t="s">
        <v>3972</v>
      </c>
      <c r="G1753" t="s">
        <v>23</v>
      </c>
      <c r="H1753" t="s">
        <v>24</v>
      </c>
      <c r="I1753" t="s">
        <v>597</v>
      </c>
      <c r="J1753" t="s">
        <v>41</v>
      </c>
      <c r="K1753" t="s">
        <v>27</v>
      </c>
      <c r="L1753" t="s">
        <v>2778</v>
      </c>
      <c r="M1753" t="s">
        <v>29</v>
      </c>
      <c r="N1753" t="s">
        <v>53</v>
      </c>
      <c r="O1753" t="s">
        <v>2779</v>
      </c>
      <c r="P1753">
        <v>43.936</v>
      </c>
      <c r="Q1753">
        <v>4</v>
      </c>
      <c r="R1753">
        <v>6.0411999999999999</v>
      </c>
      <c r="S1753" t="s">
        <v>45</v>
      </c>
    </row>
    <row r="1754" spans="1:19" x14ac:dyDescent="0.35">
      <c r="A1754" t="s">
        <v>3973</v>
      </c>
      <c r="B1754" s="1">
        <v>41863</v>
      </c>
      <c r="C1754" s="1">
        <v>41867</v>
      </c>
      <c r="D1754" t="s">
        <v>37</v>
      </c>
      <c r="E1754" t="s">
        <v>2839</v>
      </c>
      <c r="F1754" t="s">
        <v>2840</v>
      </c>
      <c r="G1754" t="s">
        <v>23</v>
      </c>
      <c r="H1754" t="s">
        <v>24</v>
      </c>
      <c r="I1754" t="s">
        <v>320</v>
      </c>
      <c r="J1754" t="s">
        <v>50</v>
      </c>
      <c r="K1754" t="s">
        <v>51</v>
      </c>
      <c r="L1754" t="s">
        <v>1509</v>
      </c>
      <c r="M1754" t="s">
        <v>29</v>
      </c>
      <c r="N1754" t="s">
        <v>53</v>
      </c>
      <c r="O1754" t="s">
        <v>1510</v>
      </c>
      <c r="P1754">
        <v>85.44</v>
      </c>
      <c r="Q1754">
        <v>3</v>
      </c>
      <c r="R1754">
        <v>31.6128</v>
      </c>
      <c r="S1754" t="s">
        <v>245</v>
      </c>
    </row>
    <row r="1755" spans="1:19" x14ac:dyDescent="0.35">
      <c r="A1755" t="s">
        <v>3974</v>
      </c>
      <c r="B1755" s="1">
        <v>42068</v>
      </c>
      <c r="C1755" s="1">
        <v>42072</v>
      </c>
      <c r="D1755" t="s">
        <v>20</v>
      </c>
      <c r="E1755" t="s">
        <v>1672</v>
      </c>
      <c r="F1755" t="s">
        <v>1673</v>
      </c>
      <c r="G1755" t="s">
        <v>23</v>
      </c>
      <c r="H1755" t="s">
        <v>24</v>
      </c>
      <c r="I1755" t="s">
        <v>125</v>
      </c>
      <c r="J1755" t="s">
        <v>126</v>
      </c>
      <c r="K1755" t="s">
        <v>87</v>
      </c>
      <c r="L1755" t="s">
        <v>414</v>
      </c>
      <c r="M1755" t="s">
        <v>29</v>
      </c>
      <c r="N1755" t="s">
        <v>53</v>
      </c>
      <c r="O1755" t="s">
        <v>415</v>
      </c>
      <c r="P1755">
        <v>4.7119999999999997</v>
      </c>
      <c r="Q1755">
        <v>2</v>
      </c>
      <c r="R1755">
        <v>-1.8848</v>
      </c>
      <c r="S1755" t="s">
        <v>187</v>
      </c>
    </row>
    <row r="1756" spans="1:19" x14ac:dyDescent="0.35">
      <c r="A1756" t="s">
        <v>3975</v>
      </c>
      <c r="B1756" s="1">
        <v>42765</v>
      </c>
      <c r="C1756" s="1">
        <v>42772</v>
      </c>
      <c r="D1756" t="s">
        <v>37</v>
      </c>
      <c r="E1756" t="s">
        <v>3976</v>
      </c>
      <c r="F1756" t="s">
        <v>3977</v>
      </c>
      <c r="G1756" t="s">
        <v>23</v>
      </c>
      <c r="H1756" t="s">
        <v>24</v>
      </c>
      <c r="I1756" t="s">
        <v>171</v>
      </c>
      <c r="J1756" t="s">
        <v>126</v>
      </c>
      <c r="K1756" t="s">
        <v>87</v>
      </c>
      <c r="L1756" t="s">
        <v>2557</v>
      </c>
      <c r="M1756" t="s">
        <v>29</v>
      </c>
      <c r="N1756" t="s">
        <v>43</v>
      </c>
      <c r="O1756" t="s">
        <v>2558</v>
      </c>
      <c r="P1756">
        <v>69.375</v>
      </c>
      <c r="Q1756">
        <v>1</v>
      </c>
      <c r="R1756">
        <v>-47.174999999999997</v>
      </c>
      <c r="S1756" t="s">
        <v>161</v>
      </c>
    </row>
    <row r="1757" spans="1:19" x14ac:dyDescent="0.35">
      <c r="A1757" t="s">
        <v>3978</v>
      </c>
      <c r="B1757" s="1">
        <v>42729</v>
      </c>
      <c r="C1757" s="1">
        <v>42735</v>
      </c>
      <c r="D1757" t="s">
        <v>37</v>
      </c>
      <c r="E1757" t="s">
        <v>1600</v>
      </c>
      <c r="F1757" t="s">
        <v>1601</v>
      </c>
      <c r="G1757" t="s">
        <v>23</v>
      </c>
      <c r="H1757" t="s">
        <v>24</v>
      </c>
      <c r="I1757" t="s">
        <v>165</v>
      </c>
      <c r="J1757" t="s">
        <v>114</v>
      </c>
      <c r="K1757" t="s">
        <v>63</v>
      </c>
      <c r="L1757" t="s">
        <v>505</v>
      </c>
      <c r="M1757" t="s">
        <v>29</v>
      </c>
      <c r="N1757" t="s">
        <v>34</v>
      </c>
      <c r="O1757" t="s">
        <v>506</v>
      </c>
      <c r="P1757">
        <v>2563.056</v>
      </c>
      <c r="Q1757">
        <v>8</v>
      </c>
      <c r="R1757">
        <v>313.26240000000001</v>
      </c>
      <c r="S1757" t="s">
        <v>90</v>
      </c>
    </row>
    <row r="1758" spans="1:19" x14ac:dyDescent="0.35">
      <c r="A1758" t="s">
        <v>3979</v>
      </c>
      <c r="B1758" s="1">
        <v>42663</v>
      </c>
      <c r="C1758" s="1">
        <v>42668</v>
      </c>
      <c r="D1758" t="s">
        <v>37</v>
      </c>
      <c r="E1758" t="s">
        <v>2579</v>
      </c>
      <c r="F1758" t="s">
        <v>2580</v>
      </c>
      <c r="G1758" t="s">
        <v>84</v>
      </c>
      <c r="H1758" t="s">
        <v>24</v>
      </c>
      <c r="I1758" t="s">
        <v>3585</v>
      </c>
      <c r="J1758" t="s">
        <v>50</v>
      </c>
      <c r="K1758" t="s">
        <v>51</v>
      </c>
      <c r="L1758" t="s">
        <v>2979</v>
      </c>
      <c r="M1758" t="s">
        <v>29</v>
      </c>
      <c r="N1758" t="s">
        <v>34</v>
      </c>
      <c r="O1758" t="s">
        <v>2980</v>
      </c>
      <c r="P1758">
        <v>387.13600000000002</v>
      </c>
      <c r="Q1758">
        <v>4</v>
      </c>
      <c r="R1758">
        <v>4.8391999999999999</v>
      </c>
      <c r="S1758" t="s">
        <v>45</v>
      </c>
    </row>
    <row r="1759" spans="1:19" x14ac:dyDescent="0.35">
      <c r="A1759" t="s">
        <v>3980</v>
      </c>
      <c r="B1759" s="1">
        <v>42864</v>
      </c>
      <c r="C1759" s="1">
        <v>42865</v>
      </c>
      <c r="D1759" t="s">
        <v>81</v>
      </c>
      <c r="E1759" t="s">
        <v>560</v>
      </c>
      <c r="F1759" t="s">
        <v>561</v>
      </c>
      <c r="G1759" t="s">
        <v>84</v>
      </c>
      <c r="H1759" t="s">
        <v>24</v>
      </c>
      <c r="I1759" t="s">
        <v>597</v>
      </c>
      <c r="J1759" t="s">
        <v>1027</v>
      </c>
      <c r="K1759" t="s">
        <v>27</v>
      </c>
      <c r="L1759" t="s">
        <v>1081</v>
      </c>
      <c r="M1759" t="s">
        <v>29</v>
      </c>
      <c r="N1759" t="s">
        <v>34</v>
      </c>
      <c r="O1759" t="s">
        <v>1082</v>
      </c>
      <c r="P1759">
        <v>207</v>
      </c>
      <c r="Q1759">
        <v>3</v>
      </c>
      <c r="R1759">
        <v>25.875</v>
      </c>
      <c r="S1759" t="s">
        <v>153</v>
      </c>
    </row>
    <row r="1760" spans="1:19" x14ac:dyDescent="0.35">
      <c r="A1760" t="s">
        <v>3981</v>
      </c>
      <c r="B1760" s="1">
        <v>42359</v>
      </c>
      <c r="C1760" s="1">
        <v>42364</v>
      </c>
      <c r="D1760" t="s">
        <v>20</v>
      </c>
      <c r="E1760" t="s">
        <v>1215</v>
      </c>
      <c r="F1760" t="s">
        <v>1216</v>
      </c>
      <c r="G1760" t="s">
        <v>94</v>
      </c>
      <c r="H1760" t="s">
        <v>24</v>
      </c>
      <c r="I1760" t="s">
        <v>3648</v>
      </c>
      <c r="J1760" t="s">
        <v>126</v>
      </c>
      <c r="K1760" t="s">
        <v>87</v>
      </c>
      <c r="L1760" t="s">
        <v>598</v>
      </c>
      <c r="M1760" t="s">
        <v>29</v>
      </c>
      <c r="N1760" t="s">
        <v>53</v>
      </c>
      <c r="O1760" t="s">
        <v>599</v>
      </c>
      <c r="P1760">
        <v>51.756</v>
      </c>
      <c r="Q1760">
        <v>3</v>
      </c>
      <c r="R1760">
        <v>-33.641399999999997</v>
      </c>
      <c r="S1760" t="s">
        <v>90</v>
      </c>
    </row>
    <row r="1761" spans="1:19" x14ac:dyDescent="0.35">
      <c r="A1761" t="s">
        <v>3982</v>
      </c>
      <c r="B1761" s="1">
        <v>42190</v>
      </c>
      <c r="C1761" s="1">
        <v>42196</v>
      </c>
      <c r="D1761" t="s">
        <v>37</v>
      </c>
      <c r="E1761" t="s">
        <v>2526</v>
      </c>
      <c r="F1761" t="s">
        <v>2527</v>
      </c>
      <c r="G1761" t="s">
        <v>84</v>
      </c>
      <c r="H1761" t="s">
        <v>24</v>
      </c>
      <c r="I1761" t="s">
        <v>1518</v>
      </c>
      <c r="J1761" t="s">
        <v>1027</v>
      </c>
      <c r="K1761" t="s">
        <v>27</v>
      </c>
      <c r="L1761" t="s">
        <v>2002</v>
      </c>
      <c r="M1761" t="s">
        <v>29</v>
      </c>
      <c r="N1761" t="s">
        <v>53</v>
      </c>
      <c r="O1761" t="s">
        <v>2003</v>
      </c>
      <c r="P1761">
        <v>4.9279999999999999</v>
      </c>
      <c r="Q1761">
        <v>2</v>
      </c>
      <c r="R1761">
        <v>0.73919999999999997</v>
      </c>
      <c r="S1761" t="s">
        <v>66</v>
      </c>
    </row>
    <row r="1762" spans="1:19" x14ac:dyDescent="0.35">
      <c r="A1762" t="s">
        <v>3983</v>
      </c>
      <c r="B1762" s="1">
        <v>42942</v>
      </c>
      <c r="C1762" s="1">
        <v>42948</v>
      </c>
      <c r="D1762" t="s">
        <v>37</v>
      </c>
      <c r="E1762" t="s">
        <v>3984</v>
      </c>
      <c r="F1762" t="s">
        <v>3985</v>
      </c>
      <c r="G1762" t="s">
        <v>84</v>
      </c>
      <c r="H1762" t="s">
        <v>24</v>
      </c>
      <c r="I1762" t="s">
        <v>49</v>
      </c>
      <c r="J1762" t="s">
        <v>50</v>
      </c>
      <c r="K1762" t="s">
        <v>51</v>
      </c>
      <c r="L1762" t="s">
        <v>846</v>
      </c>
      <c r="M1762" t="s">
        <v>29</v>
      </c>
      <c r="N1762" t="s">
        <v>34</v>
      </c>
      <c r="O1762" t="s">
        <v>847</v>
      </c>
      <c r="P1762">
        <v>362.35199999999998</v>
      </c>
      <c r="Q1762">
        <v>3</v>
      </c>
      <c r="R1762">
        <v>45.293999999999997</v>
      </c>
      <c r="S1762" t="s">
        <v>66</v>
      </c>
    </row>
    <row r="1763" spans="1:19" x14ac:dyDescent="0.35">
      <c r="A1763" t="s">
        <v>3986</v>
      </c>
      <c r="B1763" s="1">
        <v>43042</v>
      </c>
      <c r="C1763" s="1">
        <v>43048</v>
      </c>
      <c r="D1763" t="s">
        <v>37</v>
      </c>
      <c r="E1763" t="s">
        <v>2354</v>
      </c>
      <c r="F1763" t="s">
        <v>2355</v>
      </c>
      <c r="G1763" t="s">
        <v>23</v>
      </c>
      <c r="H1763" t="s">
        <v>24</v>
      </c>
      <c r="I1763" t="s">
        <v>2076</v>
      </c>
      <c r="J1763" t="s">
        <v>50</v>
      </c>
      <c r="K1763" t="s">
        <v>51</v>
      </c>
      <c r="L1763" t="s">
        <v>3180</v>
      </c>
      <c r="M1763" t="s">
        <v>29</v>
      </c>
      <c r="N1763" t="s">
        <v>43</v>
      </c>
      <c r="O1763" t="s">
        <v>3181</v>
      </c>
      <c r="P1763">
        <v>486.36799999999999</v>
      </c>
      <c r="Q1763">
        <v>4</v>
      </c>
      <c r="R1763">
        <v>36.477600000000002</v>
      </c>
      <c r="S1763" t="s">
        <v>32</v>
      </c>
    </row>
    <row r="1764" spans="1:19" x14ac:dyDescent="0.35">
      <c r="A1764" t="s">
        <v>3987</v>
      </c>
      <c r="B1764" s="1">
        <v>41699</v>
      </c>
      <c r="C1764" s="1">
        <v>41705</v>
      </c>
      <c r="D1764" t="s">
        <v>37</v>
      </c>
      <c r="E1764" t="s">
        <v>3988</v>
      </c>
      <c r="F1764" t="s">
        <v>3989</v>
      </c>
      <c r="G1764" t="s">
        <v>23</v>
      </c>
      <c r="H1764" t="s">
        <v>24</v>
      </c>
      <c r="I1764" t="s">
        <v>95</v>
      </c>
      <c r="J1764" t="s">
        <v>86</v>
      </c>
      <c r="K1764" t="s">
        <v>87</v>
      </c>
      <c r="L1764" t="s">
        <v>1790</v>
      </c>
      <c r="M1764" t="s">
        <v>29</v>
      </c>
      <c r="N1764" t="s">
        <v>43</v>
      </c>
      <c r="O1764" t="s">
        <v>1791</v>
      </c>
      <c r="P1764">
        <v>376.50900000000001</v>
      </c>
      <c r="Q1764">
        <v>3</v>
      </c>
      <c r="R1764">
        <v>-43.029600000000002</v>
      </c>
      <c r="S1764" t="s">
        <v>187</v>
      </c>
    </row>
    <row r="1765" spans="1:19" x14ac:dyDescent="0.35">
      <c r="A1765" t="s">
        <v>3990</v>
      </c>
      <c r="B1765" s="1">
        <v>42761</v>
      </c>
      <c r="C1765" s="1">
        <v>42766</v>
      </c>
      <c r="D1765" t="s">
        <v>37</v>
      </c>
      <c r="E1765" t="s">
        <v>3028</v>
      </c>
      <c r="F1765" t="s">
        <v>3029</v>
      </c>
      <c r="G1765" t="s">
        <v>23</v>
      </c>
      <c r="H1765" t="s">
        <v>24</v>
      </c>
      <c r="I1765" t="s">
        <v>339</v>
      </c>
      <c r="J1765" t="s">
        <v>658</v>
      </c>
      <c r="K1765" t="s">
        <v>27</v>
      </c>
      <c r="L1765" t="s">
        <v>193</v>
      </c>
      <c r="M1765" t="s">
        <v>29</v>
      </c>
      <c r="N1765" t="s">
        <v>53</v>
      </c>
      <c r="O1765" t="s">
        <v>194</v>
      </c>
      <c r="P1765">
        <v>62.72</v>
      </c>
      <c r="Q1765">
        <v>4</v>
      </c>
      <c r="R1765">
        <v>24.460799999999999</v>
      </c>
      <c r="S1765" t="s">
        <v>161</v>
      </c>
    </row>
    <row r="1766" spans="1:19" x14ac:dyDescent="0.35">
      <c r="A1766" t="s">
        <v>3991</v>
      </c>
      <c r="B1766" s="1">
        <v>41832</v>
      </c>
      <c r="C1766" s="1">
        <v>41836</v>
      </c>
      <c r="D1766" t="s">
        <v>37</v>
      </c>
      <c r="E1766" t="s">
        <v>1034</v>
      </c>
      <c r="F1766" t="s">
        <v>1035</v>
      </c>
      <c r="G1766" t="s">
        <v>94</v>
      </c>
      <c r="H1766" t="s">
        <v>24</v>
      </c>
      <c r="I1766" t="s">
        <v>2978</v>
      </c>
      <c r="J1766" t="s">
        <v>86</v>
      </c>
      <c r="K1766" t="s">
        <v>87</v>
      </c>
      <c r="L1766" t="s">
        <v>1073</v>
      </c>
      <c r="M1766" t="s">
        <v>29</v>
      </c>
      <c r="N1766" t="s">
        <v>34</v>
      </c>
      <c r="O1766" t="s">
        <v>1074</v>
      </c>
      <c r="P1766">
        <v>512.35799999999995</v>
      </c>
      <c r="Q1766">
        <v>3</v>
      </c>
      <c r="R1766">
        <v>-14.6388</v>
      </c>
      <c r="S1766" t="s">
        <v>66</v>
      </c>
    </row>
    <row r="1767" spans="1:19" x14ac:dyDescent="0.35">
      <c r="A1767" t="s">
        <v>3992</v>
      </c>
      <c r="B1767" s="1">
        <v>42438</v>
      </c>
      <c r="C1767" s="1">
        <v>42441</v>
      </c>
      <c r="D1767" t="s">
        <v>81</v>
      </c>
      <c r="E1767" t="s">
        <v>3571</v>
      </c>
      <c r="F1767" t="s">
        <v>3572</v>
      </c>
      <c r="G1767" t="s">
        <v>23</v>
      </c>
      <c r="H1767" t="s">
        <v>24</v>
      </c>
      <c r="I1767" t="s">
        <v>3993</v>
      </c>
      <c r="J1767" t="s">
        <v>425</v>
      </c>
      <c r="K1767" t="s">
        <v>63</v>
      </c>
      <c r="L1767" t="s">
        <v>581</v>
      </c>
      <c r="M1767" t="s">
        <v>29</v>
      </c>
      <c r="N1767" t="s">
        <v>34</v>
      </c>
      <c r="O1767" t="s">
        <v>582</v>
      </c>
      <c r="P1767">
        <v>354.9</v>
      </c>
      <c r="Q1767">
        <v>5</v>
      </c>
      <c r="R1767">
        <v>88.724999999999994</v>
      </c>
      <c r="S1767" t="s">
        <v>187</v>
      </c>
    </row>
    <row r="1768" spans="1:19" x14ac:dyDescent="0.35">
      <c r="A1768" t="s">
        <v>3994</v>
      </c>
      <c r="B1768" s="1">
        <v>42838</v>
      </c>
      <c r="C1768" s="1">
        <v>42842</v>
      </c>
      <c r="D1768" t="s">
        <v>37</v>
      </c>
      <c r="E1768" t="s">
        <v>3397</v>
      </c>
      <c r="F1768" t="s">
        <v>3398</v>
      </c>
      <c r="G1768" t="s">
        <v>84</v>
      </c>
      <c r="H1768" t="s">
        <v>24</v>
      </c>
      <c r="I1768" t="s">
        <v>2017</v>
      </c>
      <c r="J1768" t="s">
        <v>50</v>
      </c>
      <c r="K1768" t="s">
        <v>51</v>
      </c>
      <c r="L1768" t="s">
        <v>1608</v>
      </c>
      <c r="M1768" t="s">
        <v>29</v>
      </c>
      <c r="N1768" t="s">
        <v>34</v>
      </c>
      <c r="O1768" t="s">
        <v>1609</v>
      </c>
      <c r="P1768">
        <v>436.70400000000001</v>
      </c>
      <c r="Q1768">
        <v>6</v>
      </c>
      <c r="R1768">
        <v>-38.211599999999997</v>
      </c>
      <c r="S1768" t="s">
        <v>107</v>
      </c>
    </row>
    <row r="1769" spans="1:19" x14ac:dyDescent="0.35">
      <c r="A1769" t="s">
        <v>3995</v>
      </c>
      <c r="B1769" s="1">
        <v>41719</v>
      </c>
      <c r="C1769" s="1">
        <v>41723</v>
      </c>
      <c r="D1769" t="s">
        <v>37</v>
      </c>
      <c r="E1769" t="s">
        <v>824</v>
      </c>
      <c r="F1769" t="s">
        <v>825</v>
      </c>
      <c r="G1769" t="s">
        <v>23</v>
      </c>
      <c r="H1769" t="s">
        <v>24</v>
      </c>
      <c r="I1769" t="s">
        <v>3115</v>
      </c>
      <c r="J1769" t="s">
        <v>133</v>
      </c>
      <c r="K1769" t="s">
        <v>27</v>
      </c>
      <c r="L1769" t="s">
        <v>1281</v>
      </c>
      <c r="M1769" t="s">
        <v>29</v>
      </c>
      <c r="N1769" t="s">
        <v>53</v>
      </c>
      <c r="O1769" t="s">
        <v>1282</v>
      </c>
      <c r="P1769">
        <v>32.951999999999998</v>
      </c>
      <c r="Q1769">
        <v>3</v>
      </c>
      <c r="R1769">
        <v>6.5903999999999998</v>
      </c>
      <c r="S1769" t="s">
        <v>187</v>
      </c>
    </row>
    <row r="1770" spans="1:19" x14ac:dyDescent="0.35">
      <c r="A1770" t="s">
        <v>3995</v>
      </c>
      <c r="B1770" s="1">
        <v>41719</v>
      </c>
      <c r="C1770" s="1">
        <v>41723</v>
      </c>
      <c r="D1770" t="s">
        <v>37</v>
      </c>
      <c r="E1770" t="s">
        <v>824</v>
      </c>
      <c r="F1770" t="s">
        <v>825</v>
      </c>
      <c r="G1770" t="s">
        <v>23</v>
      </c>
      <c r="H1770" t="s">
        <v>24</v>
      </c>
      <c r="I1770" t="s">
        <v>3115</v>
      </c>
      <c r="J1770" t="s">
        <v>133</v>
      </c>
      <c r="K1770" t="s">
        <v>27</v>
      </c>
      <c r="L1770" t="s">
        <v>2171</v>
      </c>
      <c r="M1770" t="s">
        <v>29</v>
      </c>
      <c r="N1770" t="s">
        <v>34</v>
      </c>
      <c r="O1770" t="s">
        <v>2172</v>
      </c>
      <c r="P1770">
        <v>218.376</v>
      </c>
      <c r="Q1770">
        <v>3</v>
      </c>
      <c r="R1770">
        <v>-10.918799999999999</v>
      </c>
      <c r="S1770" t="s">
        <v>187</v>
      </c>
    </row>
    <row r="1771" spans="1:19" x14ac:dyDescent="0.35">
      <c r="A1771" t="s">
        <v>3996</v>
      </c>
      <c r="B1771" s="1">
        <v>42124</v>
      </c>
      <c r="C1771" s="1">
        <v>42128</v>
      </c>
      <c r="D1771" t="s">
        <v>37</v>
      </c>
      <c r="E1771" t="s">
        <v>1311</v>
      </c>
      <c r="F1771" t="s">
        <v>1312</v>
      </c>
      <c r="G1771" t="s">
        <v>84</v>
      </c>
      <c r="H1771" t="s">
        <v>24</v>
      </c>
      <c r="I1771" t="s">
        <v>462</v>
      </c>
      <c r="J1771" t="s">
        <v>425</v>
      </c>
      <c r="K1771" t="s">
        <v>63</v>
      </c>
      <c r="L1771" t="s">
        <v>263</v>
      </c>
      <c r="M1771" t="s">
        <v>29</v>
      </c>
      <c r="N1771" t="s">
        <v>53</v>
      </c>
      <c r="O1771" t="s">
        <v>264</v>
      </c>
      <c r="P1771">
        <v>31.4</v>
      </c>
      <c r="Q1771">
        <v>5</v>
      </c>
      <c r="R1771">
        <v>13.188000000000001</v>
      </c>
      <c r="S1771" t="s">
        <v>107</v>
      </c>
    </row>
    <row r="1772" spans="1:19" x14ac:dyDescent="0.35">
      <c r="A1772" t="s">
        <v>3996</v>
      </c>
      <c r="B1772" s="1">
        <v>42124</v>
      </c>
      <c r="C1772" s="1">
        <v>42128</v>
      </c>
      <c r="D1772" t="s">
        <v>37</v>
      </c>
      <c r="E1772" t="s">
        <v>1311</v>
      </c>
      <c r="F1772" t="s">
        <v>1312</v>
      </c>
      <c r="G1772" t="s">
        <v>84</v>
      </c>
      <c r="H1772" t="s">
        <v>24</v>
      </c>
      <c r="I1772" t="s">
        <v>462</v>
      </c>
      <c r="J1772" t="s">
        <v>425</v>
      </c>
      <c r="K1772" t="s">
        <v>63</v>
      </c>
      <c r="L1772" t="s">
        <v>2195</v>
      </c>
      <c r="M1772" t="s">
        <v>29</v>
      </c>
      <c r="N1772" t="s">
        <v>53</v>
      </c>
      <c r="O1772" t="s">
        <v>2196</v>
      </c>
      <c r="P1772">
        <v>9.48</v>
      </c>
      <c r="Q1772">
        <v>1</v>
      </c>
      <c r="R1772">
        <v>3.7919999999999998</v>
      </c>
      <c r="S1772" t="s">
        <v>107</v>
      </c>
    </row>
    <row r="1773" spans="1:19" x14ac:dyDescent="0.35">
      <c r="A1773" t="s">
        <v>3996</v>
      </c>
      <c r="B1773" s="1">
        <v>42124</v>
      </c>
      <c r="C1773" s="1">
        <v>42128</v>
      </c>
      <c r="D1773" t="s">
        <v>37</v>
      </c>
      <c r="E1773" t="s">
        <v>1311</v>
      </c>
      <c r="F1773" t="s">
        <v>1312</v>
      </c>
      <c r="G1773" t="s">
        <v>84</v>
      </c>
      <c r="H1773" t="s">
        <v>24</v>
      </c>
      <c r="I1773" t="s">
        <v>462</v>
      </c>
      <c r="J1773" t="s">
        <v>425</v>
      </c>
      <c r="K1773" t="s">
        <v>63</v>
      </c>
      <c r="L1773" t="s">
        <v>3034</v>
      </c>
      <c r="M1773" t="s">
        <v>29</v>
      </c>
      <c r="N1773" t="s">
        <v>53</v>
      </c>
      <c r="O1773" t="s">
        <v>3035</v>
      </c>
      <c r="P1773">
        <v>24.3</v>
      </c>
      <c r="Q1773">
        <v>5</v>
      </c>
      <c r="R1773">
        <v>10.449</v>
      </c>
      <c r="S1773" t="s">
        <v>107</v>
      </c>
    </row>
    <row r="1774" spans="1:19" x14ac:dyDescent="0.35">
      <c r="A1774" t="s">
        <v>3997</v>
      </c>
      <c r="B1774" s="1">
        <v>42858</v>
      </c>
      <c r="C1774" s="1">
        <v>42863</v>
      </c>
      <c r="D1774" t="s">
        <v>37</v>
      </c>
      <c r="E1774" t="s">
        <v>1991</v>
      </c>
      <c r="F1774" t="s">
        <v>1992</v>
      </c>
      <c r="G1774" t="s">
        <v>84</v>
      </c>
      <c r="H1774" t="s">
        <v>24</v>
      </c>
      <c r="I1774" t="s">
        <v>61</v>
      </c>
      <c r="J1774" t="s">
        <v>62</v>
      </c>
      <c r="K1774" t="s">
        <v>63</v>
      </c>
      <c r="L1774" t="s">
        <v>3214</v>
      </c>
      <c r="M1774" t="s">
        <v>29</v>
      </c>
      <c r="N1774" t="s">
        <v>53</v>
      </c>
      <c r="O1774" t="s">
        <v>3215</v>
      </c>
      <c r="P1774">
        <v>32.448</v>
      </c>
      <c r="Q1774">
        <v>2</v>
      </c>
      <c r="R1774">
        <v>7.3007999999999997</v>
      </c>
      <c r="S1774" t="s">
        <v>153</v>
      </c>
    </row>
    <row r="1775" spans="1:19" x14ac:dyDescent="0.35">
      <c r="A1775" t="s">
        <v>3997</v>
      </c>
      <c r="B1775" s="1">
        <v>42858</v>
      </c>
      <c r="C1775" s="1">
        <v>42863</v>
      </c>
      <c r="D1775" t="s">
        <v>37</v>
      </c>
      <c r="E1775" t="s">
        <v>1991</v>
      </c>
      <c r="F1775" t="s">
        <v>1992</v>
      </c>
      <c r="G1775" t="s">
        <v>84</v>
      </c>
      <c r="H1775" t="s">
        <v>24</v>
      </c>
      <c r="I1775" t="s">
        <v>61</v>
      </c>
      <c r="J1775" t="s">
        <v>62</v>
      </c>
      <c r="K1775" t="s">
        <v>63</v>
      </c>
      <c r="L1775" t="s">
        <v>282</v>
      </c>
      <c r="M1775" t="s">
        <v>29</v>
      </c>
      <c r="N1775" t="s">
        <v>43</v>
      </c>
      <c r="O1775" t="s">
        <v>283</v>
      </c>
      <c r="P1775">
        <v>373.47</v>
      </c>
      <c r="Q1775">
        <v>5</v>
      </c>
      <c r="R1775">
        <v>-112.041</v>
      </c>
      <c r="S1775" t="s">
        <v>153</v>
      </c>
    </row>
    <row r="1776" spans="1:19" x14ac:dyDescent="0.35">
      <c r="A1776" t="s">
        <v>3998</v>
      </c>
      <c r="B1776" s="1">
        <v>42608</v>
      </c>
      <c r="C1776" s="1">
        <v>42612</v>
      </c>
      <c r="D1776" t="s">
        <v>37</v>
      </c>
      <c r="E1776" t="s">
        <v>3440</v>
      </c>
      <c r="F1776" t="s">
        <v>3441</v>
      </c>
      <c r="G1776" t="s">
        <v>23</v>
      </c>
      <c r="H1776" t="s">
        <v>24</v>
      </c>
      <c r="I1776" t="s">
        <v>3999</v>
      </c>
      <c r="J1776" t="s">
        <v>658</v>
      </c>
      <c r="K1776" t="s">
        <v>27</v>
      </c>
      <c r="L1776" t="s">
        <v>1787</v>
      </c>
      <c r="M1776" t="s">
        <v>29</v>
      </c>
      <c r="N1776" t="s">
        <v>53</v>
      </c>
      <c r="O1776" t="s">
        <v>1788</v>
      </c>
      <c r="P1776">
        <v>186.54</v>
      </c>
      <c r="Q1776">
        <v>3</v>
      </c>
      <c r="R1776">
        <v>41.038800000000002</v>
      </c>
      <c r="S1776" t="s">
        <v>245</v>
      </c>
    </row>
    <row r="1777" spans="1:19" x14ac:dyDescent="0.35">
      <c r="A1777" t="s">
        <v>4000</v>
      </c>
      <c r="B1777" s="1">
        <v>42737</v>
      </c>
      <c r="C1777" s="1">
        <v>42739</v>
      </c>
      <c r="D1777" t="s">
        <v>20</v>
      </c>
      <c r="E1777" t="s">
        <v>3866</v>
      </c>
      <c r="F1777" t="s">
        <v>3867</v>
      </c>
      <c r="G1777" t="s">
        <v>23</v>
      </c>
      <c r="H1777" t="s">
        <v>24</v>
      </c>
      <c r="I1777" t="s">
        <v>1365</v>
      </c>
      <c r="J1777" t="s">
        <v>86</v>
      </c>
      <c r="K1777" t="s">
        <v>87</v>
      </c>
      <c r="L1777" t="s">
        <v>1238</v>
      </c>
      <c r="M1777" t="s">
        <v>29</v>
      </c>
      <c r="N1777" t="s">
        <v>43</v>
      </c>
      <c r="O1777" t="s">
        <v>1239</v>
      </c>
      <c r="P1777">
        <v>913.43</v>
      </c>
      <c r="Q1777">
        <v>5</v>
      </c>
      <c r="R1777">
        <v>-169.637</v>
      </c>
      <c r="S1777" t="s">
        <v>161</v>
      </c>
    </row>
    <row r="1778" spans="1:19" x14ac:dyDescent="0.35">
      <c r="A1778" t="s">
        <v>4001</v>
      </c>
      <c r="B1778" s="1">
        <v>42532</v>
      </c>
      <c r="C1778" s="1">
        <v>42537</v>
      </c>
      <c r="D1778" t="s">
        <v>37</v>
      </c>
      <c r="E1778" t="s">
        <v>730</v>
      </c>
      <c r="F1778" t="s">
        <v>731</v>
      </c>
      <c r="G1778" t="s">
        <v>23</v>
      </c>
      <c r="H1778" t="s">
        <v>24</v>
      </c>
      <c r="I1778" t="s">
        <v>49</v>
      </c>
      <c r="J1778" t="s">
        <v>50</v>
      </c>
      <c r="K1778" t="s">
        <v>51</v>
      </c>
      <c r="L1778" t="s">
        <v>298</v>
      </c>
      <c r="M1778" t="s">
        <v>29</v>
      </c>
      <c r="N1778" t="s">
        <v>43</v>
      </c>
      <c r="O1778" t="s">
        <v>299</v>
      </c>
      <c r="P1778">
        <v>902.71199999999999</v>
      </c>
      <c r="Q1778">
        <v>3</v>
      </c>
      <c r="R1778">
        <v>33.851700000000001</v>
      </c>
      <c r="S1778" t="s">
        <v>55</v>
      </c>
    </row>
    <row r="1779" spans="1:19" x14ac:dyDescent="0.35">
      <c r="A1779" t="s">
        <v>4002</v>
      </c>
      <c r="B1779" s="1">
        <v>42660</v>
      </c>
      <c r="C1779" s="1">
        <v>42664</v>
      </c>
      <c r="D1779" t="s">
        <v>37</v>
      </c>
      <c r="E1779" t="s">
        <v>2886</v>
      </c>
      <c r="F1779" t="s">
        <v>2887</v>
      </c>
      <c r="G1779" t="s">
        <v>94</v>
      </c>
      <c r="H1779" t="s">
        <v>24</v>
      </c>
      <c r="I1779" t="s">
        <v>1124</v>
      </c>
      <c r="J1779" t="s">
        <v>50</v>
      </c>
      <c r="K1779" t="s">
        <v>51</v>
      </c>
      <c r="L1779" t="s">
        <v>2734</v>
      </c>
      <c r="M1779" t="s">
        <v>29</v>
      </c>
      <c r="N1779" t="s">
        <v>30</v>
      </c>
      <c r="O1779" t="s">
        <v>2735</v>
      </c>
      <c r="P1779">
        <v>120.666</v>
      </c>
      <c r="Q1779">
        <v>2</v>
      </c>
      <c r="R1779">
        <v>21.294</v>
      </c>
      <c r="S1779" t="s">
        <v>45</v>
      </c>
    </row>
    <row r="1780" spans="1:19" x14ac:dyDescent="0.35">
      <c r="A1780" t="s">
        <v>4003</v>
      </c>
      <c r="B1780" s="1">
        <v>42698</v>
      </c>
      <c r="C1780" s="1">
        <v>42705</v>
      </c>
      <c r="D1780" t="s">
        <v>37</v>
      </c>
      <c r="E1780" t="s">
        <v>4004</v>
      </c>
      <c r="F1780" t="s">
        <v>4005</v>
      </c>
      <c r="G1780" t="s">
        <v>94</v>
      </c>
      <c r="H1780" t="s">
        <v>24</v>
      </c>
      <c r="I1780" t="s">
        <v>183</v>
      </c>
      <c r="J1780" t="s">
        <v>184</v>
      </c>
      <c r="K1780" t="s">
        <v>51</v>
      </c>
      <c r="L1780" t="s">
        <v>1140</v>
      </c>
      <c r="M1780" t="s">
        <v>29</v>
      </c>
      <c r="N1780" t="s">
        <v>53</v>
      </c>
      <c r="O1780" t="s">
        <v>1141</v>
      </c>
      <c r="P1780">
        <v>82.26</v>
      </c>
      <c r="Q1780">
        <v>3</v>
      </c>
      <c r="R1780">
        <v>33.726599999999998</v>
      </c>
      <c r="S1780" t="s">
        <v>32</v>
      </c>
    </row>
    <row r="1781" spans="1:19" x14ac:dyDescent="0.35">
      <c r="A1781" t="s">
        <v>4006</v>
      </c>
      <c r="B1781" s="1">
        <v>42408</v>
      </c>
      <c r="C1781" s="1">
        <v>42415</v>
      </c>
      <c r="D1781" t="s">
        <v>37</v>
      </c>
      <c r="E1781" t="s">
        <v>4007</v>
      </c>
      <c r="F1781" t="s">
        <v>4008</v>
      </c>
      <c r="G1781" t="s">
        <v>84</v>
      </c>
      <c r="H1781" t="s">
        <v>24</v>
      </c>
      <c r="I1781" t="s">
        <v>95</v>
      </c>
      <c r="J1781" t="s">
        <v>86</v>
      </c>
      <c r="K1781" t="s">
        <v>87</v>
      </c>
      <c r="L1781" t="s">
        <v>1081</v>
      </c>
      <c r="M1781" t="s">
        <v>29</v>
      </c>
      <c r="N1781" t="s">
        <v>34</v>
      </c>
      <c r="O1781" t="s">
        <v>1082</v>
      </c>
      <c r="P1781">
        <v>241.5</v>
      </c>
      <c r="Q1781">
        <v>4</v>
      </c>
      <c r="R1781">
        <v>0</v>
      </c>
      <c r="S1781" t="s">
        <v>289</v>
      </c>
    </row>
    <row r="1782" spans="1:19" x14ac:dyDescent="0.35">
      <c r="A1782" t="s">
        <v>4009</v>
      </c>
      <c r="B1782" s="1">
        <v>43092</v>
      </c>
      <c r="C1782" s="1">
        <v>43099</v>
      </c>
      <c r="D1782" t="s">
        <v>37</v>
      </c>
      <c r="E1782" t="s">
        <v>2221</v>
      </c>
      <c r="F1782" t="s">
        <v>2222</v>
      </c>
      <c r="G1782" t="s">
        <v>94</v>
      </c>
      <c r="H1782" t="s">
        <v>24</v>
      </c>
      <c r="I1782" t="s">
        <v>4010</v>
      </c>
      <c r="J1782" t="s">
        <v>421</v>
      </c>
      <c r="K1782" t="s">
        <v>63</v>
      </c>
      <c r="L1782" t="s">
        <v>1281</v>
      </c>
      <c r="M1782" t="s">
        <v>29</v>
      </c>
      <c r="N1782" t="s">
        <v>53</v>
      </c>
      <c r="O1782" t="s">
        <v>1282</v>
      </c>
      <c r="P1782">
        <v>27.46</v>
      </c>
      <c r="Q1782">
        <v>2</v>
      </c>
      <c r="R1782">
        <v>9.8856000000000002</v>
      </c>
      <c r="S1782" t="s">
        <v>90</v>
      </c>
    </row>
    <row r="1783" spans="1:19" x14ac:dyDescent="0.35">
      <c r="A1783" t="s">
        <v>4011</v>
      </c>
      <c r="B1783" s="1">
        <v>42705</v>
      </c>
      <c r="C1783" s="1">
        <v>42710</v>
      </c>
      <c r="D1783" t="s">
        <v>20</v>
      </c>
      <c r="E1783" t="s">
        <v>4012</v>
      </c>
      <c r="F1783" t="s">
        <v>4013</v>
      </c>
      <c r="G1783" t="s">
        <v>23</v>
      </c>
      <c r="H1783" t="s">
        <v>24</v>
      </c>
      <c r="I1783" t="s">
        <v>229</v>
      </c>
      <c r="J1783" t="s">
        <v>425</v>
      </c>
      <c r="K1783" t="s">
        <v>63</v>
      </c>
      <c r="L1783" t="s">
        <v>1974</v>
      </c>
      <c r="M1783" t="s">
        <v>29</v>
      </c>
      <c r="N1783" t="s">
        <v>53</v>
      </c>
      <c r="O1783" t="s">
        <v>1975</v>
      </c>
      <c r="P1783">
        <v>111.15</v>
      </c>
      <c r="Q1783">
        <v>5</v>
      </c>
      <c r="R1783">
        <v>48.905999999999999</v>
      </c>
      <c r="S1783" t="s">
        <v>90</v>
      </c>
    </row>
    <row r="1784" spans="1:19" x14ac:dyDescent="0.35">
      <c r="A1784" t="s">
        <v>4011</v>
      </c>
      <c r="B1784" s="1">
        <v>42705</v>
      </c>
      <c r="C1784" s="1">
        <v>42710</v>
      </c>
      <c r="D1784" t="s">
        <v>20</v>
      </c>
      <c r="E1784" t="s">
        <v>4012</v>
      </c>
      <c r="F1784" t="s">
        <v>4013</v>
      </c>
      <c r="G1784" t="s">
        <v>23</v>
      </c>
      <c r="H1784" t="s">
        <v>24</v>
      </c>
      <c r="I1784" t="s">
        <v>229</v>
      </c>
      <c r="J1784" t="s">
        <v>425</v>
      </c>
      <c r="K1784" t="s">
        <v>63</v>
      </c>
      <c r="L1784" t="s">
        <v>775</v>
      </c>
      <c r="M1784" t="s">
        <v>29</v>
      </c>
      <c r="N1784" t="s">
        <v>43</v>
      </c>
      <c r="O1784" t="s">
        <v>776</v>
      </c>
      <c r="P1784">
        <v>366.00900000000001</v>
      </c>
      <c r="Q1784">
        <v>3</v>
      </c>
      <c r="R1784">
        <v>-47.058300000000003</v>
      </c>
      <c r="S1784" t="s">
        <v>90</v>
      </c>
    </row>
    <row r="1785" spans="1:19" x14ac:dyDescent="0.35">
      <c r="A1785" t="s">
        <v>4014</v>
      </c>
      <c r="B1785" s="1">
        <v>43041</v>
      </c>
      <c r="C1785" s="1">
        <v>43046</v>
      </c>
      <c r="D1785" t="s">
        <v>20</v>
      </c>
      <c r="E1785" t="s">
        <v>3076</v>
      </c>
      <c r="F1785" t="s">
        <v>3077</v>
      </c>
      <c r="G1785" t="s">
        <v>94</v>
      </c>
      <c r="H1785" t="s">
        <v>24</v>
      </c>
      <c r="I1785" t="s">
        <v>869</v>
      </c>
      <c r="J1785" t="s">
        <v>223</v>
      </c>
      <c r="K1785" t="s">
        <v>63</v>
      </c>
      <c r="L1785" t="s">
        <v>1155</v>
      </c>
      <c r="M1785" t="s">
        <v>29</v>
      </c>
      <c r="N1785" t="s">
        <v>34</v>
      </c>
      <c r="O1785" t="s">
        <v>1156</v>
      </c>
      <c r="P1785">
        <v>155.37200000000001</v>
      </c>
      <c r="Q1785">
        <v>2</v>
      </c>
      <c r="R1785">
        <v>-35.513599999999997</v>
      </c>
      <c r="S1785" t="s">
        <v>32</v>
      </c>
    </row>
    <row r="1786" spans="1:19" x14ac:dyDescent="0.35">
      <c r="A1786" t="s">
        <v>4015</v>
      </c>
      <c r="B1786" s="1">
        <v>42343</v>
      </c>
      <c r="C1786" s="1">
        <v>42347</v>
      </c>
      <c r="D1786" t="s">
        <v>20</v>
      </c>
      <c r="E1786" t="s">
        <v>4016</v>
      </c>
      <c r="F1786" t="s">
        <v>4017</v>
      </c>
      <c r="G1786" t="s">
        <v>23</v>
      </c>
      <c r="H1786" t="s">
        <v>24</v>
      </c>
      <c r="I1786" t="s">
        <v>165</v>
      </c>
      <c r="J1786" t="s">
        <v>114</v>
      </c>
      <c r="K1786" t="s">
        <v>63</v>
      </c>
      <c r="L1786" t="s">
        <v>2419</v>
      </c>
      <c r="M1786" t="s">
        <v>29</v>
      </c>
      <c r="N1786" t="s">
        <v>34</v>
      </c>
      <c r="O1786" t="s">
        <v>2420</v>
      </c>
      <c r="P1786">
        <v>164.64599999999999</v>
      </c>
      <c r="Q1786">
        <v>3</v>
      </c>
      <c r="R1786">
        <v>12.8058</v>
      </c>
      <c r="S1786" t="s">
        <v>90</v>
      </c>
    </row>
    <row r="1787" spans="1:19" x14ac:dyDescent="0.35">
      <c r="A1787" t="s">
        <v>4018</v>
      </c>
      <c r="B1787" s="1">
        <v>42924</v>
      </c>
      <c r="C1787" s="1">
        <v>42928</v>
      </c>
      <c r="D1787" t="s">
        <v>37</v>
      </c>
      <c r="E1787" t="s">
        <v>4019</v>
      </c>
      <c r="F1787" t="s">
        <v>4020</v>
      </c>
      <c r="G1787" t="s">
        <v>84</v>
      </c>
      <c r="H1787" t="s">
        <v>24</v>
      </c>
      <c r="I1787" t="s">
        <v>222</v>
      </c>
      <c r="J1787" t="s">
        <v>192</v>
      </c>
      <c r="K1787" t="s">
        <v>63</v>
      </c>
      <c r="L1787" t="s">
        <v>2272</v>
      </c>
      <c r="M1787" t="s">
        <v>29</v>
      </c>
      <c r="N1787" t="s">
        <v>53</v>
      </c>
      <c r="O1787" t="s">
        <v>2273</v>
      </c>
      <c r="P1787">
        <v>83.92</v>
      </c>
      <c r="Q1787">
        <v>4</v>
      </c>
      <c r="R1787">
        <v>5.8743999999999996</v>
      </c>
      <c r="S1787" t="s">
        <v>66</v>
      </c>
    </row>
    <row r="1788" spans="1:19" x14ac:dyDescent="0.35">
      <c r="A1788" t="s">
        <v>4018</v>
      </c>
      <c r="B1788" s="1">
        <v>42924</v>
      </c>
      <c r="C1788" s="1">
        <v>42928</v>
      </c>
      <c r="D1788" t="s">
        <v>37</v>
      </c>
      <c r="E1788" t="s">
        <v>4019</v>
      </c>
      <c r="F1788" t="s">
        <v>4020</v>
      </c>
      <c r="G1788" t="s">
        <v>84</v>
      </c>
      <c r="H1788" t="s">
        <v>24</v>
      </c>
      <c r="I1788" t="s">
        <v>222</v>
      </c>
      <c r="J1788" t="s">
        <v>192</v>
      </c>
      <c r="K1788" t="s">
        <v>63</v>
      </c>
      <c r="L1788" t="s">
        <v>3573</v>
      </c>
      <c r="M1788" t="s">
        <v>29</v>
      </c>
      <c r="N1788" t="s">
        <v>53</v>
      </c>
      <c r="O1788" t="s">
        <v>3574</v>
      </c>
      <c r="P1788">
        <v>39.979999999999997</v>
      </c>
      <c r="Q1788">
        <v>2</v>
      </c>
      <c r="R1788">
        <v>9.1953999999999994</v>
      </c>
      <c r="S1788" t="s">
        <v>66</v>
      </c>
    </row>
    <row r="1789" spans="1:19" x14ac:dyDescent="0.35">
      <c r="A1789" t="s">
        <v>4021</v>
      </c>
      <c r="B1789" s="1">
        <v>42689</v>
      </c>
      <c r="C1789" s="1">
        <v>42689</v>
      </c>
      <c r="D1789" t="s">
        <v>417</v>
      </c>
      <c r="E1789" t="s">
        <v>3509</v>
      </c>
      <c r="F1789" t="s">
        <v>3510</v>
      </c>
      <c r="G1789" t="s">
        <v>84</v>
      </c>
      <c r="H1789" t="s">
        <v>24</v>
      </c>
      <c r="I1789" t="s">
        <v>3022</v>
      </c>
      <c r="J1789" t="s">
        <v>1027</v>
      </c>
      <c r="K1789" t="s">
        <v>27</v>
      </c>
      <c r="L1789" t="s">
        <v>185</v>
      </c>
      <c r="M1789" t="s">
        <v>29</v>
      </c>
      <c r="N1789" t="s">
        <v>43</v>
      </c>
      <c r="O1789" t="s">
        <v>186</v>
      </c>
      <c r="P1789">
        <v>630.024</v>
      </c>
      <c r="Q1789">
        <v>4</v>
      </c>
      <c r="R1789">
        <v>-199.5076</v>
      </c>
      <c r="S1789" t="s">
        <v>32</v>
      </c>
    </row>
    <row r="1790" spans="1:19" x14ac:dyDescent="0.35">
      <c r="A1790" t="s">
        <v>4022</v>
      </c>
      <c r="B1790" s="1">
        <v>42804</v>
      </c>
      <c r="C1790" s="1">
        <v>42808</v>
      </c>
      <c r="D1790" t="s">
        <v>37</v>
      </c>
      <c r="E1790" t="s">
        <v>1374</v>
      </c>
      <c r="F1790" t="s">
        <v>1375</v>
      </c>
      <c r="G1790" t="s">
        <v>23</v>
      </c>
      <c r="H1790" t="s">
        <v>24</v>
      </c>
      <c r="I1790" t="s">
        <v>1730</v>
      </c>
      <c r="J1790" t="s">
        <v>86</v>
      </c>
      <c r="K1790" t="s">
        <v>87</v>
      </c>
      <c r="L1790" t="s">
        <v>753</v>
      </c>
      <c r="M1790" t="s">
        <v>29</v>
      </c>
      <c r="N1790" t="s">
        <v>43</v>
      </c>
      <c r="O1790" t="s">
        <v>754</v>
      </c>
      <c r="P1790">
        <v>933.40800000000002</v>
      </c>
      <c r="Q1790">
        <v>4</v>
      </c>
      <c r="R1790">
        <v>-173.34719999999999</v>
      </c>
      <c r="S1790" t="s">
        <v>187</v>
      </c>
    </row>
    <row r="1791" spans="1:19" x14ac:dyDescent="0.35">
      <c r="A1791" t="s">
        <v>4023</v>
      </c>
      <c r="B1791" s="1">
        <v>42864</v>
      </c>
      <c r="C1791" s="1">
        <v>42866</v>
      </c>
      <c r="D1791" t="s">
        <v>81</v>
      </c>
      <c r="E1791" t="s">
        <v>2430</v>
      </c>
      <c r="F1791" t="s">
        <v>2431</v>
      </c>
      <c r="G1791" t="s">
        <v>94</v>
      </c>
      <c r="H1791" t="s">
        <v>24</v>
      </c>
      <c r="I1791" t="s">
        <v>183</v>
      </c>
      <c r="J1791" t="s">
        <v>184</v>
      </c>
      <c r="K1791" t="s">
        <v>51</v>
      </c>
      <c r="L1791" t="s">
        <v>913</v>
      </c>
      <c r="M1791" t="s">
        <v>29</v>
      </c>
      <c r="N1791" t="s">
        <v>43</v>
      </c>
      <c r="O1791" t="s">
        <v>914</v>
      </c>
      <c r="P1791">
        <v>286.85000000000002</v>
      </c>
      <c r="Q1791">
        <v>1</v>
      </c>
      <c r="R1791">
        <v>63.106999999999999</v>
      </c>
      <c r="S1791" t="s">
        <v>153</v>
      </c>
    </row>
    <row r="1792" spans="1:19" x14ac:dyDescent="0.35">
      <c r="A1792" t="s">
        <v>4024</v>
      </c>
      <c r="B1792" s="1">
        <v>43020</v>
      </c>
      <c r="C1792" s="1">
        <v>43024</v>
      </c>
      <c r="D1792" t="s">
        <v>37</v>
      </c>
      <c r="E1792" t="s">
        <v>4025</v>
      </c>
      <c r="F1792" t="s">
        <v>4026</v>
      </c>
      <c r="G1792" t="s">
        <v>23</v>
      </c>
      <c r="H1792" t="s">
        <v>24</v>
      </c>
      <c r="I1792" t="s">
        <v>2051</v>
      </c>
      <c r="J1792" t="s">
        <v>354</v>
      </c>
      <c r="K1792" t="s">
        <v>63</v>
      </c>
      <c r="L1792" t="s">
        <v>2786</v>
      </c>
      <c r="M1792" t="s">
        <v>29</v>
      </c>
      <c r="N1792" t="s">
        <v>53</v>
      </c>
      <c r="O1792" t="s">
        <v>2787</v>
      </c>
      <c r="P1792">
        <v>40.479999999999997</v>
      </c>
      <c r="Q1792">
        <v>2</v>
      </c>
      <c r="R1792">
        <v>17.406400000000001</v>
      </c>
      <c r="S1792" t="s">
        <v>45</v>
      </c>
    </row>
    <row r="1793" spans="1:19" x14ac:dyDescent="0.35">
      <c r="A1793" t="s">
        <v>4024</v>
      </c>
      <c r="B1793" s="1">
        <v>43020</v>
      </c>
      <c r="C1793" s="1">
        <v>43024</v>
      </c>
      <c r="D1793" t="s">
        <v>37</v>
      </c>
      <c r="E1793" t="s">
        <v>4025</v>
      </c>
      <c r="F1793" t="s">
        <v>4026</v>
      </c>
      <c r="G1793" t="s">
        <v>23</v>
      </c>
      <c r="H1793" t="s">
        <v>24</v>
      </c>
      <c r="I1793" t="s">
        <v>2051</v>
      </c>
      <c r="J1793" t="s">
        <v>354</v>
      </c>
      <c r="K1793" t="s">
        <v>63</v>
      </c>
      <c r="L1793" t="s">
        <v>2019</v>
      </c>
      <c r="M1793" t="s">
        <v>29</v>
      </c>
      <c r="N1793" t="s">
        <v>30</v>
      </c>
      <c r="O1793" t="s">
        <v>2020</v>
      </c>
      <c r="P1793">
        <v>2154.9</v>
      </c>
      <c r="Q1793">
        <v>5</v>
      </c>
      <c r="R1793">
        <v>129.29400000000001</v>
      </c>
      <c r="S1793" t="s">
        <v>45</v>
      </c>
    </row>
    <row r="1794" spans="1:19" x14ac:dyDescent="0.35">
      <c r="A1794" t="s">
        <v>4027</v>
      </c>
      <c r="B1794" s="1">
        <v>42723</v>
      </c>
      <c r="C1794" s="1">
        <v>42725</v>
      </c>
      <c r="D1794" t="s">
        <v>20</v>
      </c>
      <c r="E1794" t="s">
        <v>2217</v>
      </c>
      <c r="F1794" t="s">
        <v>2218</v>
      </c>
      <c r="G1794" t="s">
        <v>23</v>
      </c>
      <c r="H1794" t="s">
        <v>24</v>
      </c>
      <c r="I1794" t="s">
        <v>3320</v>
      </c>
      <c r="J1794" t="s">
        <v>62</v>
      </c>
      <c r="K1794" t="s">
        <v>63</v>
      </c>
      <c r="L1794" t="s">
        <v>2597</v>
      </c>
      <c r="M1794" t="s">
        <v>29</v>
      </c>
      <c r="N1794" t="s">
        <v>53</v>
      </c>
      <c r="O1794" t="s">
        <v>2598</v>
      </c>
      <c r="P1794">
        <v>303.92</v>
      </c>
      <c r="Q1794">
        <v>5</v>
      </c>
      <c r="R1794">
        <v>-30.391999999999999</v>
      </c>
      <c r="S1794" t="s">
        <v>90</v>
      </c>
    </row>
    <row r="1795" spans="1:19" x14ac:dyDescent="0.35">
      <c r="A1795" t="s">
        <v>4028</v>
      </c>
      <c r="B1795" s="1">
        <v>43047</v>
      </c>
      <c r="C1795" s="1">
        <v>43052</v>
      </c>
      <c r="D1795" t="s">
        <v>37</v>
      </c>
      <c r="E1795" t="s">
        <v>2089</v>
      </c>
      <c r="F1795" t="s">
        <v>2090</v>
      </c>
      <c r="G1795" t="s">
        <v>84</v>
      </c>
      <c r="H1795" t="s">
        <v>24</v>
      </c>
      <c r="I1795" t="s">
        <v>2745</v>
      </c>
      <c r="J1795" t="s">
        <v>1080</v>
      </c>
      <c r="K1795" t="s">
        <v>63</v>
      </c>
      <c r="L1795" t="s">
        <v>1140</v>
      </c>
      <c r="M1795" t="s">
        <v>29</v>
      </c>
      <c r="N1795" t="s">
        <v>53</v>
      </c>
      <c r="O1795" t="s">
        <v>1141</v>
      </c>
      <c r="P1795">
        <v>274.2</v>
      </c>
      <c r="Q1795">
        <v>10</v>
      </c>
      <c r="R1795">
        <v>112.422</v>
      </c>
      <c r="S1795" t="s">
        <v>32</v>
      </c>
    </row>
    <row r="1796" spans="1:19" x14ac:dyDescent="0.35">
      <c r="A1796" t="s">
        <v>4029</v>
      </c>
      <c r="B1796" s="1">
        <v>41896</v>
      </c>
      <c r="C1796" s="1">
        <v>41900</v>
      </c>
      <c r="D1796" t="s">
        <v>20</v>
      </c>
      <c r="E1796" t="s">
        <v>1829</v>
      </c>
      <c r="F1796" t="s">
        <v>1830</v>
      </c>
      <c r="G1796" t="s">
        <v>84</v>
      </c>
      <c r="H1796" t="s">
        <v>24</v>
      </c>
      <c r="I1796" t="s">
        <v>2087</v>
      </c>
      <c r="J1796" t="s">
        <v>86</v>
      </c>
      <c r="K1796" t="s">
        <v>87</v>
      </c>
      <c r="L1796" t="s">
        <v>2228</v>
      </c>
      <c r="M1796" t="s">
        <v>29</v>
      </c>
      <c r="N1796" t="s">
        <v>53</v>
      </c>
      <c r="O1796" t="s">
        <v>2229</v>
      </c>
      <c r="P1796">
        <v>9.9600000000000009</v>
      </c>
      <c r="Q1796">
        <v>5</v>
      </c>
      <c r="R1796">
        <v>-6.7229999999999999</v>
      </c>
      <c r="S1796" t="s">
        <v>72</v>
      </c>
    </row>
    <row r="1797" spans="1:19" x14ac:dyDescent="0.35">
      <c r="A1797" t="s">
        <v>4030</v>
      </c>
      <c r="B1797" s="1">
        <v>43031</v>
      </c>
      <c r="C1797" s="1">
        <v>43032</v>
      </c>
      <c r="D1797" t="s">
        <v>81</v>
      </c>
      <c r="E1797" t="s">
        <v>1547</v>
      </c>
      <c r="F1797" t="s">
        <v>1548</v>
      </c>
      <c r="G1797" t="s">
        <v>84</v>
      </c>
      <c r="H1797" t="s">
        <v>24</v>
      </c>
      <c r="I1797" t="s">
        <v>2730</v>
      </c>
      <c r="J1797" t="s">
        <v>1636</v>
      </c>
      <c r="K1797" t="s">
        <v>63</v>
      </c>
      <c r="L1797" t="s">
        <v>1250</v>
      </c>
      <c r="M1797" t="s">
        <v>29</v>
      </c>
      <c r="N1797" t="s">
        <v>43</v>
      </c>
      <c r="O1797" t="s">
        <v>1054</v>
      </c>
      <c r="P1797">
        <v>240.744</v>
      </c>
      <c r="Q1797">
        <v>4</v>
      </c>
      <c r="R1797">
        <v>-13.7568</v>
      </c>
      <c r="S1797" t="s">
        <v>45</v>
      </c>
    </row>
    <row r="1798" spans="1:19" x14ac:dyDescent="0.35">
      <c r="A1798" t="s">
        <v>4030</v>
      </c>
      <c r="B1798" s="1">
        <v>43031</v>
      </c>
      <c r="C1798" s="1">
        <v>43032</v>
      </c>
      <c r="D1798" t="s">
        <v>81</v>
      </c>
      <c r="E1798" t="s">
        <v>1547</v>
      </c>
      <c r="F1798" t="s">
        <v>1548</v>
      </c>
      <c r="G1798" t="s">
        <v>84</v>
      </c>
      <c r="H1798" t="s">
        <v>24</v>
      </c>
      <c r="I1798" t="s">
        <v>2730</v>
      </c>
      <c r="J1798" t="s">
        <v>1636</v>
      </c>
      <c r="K1798" t="s">
        <v>63</v>
      </c>
      <c r="L1798" t="s">
        <v>2180</v>
      </c>
      <c r="M1798" t="s">
        <v>29</v>
      </c>
      <c r="N1798" t="s">
        <v>53</v>
      </c>
      <c r="O1798" t="s">
        <v>2181</v>
      </c>
      <c r="P1798">
        <v>35</v>
      </c>
      <c r="Q1798">
        <v>4</v>
      </c>
      <c r="R1798">
        <v>14.7</v>
      </c>
      <c r="S1798" t="s">
        <v>45</v>
      </c>
    </row>
    <row r="1799" spans="1:19" x14ac:dyDescent="0.35">
      <c r="A1799" t="s">
        <v>4030</v>
      </c>
      <c r="B1799" s="1">
        <v>43031</v>
      </c>
      <c r="C1799" s="1">
        <v>43032</v>
      </c>
      <c r="D1799" t="s">
        <v>81</v>
      </c>
      <c r="E1799" t="s">
        <v>1547</v>
      </c>
      <c r="F1799" t="s">
        <v>1548</v>
      </c>
      <c r="G1799" t="s">
        <v>84</v>
      </c>
      <c r="H1799" t="s">
        <v>24</v>
      </c>
      <c r="I1799" t="s">
        <v>2730</v>
      </c>
      <c r="J1799" t="s">
        <v>1636</v>
      </c>
      <c r="K1799" t="s">
        <v>63</v>
      </c>
      <c r="L1799" t="s">
        <v>3608</v>
      </c>
      <c r="M1799" t="s">
        <v>29</v>
      </c>
      <c r="N1799" t="s">
        <v>53</v>
      </c>
      <c r="O1799" t="s">
        <v>3609</v>
      </c>
      <c r="P1799">
        <v>210.68</v>
      </c>
      <c r="Q1799">
        <v>2</v>
      </c>
      <c r="R1799">
        <v>50.563200000000002</v>
      </c>
      <c r="S1799" t="s">
        <v>45</v>
      </c>
    </row>
    <row r="1800" spans="1:19" x14ac:dyDescent="0.35">
      <c r="A1800" t="s">
        <v>4030</v>
      </c>
      <c r="B1800" s="1">
        <v>43031</v>
      </c>
      <c r="C1800" s="1">
        <v>43032</v>
      </c>
      <c r="D1800" t="s">
        <v>81</v>
      </c>
      <c r="E1800" t="s">
        <v>1547</v>
      </c>
      <c r="F1800" t="s">
        <v>1548</v>
      </c>
      <c r="G1800" t="s">
        <v>84</v>
      </c>
      <c r="H1800" t="s">
        <v>24</v>
      </c>
      <c r="I1800" t="s">
        <v>2730</v>
      </c>
      <c r="J1800" t="s">
        <v>1636</v>
      </c>
      <c r="K1800" t="s">
        <v>63</v>
      </c>
      <c r="L1800" t="s">
        <v>426</v>
      </c>
      <c r="M1800" t="s">
        <v>29</v>
      </c>
      <c r="N1800" t="s">
        <v>43</v>
      </c>
      <c r="O1800" t="s">
        <v>427</v>
      </c>
      <c r="P1800">
        <v>637.89599999999996</v>
      </c>
      <c r="Q1800">
        <v>3</v>
      </c>
      <c r="R1800">
        <v>-127.5792</v>
      </c>
      <c r="S1800" t="s">
        <v>45</v>
      </c>
    </row>
    <row r="1801" spans="1:19" x14ac:dyDescent="0.35">
      <c r="A1801" t="s">
        <v>4031</v>
      </c>
      <c r="B1801" s="1">
        <v>42478</v>
      </c>
      <c r="C1801" s="1">
        <v>42483</v>
      </c>
      <c r="D1801" t="s">
        <v>37</v>
      </c>
      <c r="E1801" t="s">
        <v>3172</v>
      </c>
      <c r="F1801" t="s">
        <v>3173</v>
      </c>
      <c r="G1801" t="s">
        <v>84</v>
      </c>
      <c r="H1801" t="s">
        <v>24</v>
      </c>
      <c r="I1801" t="s">
        <v>95</v>
      </c>
      <c r="J1801" t="s">
        <v>86</v>
      </c>
      <c r="K1801" t="s">
        <v>87</v>
      </c>
      <c r="L1801" t="s">
        <v>1019</v>
      </c>
      <c r="M1801" t="s">
        <v>29</v>
      </c>
      <c r="N1801" t="s">
        <v>34</v>
      </c>
      <c r="O1801" t="s">
        <v>1020</v>
      </c>
      <c r="P1801">
        <v>344.37200000000001</v>
      </c>
      <c r="Q1801">
        <v>4</v>
      </c>
      <c r="R1801">
        <v>-93.472399999999993</v>
      </c>
      <c r="S1801" t="s">
        <v>107</v>
      </c>
    </row>
    <row r="1802" spans="1:19" x14ac:dyDescent="0.35">
      <c r="A1802" t="s">
        <v>4031</v>
      </c>
      <c r="B1802" s="1">
        <v>42478</v>
      </c>
      <c r="C1802" s="1">
        <v>42483</v>
      </c>
      <c r="D1802" t="s">
        <v>37</v>
      </c>
      <c r="E1802" t="s">
        <v>3172</v>
      </c>
      <c r="F1802" t="s">
        <v>3173</v>
      </c>
      <c r="G1802" t="s">
        <v>84</v>
      </c>
      <c r="H1802" t="s">
        <v>24</v>
      </c>
      <c r="I1802" t="s">
        <v>95</v>
      </c>
      <c r="J1802" t="s">
        <v>86</v>
      </c>
      <c r="K1802" t="s">
        <v>87</v>
      </c>
      <c r="L1802" t="s">
        <v>1746</v>
      </c>
      <c r="M1802" t="s">
        <v>29</v>
      </c>
      <c r="N1802" t="s">
        <v>53</v>
      </c>
      <c r="O1802" t="s">
        <v>1747</v>
      </c>
      <c r="P1802">
        <v>127.88</v>
      </c>
      <c r="Q1802">
        <v>5</v>
      </c>
      <c r="R1802">
        <v>-67.137</v>
      </c>
      <c r="S1802" t="s">
        <v>107</v>
      </c>
    </row>
    <row r="1803" spans="1:19" x14ac:dyDescent="0.35">
      <c r="A1803" t="s">
        <v>4032</v>
      </c>
      <c r="B1803" s="1">
        <v>42883</v>
      </c>
      <c r="C1803" s="1">
        <v>42888</v>
      </c>
      <c r="D1803" t="s">
        <v>20</v>
      </c>
      <c r="E1803" t="s">
        <v>2653</v>
      </c>
      <c r="F1803" t="s">
        <v>2654</v>
      </c>
      <c r="G1803" t="s">
        <v>84</v>
      </c>
      <c r="H1803" t="s">
        <v>24</v>
      </c>
      <c r="I1803" t="s">
        <v>125</v>
      </c>
      <c r="J1803" t="s">
        <v>126</v>
      </c>
      <c r="K1803" t="s">
        <v>87</v>
      </c>
      <c r="L1803" t="s">
        <v>127</v>
      </c>
      <c r="M1803" t="s">
        <v>29</v>
      </c>
      <c r="N1803" t="s">
        <v>34</v>
      </c>
      <c r="O1803" t="s">
        <v>209</v>
      </c>
      <c r="P1803">
        <v>106.869</v>
      </c>
      <c r="Q1803">
        <v>3</v>
      </c>
      <c r="R1803">
        <v>-29.007300000000001</v>
      </c>
      <c r="S1803" t="s">
        <v>153</v>
      </c>
    </row>
    <row r="1804" spans="1:19" x14ac:dyDescent="0.35">
      <c r="A1804" t="s">
        <v>4033</v>
      </c>
      <c r="B1804" s="1">
        <v>42685</v>
      </c>
      <c r="C1804" s="1">
        <v>42691</v>
      </c>
      <c r="D1804" t="s">
        <v>37</v>
      </c>
      <c r="E1804" t="s">
        <v>714</v>
      </c>
      <c r="F1804" t="s">
        <v>715</v>
      </c>
      <c r="G1804" t="s">
        <v>84</v>
      </c>
      <c r="H1804" t="s">
        <v>24</v>
      </c>
      <c r="I1804" t="s">
        <v>4034</v>
      </c>
      <c r="J1804" t="s">
        <v>104</v>
      </c>
      <c r="K1804" t="s">
        <v>87</v>
      </c>
      <c r="L1804" t="s">
        <v>1802</v>
      </c>
      <c r="M1804" t="s">
        <v>29</v>
      </c>
      <c r="N1804" t="s">
        <v>43</v>
      </c>
      <c r="O1804" t="s">
        <v>1803</v>
      </c>
      <c r="P1804">
        <v>2678.94</v>
      </c>
      <c r="Q1804">
        <v>6</v>
      </c>
      <c r="R1804">
        <v>241.1046</v>
      </c>
      <c r="S1804" t="s">
        <v>32</v>
      </c>
    </row>
    <row r="1805" spans="1:19" x14ac:dyDescent="0.35">
      <c r="A1805" t="s">
        <v>4035</v>
      </c>
      <c r="B1805" s="1">
        <v>42848</v>
      </c>
      <c r="C1805" s="1">
        <v>42852</v>
      </c>
      <c r="D1805" t="s">
        <v>37</v>
      </c>
      <c r="E1805" t="s">
        <v>163</v>
      </c>
      <c r="F1805" t="s">
        <v>164</v>
      </c>
      <c r="G1805" t="s">
        <v>94</v>
      </c>
      <c r="H1805" t="s">
        <v>24</v>
      </c>
      <c r="I1805" t="s">
        <v>4036</v>
      </c>
      <c r="J1805" t="s">
        <v>133</v>
      </c>
      <c r="K1805" t="s">
        <v>27</v>
      </c>
      <c r="L1805" t="s">
        <v>447</v>
      </c>
      <c r="M1805" t="s">
        <v>29</v>
      </c>
      <c r="N1805" t="s">
        <v>30</v>
      </c>
      <c r="O1805" t="s">
        <v>448</v>
      </c>
      <c r="P1805">
        <v>387.13600000000002</v>
      </c>
      <c r="Q1805">
        <v>4</v>
      </c>
      <c r="R1805">
        <v>-14.5176</v>
      </c>
      <c r="S1805" t="s">
        <v>107</v>
      </c>
    </row>
    <row r="1806" spans="1:19" x14ac:dyDescent="0.35">
      <c r="A1806" t="s">
        <v>4035</v>
      </c>
      <c r="B1806" s="1">
        <v>42848</v>
      </c>
      <c r="C1806" s="1">
        <v>42852</v>
      </c>
      <c r="D1806" t="s">
        <v>37</v>
      </c>
      <c r="E1806" t="s">
        <v>163</v>
      </c>
      <c r="F1806" t="s">
        <v>164</v>
      </c>
      <c r="G1806" t="s">
        <v>94</v>
      </c>
      <c r="H1806" t="s">
        <v>24</v>
      </c>
      <c r="I1806" t="s">
        <v>4036</v>
      </c>
      <c r="J1806" t="s">
        <v>133</v>
      </c>
      <c r="K1806" t="s">
        <v>27</v>
      </c>
      <c r="L1806" t="s">
        <v>2386</v>
      </c>
      <c r="M1806" t="s">
        <v>29</v>
      </c>
      <c r="N1806" t="s">
        <v>53</v>
      </c>
      <c r="O1806" t="s">
        <v>2387</v>
      </c>
      <c r="P1806">
        <v>77.951999999999998</v>
      </c>
      <c r="Q1806">
        <v>3</v>
      </c>
      <c r="R1806">
        <v>-11.6928</v>
      </c>
      <c r="S1806" t="s">
        <v>107</v>
      </c>
    </row>
    <row r="1807" spans="1:19" x14ac:dyDescent="0.35">
      <c r="A1807" t="s">
        <v>4037</v>
      </c>
      <c r="B1807" s="1">
        <v>43002</v>
      </c>
      <c r="C1807" s="1">
        <v>43002</v>
      </c>
      <c r="D1807" t="s">
        <v>417</v>
      </c>
      <c r="E1807" t="s">
        <v>455</v>
      </c>
      <c r="F1807" t="s">
        <v>456</v>
      </c>
      <c r="G1807" t="s">
        <v>23</v>
      </c>
      <c r="H1807" t="s">
        <v>24</v>
      </c>
      <c r="I1807" t="s">
        <v>183</v>
      </c>
      <c r="J1807" t="s">
        <v>184</v>
      </c>
      <c r="K1807" t="s">
        <v>51</v>
      </c>
      <c r="L1807" t="s">
        <v>688</v>
      </c>
      <c r="M1807" t="s">
        <v>29</v>
      </c>
      <c r="N1807" t="s">
        <v>53</v>
      </c>
      <c r="O1807" t="s">
        <v>689</v>
      </c>
      <c r="P1807">
        <v>199.8</v>
      </c>
      <c r="Q1807">
        <v>10</v>
      </c>
      <c r="R1807">
        <v>71.927999999999997</v>
      </c>
      <c r="S1807" t="s">
        <v>72</v>
      </c>
    </row>
    <row r="1808" spans="1:19" x14ac:dyDescent="0.35">
      <c r="A1808" t="s">
        <v>4038</v>
      </c>
      <c r="B1808" s="1">
        <v>42402</v>
      </c>
      <c r="C1808" s="1">
        <v>42404</v>
      </c>
      <c r="D1808" t="s">
        <v>20</v>
      </c>
      <c r="E1808" t="s">
        <v>1977</v>
      </c>
      <c r="F1808" t="s">
        <v>1978</v>
      </c>
      <c r="G1808" t="s">
        <v>23</v>
      </c>
      <c r="H1808" t="s">
        <v>24</v>
      </c>
      <c r="I1808" t="s">
        <v>680</v>
      </c>
      <c r="J1808" t="s">
        <v>707</v>
      </c>
      <c r="K1808" t="s">
        <v>27</v>
      </c>
      <c r="L1808" t="s">
        <v>2504</v>
      </c>
      <c r="M1808" t="s">
        <v>29</v>
      </c>
      <c r="N1808" t="s">
        <v>53</v>
      </c>
      <c r="O1808" t="s">
        <v>2505</v>
      </c>
      <c r="P1808">
        <v>18.690000000000001</v>
      </c>
      <c r="Q1808">
        <v>7</v>
      </c>
      <c r="R1808">
        <v>7.1021999999999998</v>
      </c>
      <c r="S1808" t="s">
        <v>289</v>
      </c>
    </row>
    <row r="1809" spans="1:19" x14ac:dyDescent="0.35">
      <c r="A1809" t="s">
        <v>4039</v>
      </c>
      <c r="B1809" s="1">
        <v>42064</v>
      </c>
      <c r="C1809" s="1">
        <v>42066</v>
      </c>
      <c r="D1809" t="s">
        <v>20</v>
      </c>
      <c r="E1809" t="s">
        <v>3247</v>
      </c>
      <c r="F1809" t="s">
        <v>3248</v>
      </c>
      <c r="G1809" t="s">
        <v>84</v>
      </c>
      <c r="H1809" t="s">
        <v>24</v>
      </c>
      <c r="I1809" t="s">
        <v>49</v>
      </c>
      <c r="J1809" t="s">
        <v>50</v>
      </c>
      <c r="K1809" t="s">
        <v>51</v>
      </c>
      <c r="L1809" t="s">
        <v>479</v>
      </c>
      <c r="M1809" t="s">
        <v>29</v>
      </c>
      <c r="N1809" t="s">
        <v>34</v>
      </c>
      <c r="O1809" t="s">
        <v>480</v>
      </c>
      <c r="P1809">
        <v>184.75200000000001</v>
      </c>
      <c r="Q1809">
        <v>3</v>
      </c>
      <c r="R1809">
        <v>-20.784600000000001</v>
      </c>
      <c r="S1809" t="s">
        <v>187</v>
      </c>
    </row>
    <row r="1810" spans="1:19" x14ac:dyDescent="0.35">
      <c r="A1810" t="s">
        <v>4040</v>
      </c>
      <c r="B1810" s="1">
        <v>42492</v>
      </c>
      <c r="C1810" s="1">
        <v>42496</v>
      </c>
      <c r="D1810" t="s">
        <v>37</v>
      </c>
      <c r="E1810" t="s">
        <v>2927</v>
      </c>
      <c r="F1810" t="s">
        <v>2928</v>
      </c>
      <c r="G1810" t="s">
        <v>23</v>
      </c>
      <c r="H1810" t="s">
        <v>24</v>
      </c>
      <c r="I1810" t="s">
        <v>519</v>
      </c>
      <c r="J1810" t="s">
        <v>86</v>
      </c>
      <c r="K1810" t="s">
        <v>87</v>
      </c>
      <c r="L1810" t="s">
        <v>2569</v>
      </c>
      <c r="M1810" t="s">
        <v>29</v>
      </c>
      <c r="N1810" t="s">
        <v>34</v>
      </c>
      <c r="O1810" t="s">
        <v>2570</v>
      </c>
      <c r="P1810">
        <v>366.74400000000003</v>
      </c>
      <c r="Q1810">
        <v>4</v>
      </c>
      <c r="R1810">
        <v>-110.0232</v>
      </c>
      <c r="S1810" t="s">
        <v>153</v>
      </c>
    </row>
    <row r="1811" spans="1:19" x14ac:dyDescent="0.35">
      <c r="A1811" t="s">
        <v>4041</v>
      </c>
      <c r="B1811" s="1">
        <v>42402</v>
      </c>
      <c r="C1811" s="1">
        <v>42408</v>
      </c>
      <c r="D1811" t="s">
        <v>37</v>
      </c>
      <c r="E1811" t="s">
        <v>1029</v>
      </c>
      <c r="F1811" t="s">
        <v>1030</v>
      </c>
      <c r="G1811" t="s">
        <v>84</v>
      </c>
      <c r="H1811" t="s">
        <v>24</v>
      </c>
      <c r="I1811" t="s">
        <v>95</v>
      </c>
      <c r="J1811" t="s">
        <v>86</v>
      </c>
      <c r="K1811" t="s">
        <v>87</v>
      </c>
      <c r="L1811" t="s">
        <v>911</v>
      </c>
      <c r="M1811" t="s">
        <v>29</v>
      </c>
      <c r="N1811" t="s">
        <v>53</v>
      </c>
      <c r="O1811" t="s">
        <v>912</v>
      </c>
      <c r="P1811">
        <v>73.784000000000006</v>
      </c>
      <c r="Q1811">
        <v>2</v>
      </c>
      <c r="R1811">
        <v>-77.473200000000006</v>
      </c>
      <c r="S1811" t="s">
        <v>289</v>
      </c>
    </row>
    <row r="1812" spans="1:19" x14ac:dyDescent="0.35">
      <c r="A1812" t="s">
        <v>4042</v>
      </c>
      <c r="B1812" s="1">
        <v>42890</v>
      </c>
      <c r="C1812" s="1">
        <v>42893</v>
      </c>
      <c r="D1812" t="s">
        <v>20</v>
      </c>
      <c r="E1812" t="s">
        <v>4043</v>
      </c>
      <c r="F1812" t="s">
        <v>4044</v>
      </c>
      <c r="G1812" t="s">
        <v>23</v>
      </c>
      <c r="H1812" t="s">
        <v>24</v>
      </c>
      <c r="I1812" t="s">
        <v>4045</v>
      </c>
      <c r="J1812" t="s">
        <v>86</v>
      </c>
      <c r="K1812" t="s">
        <v>87</v>
      </c>
      <c r="L1812" t="s">
        <v>1825</v>
      </c>
      <c r="M1812" t="s">
        <v>29</v>
      </c>
      <c r="N1812" t="s">
        <v>53</v>
      </c>
      <c r="O1812" t="s">
        <v>1826</v>
      </c>
      <c r="P1812">
        <v>30.335999999999999</v>
      </c>
      <c r="Q1812">
        <v>6</v>
      </c>
      <c r="R1812">
        <v>-17.443200000000001</v>
      </c>
      <c r="S1812" t="s">
        <v>55</v>
      </c>
    </row>
    <row r="1813" spans="1:19" x14ac:dyDescent="0.35">
      <c r="A1813" t="s">
        <v>4046</v>
      </c>
      <c r="B1813" s="1">
        <v>43073</v>
      </c>
      <c r="C1813" s="1">
        <v>43079</v>
      </c>
      <c r="D1813" t="s">
        <v>37</v>
      </c>
      <c r="E1813" t="s">
        <v>3703</v>
      </c>
      <c r="F1813" t="s">
        <v>3704</v>
      </c>
      <c r="G1813" t="s">
        <v>23</v>
      </c>
      <c r="H1813" t="s">
        <v>24</v>
      </c>
      <c r="I1813" t="s">
        <v>3554</v>
      </c>
      <c r="J1813" t="s">
        <v>354</v>
      </c>
      <c r="K1813" t="s">
        <v>63</v>
      </c>
      <c r="L1813" t="s">
        <v>3816</v>
      </c>
      <c r="M1813" t="s">
        <v>29</v>
      </c>
      <c r="N1813" t="s">
        <v>53</v>
      </c>
      <c r="O1813" t="s">
        <v>3817</v>
      </c>
      <c r="P1813">
        <v>12.99</v>
      </c>
      <c r="Q1813">
        <v>1</v>
      </c>
      <c r="R1813">
        <v>1.5588</v>
      </c>
      <c r="S1813" t="s">
        <v>90</v>
      </c>
    </row>
    <row r="1814" spans="1:19" x14ac:dyDescent="0.35">
      <c r="A1814" t="s">
        <v>4046</v>
      </c>
      <c r="B1814" s="1">
        <v>43073</v>
      </c>
      <c r="C1814" s="1">
        <v>43079</v>
      </c>
      <c r="D1814" t="s">
        <v>37</v>
      </c>
      <c r="E1814" t="s">
        <v>3703</v>
      </c>
      <c r="F1814" t="s">
        <v>3704</v>
      </c>
      <c r="G1814" t="s">
        <v>23</v>
      </c>
      <c r="H1814" t="s">
        <v>24</v>
      </c>
      <c r="I1814" t="s">
        <v>3554</v>
      </c>
      <c r="J1814" t="s">
        <v>354</v>
      </c>
      <c r="K1814" t="s">
        <v>63</v>
      </c>
      <c r="L1814" t="s">
        <v>243</v>
      </c>
      <c r="M1814" t="s">
        <v>29</v>
      </c>
      <c r="N1814" t="s">
        <v>34</v>
      </c>
      <c r="O1814" t="s">
        <v>244</v>
      </c>
      <c r="P1814">
        <v>182.22</v>
      </c>
      <c r="Q1814">
        <v>3</v>
      </c>
      <c r="R1814">
        <v>45.555</v>
      </c>
      <c r="S1814" t="s">
        <v>90</v>
      </c>
    </row>
    <row r="1815" spans="1:19" x14ac:dyDescent="0.35">
      <c r="A1815" t="s">
        <v>4046</v>
      </c>
      <c r="B1815" s="1">
        <v>43073</v>
      </c>
      <c r="C1815" s="1">
        <v>43079</v>
      </c>
      <c r="D1815" t="s">
        <v>37</v>
      </c>
      <c r="E1815" t="s">
        <v>3703</v>
      </c>
      <c r="F1815" t="s">
        <v>3704</v>
      </c>
      <c r="G1815" t="s">
        <v>23</v>
      </c>
      <c r="H1815" t="s">
        <v>24</v>
      </c>
      <c r="I1815" t="s">
        <v>3554</v>
      </c>
      <c r="J1815" t="s">
        <v>354</v>
      </c>
      <c r="K1815" t="s">
        <v>63</v>
      </c>
      <c r="L1815" t="s">
        <v>287</v>
      </c>
      <c r="M1815" t="s">
        <v>29</v>
      </c>
      <c r="N1815" t="s">
        <v>34</v>
      </c>
      <c r="O1815" t="s">
        <v>288</v>
      </c>
      <c r="P1815">
        <v>302.94</v>
      </c>
      <c r="Q1815">
        <v>3</v>
      </c>
      <c r="R1815">
        <v>18.176400000000001</v>
      </c>
      <c r="S1815" t="s">
        <v>90</v>
      </c>
    </row>
    <row r="1816" spans="1:19" x14ac:dyDescent="0.35">
      <c r="A1816" t="s">
        <v>4047</v>
      </c>
      <c r="B1816" s="1">
        <v>42380</v>
      </c>
      <c r="C1816" s="1">
        <v>42384</v>
      </c>
      <c r="D1816" t="s">
        <v>37</v>
      </c>
      <c r="E1816" t="s">
        <v>250</v>
      </c>
      <c r="F1816" t="s">
        <v>251</v>
      </c>
      <c r="G1816" t="s">
        <v>94</v>
      </c>
      <c r="H1816" t="s">
        <v>24</v>
      </c>
      <c r="I1816" t="s">
        <v>339</v>
      </c>
      <c r="J1816" t="s">
        <v>223</v>
      </c>
      <c r="K1816" t="s">
        <v>63</v>
      </c>
      <c r="L1816" t="s">
        <v>1090</v>
      </c>
      <c r="M1816" t="s">
        <v>29</v>
      </c>
      <c r="N1816" t="s">
        <v>53</v>
      </c>
      <c r="O1816" t="s">
        <v>1091</v>
      </c>
      <c r="P1816">
        <v>54.991999999999997</v>
      </c>
      <c r="Q1816">
        <v>14</v>
      </c>
      <c r="R1816">
        <v>8.9361999999999995</v>
      </c>
      <c r="S1816" t="s">
        <v>161</v>
      </c>
    </row>
    <row r="1817" spans="1:19" x14ac:dyDescent="0.35">
      <c r="A1817" t="s">
        <v>4048</v>
      </c>
      <c r="B1817" s="1">
        <v>42810</v>
      </c>
      <c r="C1817" s="1">
        <v>42810</v>
      </c>
      <c r="D1817" t="s">
        <v>417</v>
      </c>
      <c r="E1817" t="s">
        <v>3365</v>
      </c>
      <c r="F1817" t="s">
        <v>3366</v>
      </c>
      <c r="G1817" t="s">
        <v>23</v>
      </c>
      <c r="H1817" t="s">
        <v>24</v>
      </c>
      <c r="I1817" t="s">
        <v>339</v>
      </c>
      <c r="J1817" t="s">
        <v>223</v>
      </c>
      <c r="K1817" t="s">
        <v>63</v>
      </c>
      <c r="L1817" t="s">
        <v>2876</v>
      </c>
      <c r="M1817" t="s">
        <v>29</v>
      </c>
      <c r="N1817" t="s">
        <v>53</v>
      </c>
      <c r="O1817" t="s">
        <v>2877</v>
      </c>
      <c r="P1817">
        <v>51.264000000000003</v>
      </c>
      <c r="Q1817">
        <v>6</v>
      </c>
      <c r="R1817">
        <v>7.6896000000000004</v>
      </c>
      <c r="S1817" t="s">
        <v>187</v>
      </c>
    </row>
    <row r="1818" spans="1:19" x14ac:dyDescent="0.35">
      <c r="A1818" t="s">
        <v>4049</v>
      </c>
      <c r="B1818" s="1">
        <v>43049</v>
      </c>
      <c r="C1818" s="1">
        <v>43056</v>
      </c>
      <c r="D1818" t="s">
        <v>37</v>
      </c>
      <c r="E1818" t="s">
        <v>1273</v>
      </c>
      <c r="F1818" t="s">
        <v>1274</v>
      </c>
      <c r="G1818" t="s">
        <v>94</v>
      </c>
      <c r="H1818" t="s">
        <v>24</v>
      </c>
      <c r="I1818" t="s">
        <v>49</v>
      </c>
      <c r="J1818" t="s">
        <v>50</v>
      </c>
      <c r="K1818" t="s">
        <v>51</v>
      </c>
      <c r="L1818" t="s">
        <v>1841</v>
      </c>
      <c r="M1818" t="s">
        <v>29</v>
      </c>
      <c r="N1818" t="s">
        <v>34</v>
      </c>
      <c r="O1818" t="s">
        <v>1842</v>
      </c>
      <c r="P1818">
        <v>241.42400000000001</v>
      </c>
      <c r="Q1818">
        <v>2</v>
      </c>
      <c r="R1818">
        <v>-36.2136</v>
      </c>
      <c r="S1818" t="s">
        <v>32</v>
      </c>
    </row>
    <row r="1819" spans="1:19" x14ac:dyDescent="0.35">
      <c r="A1819" t="s">
        <v>4050</v>
      </c>
      <c r="B1819" s="1">
        <v>42704</v>
      </c>
      <c r="C1819" s="1">
        <v>42710</v>
      </c>
      <c r="D1819" t="s">
        <v>37</v>
      </c>
      <c r="E1819" t="s">
        <v>255</v>
      </c>
      <c r="F1819" t="s">
        <v>256</v>
      </c>
      <c r="G1819" t="s">
        <v>23</v>
      </c>
      <c r="H1819" t="s">
        <v>24</v>
      </c>
      <c r="I1819" t="s">
        <v>280</v>
      </c>
      <c r="J1819" t="s">
        <v>281</v>
      </c>
      <c r="K1819" t="s">
        <v>87</v>
      </c>
      <c r="L1819" t="s">
        <v>134</v>
      </c>
      <c r="M1819" t="s">
        <v>29</v>
      </c>
      <c r="N1819" t="s">
        <v>34</v>
      </c>
      <c r="O1819" t="s">
        <v>135</v>
      </c>
      <c r="P1819">
        <v>389.97</v>
      </c>
      <c r="Q1819">
        <v>3</v>
      </c>
      <c r="R1819">
        <v>35.097299999999997</v>
      </c>
      <c r="S1819" t="s">
        <v>32</v>
      </c>
    </row>
    <row r="1820" spans="1:19" x14ac:dyDescent="0.35">
      <c r="A1820" t="s">
        <v>4051</v>
      </c>
      <c r="B1820" s="1">
        <v>42360</v>
      </c>
      <c r="C1820" s="1">
        <v>42361</v>
      </c>
      <c r="D1820" t="s">
        <v>81</v>
      </c>
      <c r="E1820" t="s">
        <v>2022</v>
      </c>
      <c r="F1820" t="s">
        <v>2023</v>
      </c>
      <c r="G1820" t="s">
        <v>84</v>
      </c>
      <c r="H1820" t="s">
        <v>24</v>
      </c>
      <c r="I1820" t="s">
        <v>61</v>
      </c>
      <c r="J1820" t="s">
        <v>62</v>
      </c>
      <c r="K1820" t="s">
        <v>63</v>
      </c>
      <c r="L1820" t="s">
        <v>1081</v>
      </c>
      <c r="M1820" t="s">
        <v>29</v>
      </c>
      <c r="N1820" t="s">
        <v>34</v>
      </c>
      <c r="O1820" t="s">
        <v>1082</v>
      </c>
      <c r="P1820">
        <v>422.625</v>
      </c>
      <c r="Q1820">
        <v>7</v>
      </c>
      <c r="R1820">
        <v>0</v>
      </c>
      <c r="S1820" t="s">
        <v>90</v>
      </c>
    </row>
    <row r="1821" spans="1:19" x14ac:dyDescent="0.35">
      <c r="A1821" t="s">
        <v>4052</v>
      </c>
      <c r="B1821" s="1">
        <v>42456</v>
      </c>
      <c r="C1821" s="1">
        <v>42460</v>
      </c>
      <c r="D1821" t="s">
        <v>37</v>
      </c>
      <c r="E1821" t="s">
        <v>278</v>
      </c>
      <c r="F1821" t="s">
        <v>279</v>
      </c>
      <c r="G1821" t="s">
        <v>84</v>
      </c>
      <c r="H1821" t="s">
        <v>24</v>
      </c>
      <c r="I1821" t="s">
        <v>339</v>
      </c>
      <c r="J1821" t="s">
        <v>658</v>
      </c>
      <c r="K1821" t="s">
        <v>27</v>
      </c>
      <c r="L1821" t="s">
        <v>2786</v>
      </c>
      <c r="M1821" t="s">
        <v>29</v>
      </c>
      <c r="N1821" t="s">
        <v>53</v>
      </c>
      <c r="O1821" t="s">
        <v>2787</v>
      </c>
      <c r="P1821">
        <v>20.239999999999998</v>
      </c>
      <c r="Q1821">
        <v>1</v>
      </c>
      <c r="R1821">
        <v>8.7032000000000007</v>
      </c>
      <c r="S1821" t="s">
        <v>187</v>
      </c>
    </row>
    <row r="1822" spans="1:19" x14ac:dyDescent="0.35">
      <c r="A1822" t="s">
        <v>4052</v>
      </c>
      <c r="B1822" s="1">
        <v>42456</v>
      </c>
      <c r="C1822" s="1">
        <v>42460</v>
      </c>
      <c r="D1822" t="s">
        <v>37</v>
      </c>
      <c r="E1822" t="s">
        <v>278</v>
      </c>
      <c r="F1822" t="s">
        <v>279</v>
      </c>
      <c r="G1822" t="s">
        <v>84</v>
      </c>
      <c r="H1822" t="s">
        <v>24</v>
      </c>
      <c r="I1822" t="s">
        <v>339</v>
      </c>
      <c r="J1822" t="s">
        <v>658</v>
      </c>
      <c r="K1822" t="s">
        <v>27</v>
      </c>
      <c r="L1822" t="s">
        <v>2650</v>
      </c>
      <c r="M1822" t="s">
        <v>29</v>
      </c>
      <c r="N1822" t="s">
        <v>53</v>
      </c>
      <c r="O1822" t="s">
        <v>2651</v>
      </c>
      <c r="P1822">
        <v>39.92</v>
      </c>
      <c r="Q1822">
        <v>4</v>
      </c>
      <c r="R1822">
        <v>11.1776</v>
      </c>
      <c r="S1822" t="s">
        <v>187</v>
      </c>
    </row>
    <row r="1823" spans="1:19" x14ac:dyDescent="0.35">
      <c r="A1823" t="s">
        <v>4053</v>
      </c>
      <c r="B1823" s="1">
        <v>42258</v>
      </c>
      <c r="C1823" s="1">
        <v>42259</v>
      </c>
      <c r="D1823" t="s">
        <v>81</v>
      </c>
      <c r="E1823" t="s">
        <v>1071</v>
      </c>
      <c r="F1823" t="s">
        <v>1072</v>
      </c>
      <c r="G1823" t="s">
        <v>84</v>
      </c>
      <c r="H1823" t="s">
        <v>24</v>
      </c>
      <c r="I1823" t="s">
        <v>171</v>
      </c>
      <c r="J1823" t="s">
        <v>172</v>
      </c>
      <c r="K1823" t="s">
        <v>51</v>
      </c>
      <c r="L1823" t="s">
        <v>544</v>
      </c>
      <c r="M1823" t="s">
        <v>29</v>
      </c>
      <c r="N1823" t="s">
        <v>53</v>
      </c>
      <c r="O1823" t="s">
        <v>545</v>
      </c>
      <c r="P1823">
        <v>24.64</v>
      </c>
      <c r="Q1823">
        <v>4</v>
      </c>
      <c r="R1823">
        <v>4.0039999999999996</v>
      </c>
      <c r="S1823" t="s">
        <v>72</v>
      </c>
    </row>
    <row r="1824" spans="1:19" x14ac:dyDescent="0.35">
      <c r="A1824" t="s">
        <v>4054</v>
      </c>
      <c r="B1824" s="1">
        <v>42713</v>
      </c>
      <c r="C1824" s="1">
        <v>42715</v>
      </c>
      <c r="D1824" t="s">
        <v>81</v>
      </c>
      <c r="E1824" t="s">
        <v>3521</v>
      </c>
      <c r="F1824" t="s">
        <v>3522</v>
      </c>
      <c r="G1824" t="s">
        <v>23</v>
      </c>
      <c r="H1824" t="s">
        <v>24</v>
      </c>
      <c r="I1824" t="s">
        <v>869</v>
      </c>
      <c r="J1824" t="s">
        <v>707</v>
      </c>
      <c r="K1824" t="s">
        <v>27</v>
      </c>
      <c r="L1824" t="s">
        <v>1275</v>
      </c>
      <c r="M1824" t="s">
        <v>29</v>
      </c>
      <c r="N1824" t="s">
        <v>43</v>
      </c>
      <c r="O1824" t="s">
        <v>1276</v>
      </c>
      <c r="P1824">
        <v>1056.8599999999999</v>
      </c>
      <c r="Q1824">
        <v>7</v>
      </c>
      <c r="R1824">
        <v>158.529</v>
      </c>
      <c r="S1824" t="s">
        <v>90</v>
      </c>
    </row>
    <row r="1825" spans="1:19" x14ac:dyDescent="0.35">
      <c r="A1825" t="s">
        <v>4055</v>
      </c>
      <c r="B1825" s="1">
        <v>42727</v>
      </c>
      <c r="C1825" s="1">
        <v>42730</v>
      </c>
      <c r="D1825" t="s">
        <v>20</v>
      </c>
      <c r="E1825" t="s">
        <v>975</v>
      </c>
      <c r="F1825" t="s">
        <v>976</v>
      </c>
      <c r="G1825" t="s">
        <v>84</v>
      </c>
      <c r="H1825" t="s">
        <v>24</v>
      </c>
      <c r="I1825" t="s">
        <v>95</v>
      </c>
      <c r="J1825" t="s">
        <v>86</v>
      </c>
      <c r="K1825" t="s">
        <v>87</v>
      </c>
      <c r="L1825" t="s">
        <v>491</v>
      </c>
      <c r="M1825" t="s">
        <v>29</v>
      </c>
      <c r="N1825" t="s">
        <v>53</v>
      </c>
      <c r="O1825" t="s">
        <v>492</v>
      </c>
      <c r="P1825">
        <v>2.3279999999999998</v>
      </c>
      <c r="Q1825">
        <v>2</v>
      </c>
      <c r="R1825">
        <v>-0.75660000000000005</v>
      </c>
      <c r="S1825" t="s">
        <v>90</v>
      </c>
    </row>
    <row r="1826" spans="1:19" x14ac:dyDescent="0.35">
      <c r="A1826" t="s">
        <v>4056</v>
      </c>
      <c r="B1826" s="1">
        <v>42462</v>
      </c>
      <c r="C1826" s="1">
        <v>42466</v>
      </c>
      <c r="D1826" t="s">
        <v>20</v>
      </c>
      <c r="E1826" t="s">
        <v>655</v>
      </c>
      <c r="F1826" t="s">
        <v>656</v>
      </c>
      <c r="G1826" t="s">
        <v>84</v>
      </c>
      <c r="H1826" t="s">
        <v>24</v>
      </c>
      <c r="I1826" t="s">
        <v>896</v>
      </c>
      <c r="J1826" t="s">
        <v>230</v>
      </c>
      <c r="K1826" t="s">
        <v>87</v>
      </c>
      <c r="L1826" t="s">
        <v>1297</v>
      </c>
      <c r="M1826" t="s">
        <v>29</v>
      </c>
      <c r="N1826" t="s">
        <v>34</v>
      </c>
      <c r="O1826" t="s">
        <v>1298</v>
      </c>
      <c r="P1826">
        <v>1454.9</v>
      </c>
      <c r="Q1826">
        <v>5</v>
      </c>
      <c r="R1826">
        <v>378.274</v>
      </c>
      <c r="S1826" t="s">
        <v>107</v>
      </c>
    </row>
    <row r="1827" spans="1:19" x14ac:dyDescent="0.35">
      <c r="A1827" t="s">
        <v>4057</v>
      </c>
      <c r="B1827" s="1">
        <v>42855</v>
      </c>
      <c r="C1827" s="1">
        <v>42859</v>
      </c>
      <c r="D1827" t="s">
        <v>37</v>
      </c>
      <c r="E1827" t="s">
        <v>1135</v>
      </c>
      <c r="F1827" t="s">
        <v>1136</v>
      </c>
      <c r="G1827" t="s">
        <v>94</v>
      </c>
      <c r="H1827" t="s">
        <v>24</v>
      </c>
      <c r="I1827" t="s">
        <v>4058</v>
      </c>
      <c r="J1827" t="s">
        <v>41</v>
      </c>
      <c r="K1827" t="s">
        <v>27</v>
      </c>
      <c r="L1827" t="s">
        <v>3279</v>
      </c>
      <c r="M1827" t="s">
        <v>29</v>
      </c>
      <c r="N1827" t="s">
        <v>53</v>
      </c>
      <c r="O1827" t="s">
        <v>3280</v>
      </c>
      <c r="P1827">
        <v>220.70400000000001</v>
      </c>
      <c r="Q1827">
        <v>6</v>
      </c>
      <c r="R1827">
        <v>-8.2764000000000006</v>
      </c>
      <c r="S1827" t="s">
        <v>107</v>
      </c>
    </row>
    <row r="1828" spans="1:19" x14ac:dyDescent="0.35">
      <c r="A1828" t="s">
        <v>4059</v>
      </c>
      <c r="B1828" s="1">
        <v>42919</v>
      </c>
      <c r="C1828" s="1">
        <v>42920</v>
      </c>
      <c r="D1828" t="s">
        <v>81</v>
      </c>
      <c r="E1828" t="s">
        <v>2375</v>
      </c>
      <c r="F1828" t="s">
        <v>2376</v>
      </c>
      <c r="G1828" t="s">
        <v>23</v>
      </c>
      <c r="H1828" t="s">
        <v>24</v>
      </c>
      <c r="I1828" t="s">
        <v>500</v>
      </c>
      <c r="J1828" t="s">
        <v>875</v>
      </c>
      <c r="K1828" t="s">
        <v>63</v>
      </c>
      <c r="L1828" t="s">
        <v>926</v>
      </c>
      <c r="M1828" t="s">
        <v>29</v>
      </c>
      <c r="N1828" t="s">
        <v>53</v>
      </c>
      <c r="O1828" t="s">
        <v>927</v>
      </c>
      <c r="P1828">
        <v>102.3</v>
      </c>
      <c r="Q1828">
        <v>1</v>
      </c>
      <c r="R1828">
        <v>26.597999999999999</v>
      </c>
      <c r="S1828" t="s">
        <v>66</v>
      </c>
    </row>
    <row r="1829" spans="1:19" x14ac:dyDescent="0.35">
      <c r="A1829" t="s">
        <v>4060</v>
      </c>
      <c r="B1829" s="1">
        <v>43091</v>
      </c>
      <c r="C1829" s="1">
        <v>43095</v>
      </c>
      <c r="D1829" t="s">
        <v>37</v>
      </c>
      <c r="E1829" t="s">
        <v>1625</v>
      </c>
      <c r="F1829" t="s">
        <v>1626</v>
      </c>
      <c r="G1829" t="s">
        <v>23</v>
      </c>
      <c r="H1829" t="s">
        <v>24</v>
      </c>
      <c r="I1829" t="s">
        <v>885</v>
      </c>
      <c r="J1829" t="s">
        <v>158</v>
      </c>
      <c r="K1829" t="s">
        <v>87</v>
      </c>
      <c r="L1829" t="s">
        <v>426</v>
      </c>
      <c r="M1829" t="s">
        <v>29</v>
      </c>
      <c r="N1829" t="s">
        <v>43</v>
      </c>
      <c r="O1829" t="s">
        <v>427</v>
      </c>
      <c r="P1829">
        <v>607.52</v>
      </c>
      <c r="Q1829">
        <v>2</v>
      </c>
      <c r="R1829">
        <v>97.203199999999995</v>
      </c>
      <c r="S1829" t="s">
        <v>90</v>
      </c>
    </row>
    <row r="1830" spans="1:19" x14ac:dyDescent="0.35">
      <c r="A1830" t="s">
        <v>4061</v>
      </c>
      <c r="B1830" s="1">
        <v>41779</v>
      </c>
      <c r="C1830" s="1">
        <v>41781</v>
      </c>
      <c r="D1830" t="s">
        <v>20</v>
      </c>
      <c r="E1830" t="s">
        <v>1988</v>
      </c>
      <c r="F1830" t="s">
        <v>1989</v>
      </c>
      <c r="G1830" t="s">
        <v>84</v>
      </c>
      <c r="H1830" t="s">
        <v>24</v>
      </c>
      <c r="I1830" t="s">
        <v>4062</v>
      </c>
      <c r="J1830" t="s">
        <v>86</v>
      </c>
      <c r="K1830" t="s">
        <v>87</v>
      </c>
      <c r="L1830" t="s">
        <v>3429</v>
      </c>
      <c r="M1830" t="s">
        <v>29</v>
      </c>
      <c r="N1830" t="s">
        <v>53</v>
      </c>
      <c r="O1830" t="s">
        <v>3430</v>
      </c>
      <c r="P1830">
        <v>10.332000000000001</v>
      </c>
      <c r="Q1830">
        <v>3</v>
      </c>
      <c r="R1830">
        <v>-5.9409000000000001</v>
      </c>
      <c r="S1830" t="s">
        <v>153</v>
      </c>
    </row>
    <row r="1831" spans="1:19" x14ac:dyDescent="0.35">
      <c r="A1831" t="s">
        <v>4063</v>
      </c>
      <c r="B1831" s="1">
        <v>42848</v>
      </c>
      <c r="C1831" s="1">
        <v>42851</v>
      </c>
      <c r="D1831" t="s">
        <v>81</v>
      </c>
      <c r="E1831" t="s">
        <v>38</v>
      </c>
      <c r="F1831" t="s">
        <v>39</v>
      </c>
      <c r="G1831" t="s">
        <v>23</v>
      </c>
      <c r="H1831" t="s">
        <v>24</v>
      </c>
      <c r="I1831" t="s">
        <v>4064</v>
      </c>
      <c r="J1831" t="s">
        <v>172</v>
      </c>
      <c r="K1831" t="s">
        <v>51</v>
      </c>
      <c r="L1831" t="s">
        <v>3034</v>
      </c>
      <c r="M1831" t="s">
        <v>29</v>
      </c>
      <c r="N1831" t="s">
        <v>53</v>
      </c>
      <c r="O1831" t="s">
        <v>3035</v>
      </c>
      <c r="P1831">
        <v>11.664</v>
      </c>
      <c r="Q1831">
        <v>3</v>
      </c>
      <c r="R1831">
        <v>3.3534000000000002</v>
      </c>
      <c r="S1831" t="s">
        <v>107</v>
      </c>
    </row>
    <row r="1832" spans="1:19" x14ac:dyDescent="0.35">
      <c r="A1832" t="s">
        <v>4065</v>
      </c>
      <c r="B1832" s="1">
        <v>41794</v>
      </c>
      <c r="C1832" s="1">
        <v>41799</v>
      </c>
      <c r="D1832" t="s">
        <v>37</v>
      </c>
      <c r="E1832" t="s">
        <v>1763</v>
      </c>
      <c r="F1832" t="s">
        <v>1764</v>
      </c>
      <c r="G1832" t="s">
        <v>23</v>
      </c>
      <c r="H1832" t="s">
        <v>24</v>
      </c>
      <c r="I1832" t="s">
        <v>165</v>
      </c>
      <c r="J1832" t="s">
        <v>114</v>
      </c>
      <c r="K1832" t="s">
        <v>63</v>
      </c>
      <c r="L1832" t="s">
        <v>1509</v>
      </c>
      <c r="M1832" t="s">
        <v>29</v>
      </c>
      <c r="N1832" t="s">
        <v>53</v>
      </c>
      <c r="O1832" t="s">
        <v>1510</v>
      </c>
      <c r="P1832">
        <v>56.96</v>
      </c>
      <c r="Q1832">
        <v>2</v>
      </c>
      <c r="R1832">
        <v>21.075199999999999</v>
      </c>
      <c r="S1832" t="s">
        <v>55</v>
      </c>
    </row>
    <row r="1833" spans="1:19" x14ac:dyDescent="0.35">
      <c r="A1833" t="s">
        <v>4065</v>
      </c>
      <c r="B1833" s="1">
        <v>41794</v>
      </c>
      <c r="C1833" s="1">
        <v>41799</v>
      </c>
      <c r="D1833" t="s">
        <v>37</v>
      </c>
      <c r="E1833" t="s">
        <v>1763</v>
      </c>
      <c r="F1833" t="s">
        <v>1764</v>
      </c>
      <c r="G1833" t="s">
        <v>23</v>
      </c>
      <c r="H1833" t="s">
        <v>24</v>
      </c>
      <c r="I1833" t="s">
        <v>165</v>
      </c>
      <c r="J1833" t="s">
        <v>114</v>
      </c>
      <c r="K1833" t="s">
        <v>63</v>
      </c>
      <c r="L1833" t="s">
        <v>727</v>
      </c>
      <c r="M1833" t="s">
        <v>29</v>
      </c>
      <c r="N1833" t="s">
        <v>30</v>
      </c>
      <c r="O1833" t="s">
        <v>728</v>
      </c>
      <c r="P1833">
        <v>353.56799999999998</v>
      </c>
      <c r="Q1833">
        <v>2</v>
      </c>
      <c r="R1833">
        <v>-44.195999999999998</v>
      </c>
      <c r="S1833" t="s">
        <v>55</v>
      </c>
    </row>
    <row r="1834" spans="1:19" x14ac:dyDescent="0.35">
      <c r="A1834" t="s">
        <v>4065</v>
      </c>
      <c r="B1834" s="1">
        <v>41794</v>
      </c>
      <c r="C1834" s="1">
        <v>41799</v>
      </c>
      <c r="D1834" t="s">
        <v>37</v>
      </c>
      <c r="E1834" t="s">
        <v>1763</v>
      </c>
      <c r="F1834" t="s">
        <v>1764</v>
      </c>
      <c r="G1834" t="s">
        <v>23</v>
      </c>
      <c r="H1834" t="s">
        <v>24</v>
      </c>
      <c r="I1834" t="s">
        <v>165</v>
      </c>
      <c r="J1834" t="s">
        <v>114</v>
      </c>
      <c r="K1834" t="s">
        <v>63</v>
      </c>
      <c r="L1834" t="s">
        <v>968</v>
      </c>
      <c r="M1834" t="s">
        <v>29</v>
      </c>
      <c r="N1834" t="s">
        <v>53</v>
      </c>
      <c r="O1834" t="s">
        <v>969</v>
      </c>
      <c r="P1834">
        <v>13.96</v>
      </c>
      <c r="Q1834">
        <v>2</v>
      </c>
      <c r="R1834">
        <v>6.7008000000000001</v>
      </c>
      <c r="S1834" t="s">
        <v>55</v>
      </c>
    </row>
    <row r="1835" spans="1:19" x14ac:dyDescent="0.35">
      <c r="A1835" t="s">
        <v>4066</v>
      </c>
      <c r="B1835" s="1">
        <v>42797</v>
      </c>
      <c r="C1835" s="1">
        <v>42802</v>
      </c>
      <c r="D1835" t="s">
        <v>37</v>
      </c>
      <c r="E1835" t="s">
        <v>1017</v>
      </c>
      <c r="F1835" t="s">
        <v>1018</v>
      </c>
      <c r="G1835" t="s">
        <v>84</v>
      </c>
      <c r="H1835" t="s">
        <v>24</v>
      </c>
      <c r="I1835" t="s">
        <v>49</v>
      </c>
      <c r="J1835" t="s">
        <v>50</v>
      </c>
      <c r="K1835" t="s">
        <v>51</v>
      </c>
      <c r="L1835" t="s">
        <v>898</v>
      </c>
      <c r="M1835" t="s">
        <v>29</v>
      </c>
      <c r="N1835" t="s">
        <v>43</v>
      </c>
      <c r="O1835" t="s">
        <v>899</v>
      </c>
      <c r="P1835">
        <v>399.67200000000003</v>
      </c>
      <c r="Q1835">
        <v>7</v>
      </c>
      <c r="R1835">
        <v>-14.9877</v>
      </c>
      <c r="S1835" t="s">
        <v>187</v>
      </c>
    </row>
    <row r="1836" spans="1:19" x14ac:dyDescent="0.35">
      <c r="A1836" t="s">
        <v>4067</v>
      </c>
      <c r="B1836" s="1">
        <v>43045</v>
      </c>
      <c r="C1836" s="1">
        <v>43048</v>
      </c>
      <c r="D1836" t="s">
        <v>20</v>
      </c>
      <c r="E1836" t="s">
        <v>2406</v>
      </c>
      <c r="F1836" t="s">
        <v>2407</v>
      </c>
      <c r="G1836" t="s">
        <v>23</v>
      </c>
      <c r="H1836" t="s">
        <v>24</v>
      </c>
      <c r="I1836" t="s">
        <v>1730</v>
      </c>
      <c r="J1836" t="s">
        <v>86</v>
      </c>
      <c r="K1836" t="s">
        <v>87</v>
      </c>
      <c r="L1836" t="s">
        <v>861</v>
      </c>
      <c r="M1836" t="s">
        <v>29</v>
      </c>
      <c r="N1836" t="s">
        <v>53</v>
      </c>
      <c r="O1836" t="s">
        <v>862</v>
      </c>
      <c r="P1836">
        <v>30.56</v>
      </c>
      <c r="Q1836">
        <v>5</v>
      </c>
      <c r="R1836">
        <v>-19.864000000000001</v>
      </c>
      <c r="S1836" t="s">
        <v>32</v>
      </c>
    </row>
    <row r="1837" spans="1:19" x14ac:dyDescent="0.35">
      <c r="A1837" t="s">
        <v>4068</v>
      </c>
      <c r="B1837" s="1">
        <v>42254</v>
      </c>
      <c r="C1837" s="1">
        <v>42259</v>
      </c>
      <c r="D1837" t="s">
        <v>37</v>
      </c>
      <c r="E1837" t="s">
        <v>4069</v>
      </c>
      <c r="F1837" t="s">
        <v>4070</v>
      </c>
      <c r="G1837" t="s">
        <v>84</v>
      </c>
      <c r="H1837" t="s">
        <v>24</v>
      </c>
      <c r="I1837" t="s">
        <v>165</v>
      </c>
      <c r="J1837" t="s">
        <v>114</v>
      </c>
      <c r="K1837" t="s">
        <v>63</v>
      </c>
      <c r="L1837" t="s">
        <v>1982</v>
      </c>
      <c r="M1837" t="s">
        <v>29</v>
      </c>
      <c r="N1837" t="s">
        <v>43</v>
      </c>
      <c r="O1837" t="s">
        <v>1983</v>
      </c>
      <c r="P1837">
        <v>481.17599999999999</v>
      </c>
      <c r="Q1837">
        <v>2</v>
      </c>
      <c r="R1837">
        <v>-120.294</v>
      </c>
      <c r="S1837" t="s">
        <v>72</v>
      </c>
    </row>
    <row r="1838" spans="1:19" x14ac:dyDescent="0.35">
      <c r="A1838" t="s">
        <v>4071</v>
      </c>
      <c r="B1838" s="1">
        <v>42579</v>
      </c>
      <c r="C1838" s="1">
        <v>42580</v>
      </c>
      <c r="D1838" t="s">
        <v>81</v>
      </c>
      <c r="E1838" t="s">
        <v>601</v>
      </c>
      <c r="F1838" t="s">
        <v>602</v>
      </c>
      <c r="G1838" t="s">
        <v>23</v>
      </c>
      <c r="H1838" t="s">
        <v>24</v>
      </c>
      <c r="I1838" t="s">
        <v>3092</v>
      </c>
      <c r="J1838" t="s">
        <v>62</v>
      </c>
      <c r="K1838" t="s">
        <v>63</v>
      </c>
      <c r="L1838" t="s">
        <v>801</v>
      </c>
      <c r="M1838" t="s">
        <v>29</v>
      </c>
      <c r="N1838" t="s">
        <v>30</v>
      </c>
      <c r="O1838" t="s">
        <v>802</v>
      </c>
      <c r="P1838">
        <v>177.45</v>
      </c>
      <c r="Q1838">
        <v>5</v>
      </c>
      <c r="R1838">
        <v>-78.078000000000003</v>
      </c>
      <c r="S1838" t="s">
        <v>66</v>
      </c>
    </row>
    <row r="1839" spans="1:19" x14ac:dyDescent="0.35">
      <c r="A1839" t="s">
        <v>4072</v>
      </c>
      <c r="B1839" s="1">
        <v>42972</v>
      </c>
      <c r="C1839" s="1">
        <v>42976</v>
      </c>
      <c r="D1839" t="s">
        <v>37</v>
      </c>
      <c r="E1839" t="s">
        <v>730</v>
      </c>
      <c r="F1839" t="s">
        <v>731</v>
      </c>
      <c r="G1839" t="s">
        <v>23</v>
      </c>
      <c r="H1839" t="s">
        <v>24</v>
      </c>
      <c r="I1839" t="s">
        <v>61</v>
      </c>
      <c r="J1839" t="s">
        <v>62</v>
      </c>
      <c r="K1839" t="s">
        <v>63</v>
      </c>
      <c r="L1839" t="s">
        <v>28</v>
      </c>
      <c r="M1839" t="s">
        <v>29</v>
      </c>
      <c r="N1839" t="s">
        <v>30</v>
      </c>
      <c r="O1839" t="s">
        <v>31</v>
      </c>
      <c r="P1839">
        <v>130.97999999999999</v>
      </c>
      <c r="Q1839">
        <v>2</v>
      </c>
      <c r="R1839">
        <v>-89.066400000000002</v>
      </c>
      <c r="S1839" t="s">
        <v>245</v>
      </c>
    </row>
    <row r="1840" spans="1:19" x14ac:dyDescent="0.35">
      <c r="A1840" t="s">
        <v>4073</v>
      </c>
      <c r="B1840" s="1">
        <v>42852</v>
      </c>
      <c r="C1840" s="1">
        <v>42857</v>
      </c>
      <c r="D1840" t="s">
        <v>37</v>
      </c>
      <c r="E1840" t="s">
        <v>4074</v>
      </c>
      <c r="F1840" t="s">
        <v>4075</v>
      </c>
      <c r="G1840" t="s">
        <v>23</v>
      </c>
      <c r="H1840" t="s">
        <v>24</v>
      </c>
      <c r="I1840" t="s">
        <v>183</v>
      </c>
      <c r="J1840" t="s">
        <v>184</v>
      </c>
      <c r="K1840" t="s">
        <v>51</v>
      </c>
      <c r="L1840" t="s">
        <v>120</v>
      </c>
      <c r="M1840" t="s">
        <v>29</v>
      </c>
      <c r="N1840" t="s">
        <v>53</v>
      </c>
      <c r="O1840" t="s">
        <v>121</v>
      </c>
      <c r="P1840">
        <v>139.58000000000001</v>
      </c>
      <c r="Q1840">
        <v>7</v>
      </c>
      <c r="R1840">
        <v>39.0824</v>
      </c>
      <c r="S1840" t="s">
        <v>107</v>
      </c>
    </row>
    <row r="1841" spans="1:19" x14ac:dyDescent="0.35">
      <c r="A1841" t="s">
        <v>4076</v>
      </c>
      <c r="B1841" s="1">
        <v>42316</v>
      </c>
      <c r="C1841" s="1">
        <v>42323</v>
      </c>
      <c r="D1841" t="s">
        <v>37</v>
      </c>
      <c r="E1841" t="s">
        <v>1029</v>
      </c>
      <c r="F1841" t="s">
        <v>1030</v>
      </c>
      <c r="G1841" t="s">
        <v>84</v>
      </c>
      <c r="H1841" t="s">
        <v>24</v>
      </c>
      <c r="I1841" t="s">
        <v>597</v>
      </c>
      <c r="J1841" t="s">
        <v>1027</v>
      </c>
      <c r="K1841" t="s">
        <v>27</v>
      </c>
      <c r="L1841" t="s">
        <v>414</v>
      </c>
      <c r="M1841" t="s">
        <v>29</v>
      </c>
      <c r="N1841" t="s">
        <v>53</v>
      </c>
      <c r="O1841" t="s">
        <v>415</v>
      </c>
      <c r="P1841">
        <v>4.7119999999999997</v>
      </c>
      <c r="Q1841">
        <v>1</v>
      </c>
      <c r="R1841">
        <v>1.4136</v>
      </c>
      <c r="S1841" t="s">
        <v>32</v>
      </c>
    </row>
    <row r="1842" spans="1:19" x14ac:dyDescent="0.35">
      <c r="A1842" t="s">
        <v>4077</v>
      </c>
      <c r="B1842" s="1">
        <v>42699</v>
      </c>
      <c r="C1842" s="1">
        <v>42703</v>
      </c>
      <c r="D1842" t="s">
        <v>37</v>
      </c>
      <c r="E1842" t="s">
        <v>2624</v>
      </c>
      <c r="F1842" t="s">
        <v>2625</v>
      </c>
      <c r="G1842" t="s">
        <v>23</v>
      </c>
      <c r="H1842" t="s">
        <v>24</v>
      </c>
      <c r="I1842" t="s">
        <v>49</v>
      </c>
      <c r="J1842" t="s">
        <v>50</v>
      </c>
      <c r="K1842" t="s">
        <v>51</v>
      </c>
      <c r="L1842" t="s">
        <v>247</v>
      </c>
      <c r="M1842" t="s">
        <v>29</v>
      </c>
      <c r="N1842" t="s">
        <v>34</v>
      </c>
      <c r="O1842" t="s">
        <v>248</v>
      </c>
      <c r="P1842">
        <v>194.352</v>
      </c>
      <c r="Q1842">
        <v>3</v>
      </c>
      <c r="R1842">
        <v>19.435199999999998</v>
      </c>
      <c r="S1842" t="s">
        <v>32</v>
      </c>
    </row>
    <row r="1843" spans="1:19" x14ac:dyDescent="0.35">
      <c r="A1843" t="s">
        <v>4078</v>
      </c>
      <c r="B1843" s="1">
        <v>42343</v>
      </c>
      <c r="C1843" s="1">
        <v>42346</v>
      </c>
      <c r="D1843" t="s">
        <v>81</v>
      </c>
      <c r="E1843" t="s">
        <v>2032</v>
      </c>
      <c r="F1843" t="s">
        <v>2033</v>
      </c>
      <c r="G1843" t="s">
        <v>84</v>
      </c>
      <c r="H1843" t="s">
        <v>24</v>
      </c>
      <c r="I1843" t="s">
        <v>2638</v>
      </c>
      <c r="J1843" t="s">
        <v>133</v>
      </c>
      <c r="K1843" t="s">
        <v>27</v>
      </c>
      <c r="L1843" t="s">
        <v>290</v>
      </c>
      <c r="M1843" t="s">
        <v>29</v>
      </c>
      <c r="N1843" t="s">
        <v>34</v>
      </c>
      <c r="O1843" t="s">
        <v>291</v>
      </c>
      <c r="P1843">
        <v>97.424000000000007</v>
      </c>
      <c r="Q1843">
        <v>2</v>
      </c>
      <c r="R1843">
        <v>10.9602</v>
      </c>
      <c r="S1843" t="s">
        <v>90</v>
      </c>
    </row>
    <row r="1844" spans="1:19" x14ac:dyDescent="0.35">
      <c r="A1844" t="s">
        <v>4079</v>
      </c>
      <c r="B1844" s="1">
        <v>41895</v>
      </c>
      <c r="C1844" s="1">
        <v>41895</v>
      </c>
      <c r="D1844" t="s">
        <v>417</v>
      </c>
      <c r="E1844" t="s">
        <v>682</v>
      </c>
      <c r="F1844" t="s">
        <v>683</v>
      </c>
      <c r="G1844" t="s">
        <v>23</v>
      </c>
      <c r="H1844" t="s">
        <v>24</v>
      </c>
      <c r="I1844" t="s">
        <v>183</v>
      </c>
      <c r="J1844" t="s">
        <v>184</v>
      </c>
      <c r="K1844" t="s">
        <v>51</v>
      </c>
      <c r="L1844" t="s">
        <v>371</v>
      </c>
      <c r="M1844" t="s">
        <v>29</v>
      </c>
      <c r="N1844" t="s">
        <v>53</v>
      </c>
      <c r="O1844" t="s">
        <v>372</v>
      </c>
      <c r="P1844">
        <v>14.19</v>
      </c>
      <c r="Q1844">
        <v>3</v>
      </c>
      <c r="R1844">
        <v>5.5340999999999996</v>
      </c>
      <c r="S1844" t="s">
        <v>72</v>
      </c>
    </row>
    <row r="1845" spans="1:19" x14ac:dyDescent="0.35">
      <c r="A1845" t="s">
        <v>4080</v>
      </c>
      <c r="B1845" s="1">
        <v>43064</v>
      </c>
      <c r="C1845" s="1">
        <v>43069</v>
      </c>
      <c r="D1845" t="s">
        <v>37</v>
      </c>
      <c r="E1845" t="s">
        <v>1422</v>
      </c>
      <c r="F1845" t="s">
        <v>1423</v>
      </c>
      <c r="G1845" t="s">
        <v>23</v>
      </c>
      <c r="H1845" t="s">
        <v>24</v>
      </c>
      <c r="I1845" t="s">
        <v>40</v>
      </c>
      <c r="J1845" t="s">
        <v>41</v>
      </c>
      <c r="K1845" t="s">
        <v>27</v>
      </c>
      <c r="L1845" t="s">
        <v>1437</v>
      </c>
      <c r="M1845" t="s">
        <v>29</v>
      </c>
      <c r="N1845" t="s">
        <v>30</v>
      </c>
      <c r="O1845" t="s">
        <v>1438</v>
      </c>
      <c r="P1845">
        <v>723.92</v>
      </c>
      <c r="Q1845">
        <v>5</v>
      </c>
      <c r="R1845">
        <v>-81.441000000000003</v>
      </c>
      <c r="S1845" t="s">
        <v>32</v>
      </c>
    </row>
    <row r="1846" spans="1:19" x14ac:dyDescent="0.35">
      <c r="A1846" t="s">
        <v>4081</v>
      </c>
      <c r="B1846" s="1">
        <v>42136</v>
      </c>
      <c r="C1846" s="1">
        <v>42141</v>
      </c>
      <c r="D1846" t="s">
        <v>37</v>
      </c>
      <c r="E1846" t="s">
        <v>1562</v>
      </c>
      <c r="F1846" t="s">
        <v>1563</v>
      </c>
      <c r="G1846" t="s">
        <v>23</v>
      </c>
      <c r="H1846" t="s">
        <v>24</v>
      </c>
      <c r="I1846" t="s">
        <v>95</v>
      </c>
      <c r="J1846" t="s">
        <v>86</v>
      </c>
      <c r="K1846" t="s">
        <v>87</v>
      </c>
      <c r="L1846" t="s">
        <v>2778</v>
      </c>
      <c r="M1846" t="s">
        <v>29</v>
      </c>
      <c r="N1846" t="s">
        <v>53</v>
      </c>
      <c r="O1846" t="s">
        <v>2779</v>
      </c>
      <c r="P1846">
        <v>21.968</v>
      </c>
      <c r="Q1846">
        <v>4</v>
      </c>
      <c r="R1846">
        <v>-15.9268</v>
      </c>
      <c r="S1846" t="s">
        <v>153</v>
      </c>
    </row>
    <row r="1847" spans="1:19" x14ac:dyDescent="0.35">
      <c r="A1847" t="s">
        <v>4082</v>
      </c>
      <c r="B1847" s="1">
        <v>42824</v>
      </c>
      <c r="C1847" s="1">
        <v>42826</v>
      </c>
      <c r="D1847" t="s">
        <v>20</v>
      </c>
      <c r="E1847" t="s">
        <v>3106</v>
      </c>
      <c r="F1847" t="s">
        <v>3107</v>
      </c>
      <c r="G1847" t="s">
        <v>23</v>
      </c>
      <c r="H1847" t="s">
        <v>24</v>
      </c>
      <c r="I1847" t="s">
        <v>2051</v>
      </c>
      <c r="J1847" t="s">
        <v>50</v>
      </c>
      <c r="K1847" t="s">
        <v>51</v>
      </c>
      <c r="L1847" t="s">
        <v>1533</v>
      </c>
      <c r="M1847" t="s">
        <v>29</v>
      </c>
      <c r="N1847" t="s">
        <v>53</v>
      </c>
      <c r="O1847" t="s">
        <v>1534</v>
      </c>
      <c r="P1847">
        <v>94.2</v>
      </c>
      <c r="Q1847">
        <v>5</v>
      </c>
      <c r="R1847">
        <v>39.564</v>
      </c>
      <c r="S1847" t="s">
        <v>187</v>
      </c>
    </row>
    <row r="1848" spans="1:19" x14ac:dyDescent="0.35">
      <c r="A1848" t="s">
        <v>4083</v>
      </c>
      <c r="B1848" s="1">
        <v>42000</v>
      </c>
      <c r="C1848" s="1">
        <v>42005</v>
      </c>
      <c r="D1848" t="s">
        <v>20</v>
      </c>
      <c r="E1848" t="s">
        <v>155</v>
      </c>
      <c r="F1848" t="s">
        <v>156</v>
      </c>
      <c r="G1848" t="s">
        <v>23</v>
      </c>
      <c r="H1848" t="s">
        <v>24</v>
      </c>
      <c r="I1848" t="s">
        <v>684</v>
      </c>
      <c r="J1848" t="s">
        <v>223</v>
      </c>
      <c r="K1848" t="s">
        <v>63</v>
      </c>
      <c r="L1848" t="s">
        <v>2597</v>
      </c>
      <c r="M1848" t="s">
        <v>29</v>
      </c>
      <c r="N1848" t="s">
        <v>53</v>
      </c>
      <c r="O1848" t="s">
        <v>2598</v>
      </c>
      <c r="P1848">
        <v>182.352</v>
      </c>
      <c r="Q1848">
        <v>3</v>
      </c>
      <c r="R1848">
        <v>-18.235199999999999</v>
      </c>
      <c r="S1848" t="s">
        <v>90</v>
      </c>
    </row>
    <row r="1849" spans="1:19" x14ac:dyDescent="0.35">
      <c r="A1849" t="s">
        <v>4084</v>
      </c>
      <c r="B1849" s="1">
        <v>42782</v>
      </c>
      <c r="C1849" s="1">
        <v>42787</v>
      </c>
      <c r="D1849" t="s">
        <v>37</v>
      </c>
      <c r="E1849" t="s">
        <v>1621</v>
      </c>
      <c r="F1849" t="s">
        <v>1622</v>
      </c>
      <c r="G1849" t="s">
        <v>23</v>
      </c>
      <c r="H1849" t="s">
        <v>24</v>
      </c>
      <c r="I1849" t="s">
        <v>504</v>
      </c>
      <c r="J1849" t="s">
        <v>126</v>
      </c>
      <c r="K1849" t="s">
        <v>87</v>
      </c>
      <c r="L1849" t="s">
        <v>198</v>
      </c>
      <c r="M1849" t="s">
        <v>29</v>
      </c>
      <c r="N1849" t="s">
        <v>34</v>
      </c>
      <c r="O1849" t="s">
        <v>199</v>
      </c>
      <c r="P1849">
        <v>600.55799999999999</v>
      </c>
      <c r="Q1849">
        <v>3</v>
      </c>
      <c r="R1849">
        <v>-8.5793999999999997</v>
      </c>
      <c r="S1849" t="s">
        <v>289</v>
      </c>
    </row>
    <row r="1850" spans="1:19" x14ac:dyDescent="0.35">
      <c r="A1850" t="s">
        <v>4084</v>
      </c>
      <c r="B1850" s="1">
        <v>42782</v>
      </c>
      <c r="C1850" s="1">
        <v>42787</v>
      </c>
      <c r="D1850" t="s">
        <v>37</v>
      </c>
      <c r="E1850" t="s">
        <v>1621</v>
      </c>
      <c r="F1850" t="s">
        <v>1622</v>
      </c>
      <c r="G1850" t="s">
        <v>23</v>
      </c>
      <c r="H1850" t="s">
        <v>24</v>
      </c>
      <c r="I1850" t="s">
        <v>504</v>
      </c>
      <c r="J1850" t="s">
        <v>126</v>
      </c>
      <c r="K1850" t="s">
        <v>87</v>
      </c>
      <c r="L1850" t="s">
        <v>1302</v>
      </c>
      <c r="M1850" t="s">
        <v>29</v>
      </c>
      <c r="N1850" t="s">
        <v>53</v>
      </c>
      <c r="O1850" t="s">
        <v>2013</v>
      </c>
      <c r="P1850">
        <v>7.6920000000000002</v>
      </c>
      <c r="Q1850">
        <v>1</v>
      </c>
      <c r="R1850">
        <v>-3.6537000000000002</v>
      </c>
      <c r="S1850" t="s">
        <v>289</v>
      </c>
    </row>
    <row r="1851" spans="1:19" x14ac:dyDescent="0.35">
      <c r="A1851" t="s">
        <v>4085</v>
      </c>
      <c r="B1851" s="1">
        <v>43032</v>
      </c>
      <c r="C1851" s="1">
        <v>43034</v>
      </c>
      <c r="D1851" t="s">
        <v>81</v>
      </c>
      <c r="E1851" t="s">
        <v>395</v>
      </c>
      <c r="F1851" t="s">
        <v>396</v>
      </c>
      <c r="G1851" t="s">
        <v>23</v>
      </c>
      <c r="H1851" t="s">
        <v>24</v>
      </c>
      <c r="I1851" t="s">
        <v>4086</v>
      </c>
      <c r="J1851" t="s">
        <v>86</v>
      </c>
      <c r="K1851" t="s">
        <v>87</v>
      </c>
      <c r="L1851" t="s">
        <v>1456</v>
      </c>
      <c r="M1851" t="s">
        <v>29</v>
      </c>
      <c r="N1851" t="s">
        <v>43</v>
      </c>
      <c r="O1851" t="s">
        <v>1457</v>
      </c>
      <c r="P1851">
        <v>517.40499999999997</v>
      </c>
      <c r="Q1851">
        <v>5</v>
      </c>
      <c r="R1851">
        <v>-81.3065</v>
      </c>
      <c r="S1851" t="s">
        <v>45</v>
      </c>
    </row>
    <row r="1852" spans="1:19" x14ac:dyDescent="0.35">
      <c r="A1852" t="s">
        <v>4087</v>
      </c>
      <c r="B1852" s="1">
        <v>42993</v>
      </c>
      <c r="C1852" s="1">
        <v>42995</v>
      </c>
      <c r="D1852" t="s">
        <v>20</v>
      </c>
      <c r="E1852" t="s">
        <v>293</v>
      </c>
      <c r="F1852" t="s">
        <v>294</v>
      </c>
      <c r="G1852" t="s">
        <v>94</v>
      </c>
      <c r="H1852" t="s">
        <v>24</v>
      </c>
      <c r="I1852" t="s">
        <v>320</v>
      </c>
      <c r="J1852" t="s">
        <v>50</v>
      </c>
      <c r="K1852" t="s">
        <v>51</v>
      </c>
      <c r="L1852" t="s">
        <v>298</v>
      </c>
      <c r="M1852" t="s">
        <v>29</v>
      </c>
      <c r="N1852" t="s">
        <v>43</v>
      </c>
      <c r="O1852" t="s">
        <v>299</v>
      </c>
      <c r="P1852">
        <v>300.904</v>
      </c>
      <c r="Q1852">
        <v>1</v>
      </c>
      <c r="R1852">
        <v>11.283899999999999</v>
      </c>
      <c r="S1852" t="s">
        <v>72</v>
      </c>
    </row>
    <row r="1853" spans="1:19" x14ac:dyDescent="0.35">
      <c r="A1853" t="s">
        <v>4088</v>
      </c>
      <c r="B1853" s="1">
        <v>42901</v>
      </c>
      <c r="C1853" s="1">
        <v>42906</v>
      </c>
      <c r="D1853" t="s">
        <v>37</v>
      </c>
      <c r="E1853" t="s">
        <v>378</v>
      </c>
      <c r="F1853" t="s">
        <v>379</v>
      </c>
      <c r="G1853" t="s">
        <v>84</v>
      </c>
      <c r="H1853" t="s">
        <v>24</v>
      </c>
      <c r="I1853" t="s">
        <v>2638</v>
      </c>
      <c r="J1853" t="s">
        <v>133</v>
      </c>
      <c r="K1853" t="s">
        <v>27</v>
      </c>
      <c r="L1853" t="s">
        <v>307</v>
      </c>
      <c r="M1853" t="s">
        <v>29</v>
      </c>
      <c r="N1853" t="s">
        <v>53</v>
      </c>
      <c r="O1853" t="s">
        <v>308</v>
      </c>
      <c r="P1853">
        <v>31.167999999999999</v>
      </c>
      <c r="Q1853">
        <v>4</v>
      </c>
      <c r="R1853">
        <v>9.3504000000000005</v>
      </c>
      <c r="S1853" t="s">
        <v>55</v>
      </c>
    </row>
    <row r="1854" spans="1:19" x14ac:dyDescent="0.35">
      <c r="A1854" t="s">
        <v>4088</v>
      </c>
      <c r="B1854" s="1">
        <v>42901</v>
      </c>
      <c r="C1854" s="1">
        <v>42906</v>
      </c>
      <c r="D1854" t="s">
        <v>37</v>
      </c>
      <c r="E1854" t="s">
        <v>378</v>
      </c>
      <c r="F1854" t="s">
        <v>379</v>
      </c>
      <c r="G1854" t="s">
        <v>84</v>
      </c>
      <c r="H1854" t="s">
        <v>24</v>
      </c>
      <c r="I1854" t="s">
        <v>2638</v>
      </c>
      <c r="J1854" t="s">
        <v>133</v>
      </c>
      <c r="K1854" t="s">
        <v>27</v>
      </c>
      <c r="L1854" t="s">
        <v>2397</v>
      </c>
      <c r="M1854" t="s">
        <v>29</v>
      </c>
      <c r="N1854" t="s">
        <v>43</v>
      </c>
      <c r="O1854" t="s">
        <v>2398</v>
      </c>
      <c r="P1854">
        <v>120.96</v>
      </c>
      <c r="Q1854">
        <v>2</v>
      </c>
      <c r="R1854">
        <v>-28.224</v>
      </c>
      <c r="S1854" t="s">
        <v>55</v>
      </c>
    </row>
    <row r="1855" spans="1:19" x14ac:dyDescent="0.35">
      <c r="A1855" t="s">
        <v>4089</v>
      </c>
      <c r="B1855" s="1">
        <v>41890</v>
      </c>
      <c r="C1855" s="1">
        <v>41895</v>
      </c>
      <c r="D1855" t="s">
        <v>37</v>
      </c>
      <c r="E1855" t="s">
        <v>1231</v>
      </c>
      <c r="F1855" t="s">
        <v>1232</v>
      </c>
      <c r="G1855" t="s">
        <v>94</v>
      </c>
      <c r="H1855" t="s">
        <v>24</v>
      </c>
      <c r="I1855" t="s">
        <v>165</v>
      </c>
      <c r="J1855" t="s">
        <v>114</v>
      </c>
      <c r="K1855" t="s">
        <v>63</v>
      </c>
      <c r="L1855" t="s">
        <v>1270</v>
      </c>
      <c r="M1855" t="s">
        <v>29</v>
      </c>
      <c r="N1855" t="s">
        <v>34</v>
      </c>
      <c r="O1855" t="s">
        <v>1271</v>
      </c>
      <c r="P1855">
        <v>172.76400000000001</v>
      </c>
      <c r="Q1855">
        <v>2</v>
      </c>
      <c r="R1855">
        <v>13.437200000000001</v>
      </c>
      <c r="S1855" t="s">
        <v>72</v>
      </c>
    </row>
    <row r="1856" spans="1:19" x14ac:dyDescent="0.35">
      <c r="A1856" t="s">
        <v>4090</v>
      </c>
      <c r="B1856" s="1">
        <v>41959</v>
      </c>
      <c r="C1856" s="1">
        <v>41961</v>
      </c>
      <c r="D1856" t="s">
        <v>81</v>
      </c>
      <c r="E1856" t="s">
        <v>666</v>
      </c>
      <c r="F1856" t="s">
        <v>667</v>
      </c>
      <c r="G1856" t="s">
        <v>84</v>
      </c>
      <c r="H1856" t="s">
        <v>24</v>
      </c>
      <c r="I1856" t="s">
        <v>49</v>
      </c>
      <c r="J1856" t="s">
        <v>50</v>
      </c>
      <c r="K1856" t="s">
        <v>51</v>
      </c>
      <c r="L1856" t="s">
        <v>701</v>
      </c>
      <c r="M1856" t="s">
        <v>29</v>
      </c>
      <c r="N1856" t="s">
        <v>30</v>
      </c>
      <c r="O1856" t="s">
        <v>702</v>
      </c>
      <c r="P1856">
        <v>305.97449999999998</v>
      </c>
      <c r="Q1856">
        <v>3</v>
      </c>
      <c r="R1856">
        <v>25.197900000000001</v>
      </c>
      <c r="S1856" t="s">
        <v>32</v>
      </c>
    </row>
    <row r="1857" spans="1:19" x14ac:dyDescent="0.35">
      <c r="A1857" t="s">
        <v>4091</v>
      </c>
      <c r="B1857" s="1">
        <v>41701</v>
      </c>
      <c r="C1857" s="1">
        <v>41705</v>
      </c>
      <c r="D1857" t="s">
        <v>37</v>
      </c>
      <c r="E1857" t="s">
        <v>4012</v>
      </c>
      <c r="F1857" t="s">
        <v>4013</v>
      </c>
      <c r="G1857" t="s">
        <v>23</v>
      </c>
      <c r="H1857" t="s">
        <v>24</v>
      </c>
      <c r="I1857" t="s">
        <v>630</v>
      </c>
      <c r="J1857" t="s">
        <v>50</v>
      </c>
      <c r="K1857" t="s">
        <v>51</v>
      </c>
      <c r="L1857" t="s">
        <v>1238</v>
      </c>
      <c r="M1857" t="s">
        <v>29</v>
      </c>
      <c r="N1857" t="s">
        <v>43</v>
      </c>
      <c r="O1857" t="s">
        <v>1239</v>
      </c>
      <c r="P1857">
        <v>626.35199999999998</v>
      </c>
      <c r="Q1857">
        <v>3</v>
      </c>
      <c r="R1857">
        <v>-23.488199999999999</v>
      </c>
      <c r="S1857" t="s">
        <v>187</v>
      </c>
    </row>
    <row r="1858" spans="1:19" x14ac:dyDescent="0.35">
      <c r="A1858" t="s">
        <v>4092</v>
      </c>
      <c r="B1858" s="1">
        <v>42341</v>
      </c>
      <c r="C1858" s="1">
        <v>42345</v>
      </c>
      <c r="D1858" t="s">
        <v>37</v>
      </c>
      <c r="E1858" t="s">
        <v>1889</v>
      </c>
      <c r="F1858" t="s">
        <v>1890</v>
      </c>
      <c r="G1858" t="s">
        <v>23</v>
      </c>
      <c r="H1858" t="s">
        <v>24</v>
      </c>
      <c r="I1858" t="s">
        <v>320</v>
      </c>
      <c r="J1858" t="s">
        <v>50</v>
      </c>
      <c r="K1858" t="s">
        <v>51</v>
      </c>
      <c r="L1858" t="s">
        <v>1686</v>
      </c>
      <c r="M1858" t="s">
        <v>29</v>
      </c>
      <c r="N1858" t="s">
        <v>30</v>
      </c>
      <c r="O1858" t="s">
        <v>1905</v>
      </c>
      <c r="P1858">
        <v>359.49900000000002</v>
      </c>
      <c r="Q1858">
        <v>3</v>
      </c>
      <c r="R1858">
        <v>-29.605799999999999</v>
      </c>
      <c r="S1858" t="s">
        <v>90</v>
      </c>
    </row>
    <row r="1859" spans="1:19" x14ac:dyDescent="0.35">
      <c r="A1859" t="s">
        <v>4093</v>
      </c>
      <c r="B1859" s="1">
        <v>42533</v>
      </c>
      <c r="C1859" s="1">
        <v>42537</v>
      </c>
      <c r="D1859" t="s">
        <v>20</v>
      </c>
      <c r="E1859" t="s">
        <v>3689</v>
      </c>
      <c r="F1859" t="s">
        <v>3690</v>
      </c>
      <c r="G1859" t="s">
        <v>94</v>
      </c>
      <c r="H1859" t="s">
        <v>24</v>
      </c>
      <c r="I1859" t="s">
        <v>95</v>
      </c>
      <c r="J1859" t="s">
        <v>86</v>
      </c>
      <c r="K1859" t="s">
        <v>87</v>
      </c>
      <c r="L1859" t="s">
        <v>886</v>
      </c>
      <c r="M1859" t="s">
        <v>29</v>
      </c>
      <c r="N1859" t="s">
        <v>53</v>
      </c>
      <c r="O1859" t="s">
        <v>887</v>
      </c>
      <c r="P1859">
        <v>6.984</v>
      </c>
      <c r="Q1859">
        <v>2</v>
      </c>
      <c r="R1859">
        <v>-4.5396000000000001</v>
      </c>
      <c r="S1859" t="s">
        <v>55</v>
      </c>
    </row>
    <row r="1860" spans="1:19" x14ac:dyDescent="0.35">
      <c r="A1860" t="s">
        <v>4093</v>
      </c>
      <c r="B1860" s="1">
        <v>42533</v>
      </c>
      <c r="C1860" s="1">
        <v>42537</v>
      </c>
      <c r="D1860" t="s">
        <v>20</v>
      </c>
      <c r="E1860" t="s">
        <v>3689</v>
      </c>
      <c r="F1860" t="s">
        <v>3690</v>
      </c>
      <c r="G1860" t="s">
        <v>94</v>
      </c>
      <c r="H1860" t="s">
        <v>24</v>
      </c>
      <c r="I1860" t="s">
        <v>95</v>
      </c>
      <c r="J1860" t="s">
        <v>86</v>
      </c>
      <c r="K1860" t="s">
        <v>87</v>
      </c>
      <c r="L1860" t="s">
        <v>2721</v>
      </c>
      <c r="M1860" t="s">
        <v>29</v>
      </c>
      <c r="N1860" t="s">
        <v>34</v>
      </c>
      <c r="O1860" t="s">
        <v>2722</v>
      </c>
      <c r="P1860">
        <v>379.37200000000001</v>
      </c>
      <c r="Q1860">
        <v>2</v>
      </c>
      <c r="R1860">
        <v>-119.2312</v>
      </c>
      <c r="S1860" t="s">
        <v>55</v>
      </c>
    </row>
    <row r="1861" spans="1:19" x14ac:dyDescent="0.35">
      <c r="A1861" t="s">
        <v>4094</v>
      </c>
      <c r="B1861" s="1">
        <v>42365</v>
      </c>
      <c r="C1861" s="1">
        <v>42369</v>
      </c>
      <c r="D1861" t="s">
        <v>37</v>
      </c>
      <c r="E1861" t="s">
        <v>2608</v>
      </c>
      <c r="F1861" t="s">
        <v>2609</v>
      </c>
      <c r="G1861" t="s">
        <v>84</v>
      </c>
      <c r="H1861" t="s">
        <v>24</v>
      </c>
      <c r="I1861" t="s">
        <v>391</v>
      </c>
      <c r="J1861" t="s">
        <v>133</v>
      </c>
      <c r="K1861" t="s">
        <v>27</v>
      </c>
      <c r="L1861" t="s">
        <v>3964</v>
      </c>
      <c r="M1861" t="s">
        <v>29</v>
      </c>
      <c r="N1861" t="s">
        <v>53</v>
      </c>
      <c r="O1861" t="s">
        <v>3965</v>
      </c>
      <c r="P1861">
        <v>53.351999999999997</v>
      </c>
      <c r="Q1861">
        <v>3</v>
      </c>
      <c r="R1861">
        <v>16.005600000000001</v>
      </c>
      <c r="S1861" t="s">
        <v>90</v>
      </c>
    </row>
    <row r="1862" spans="1:19" x14ac:dyDescent="0.35">
      <c r="A1862" t="s">
        <v>4094</v>
      </c>
      <c r="B1862" s="1">
        <v>42365</v>
      </c>
      <c r="C1862" s="1">
        <v>42369</v>
      </c>
      <c r="D1862" t="s">
        <v>37</v>
      </c>
      <c r="E1862" t="s">
        <v>2608</v>
      </c>
      <c r="F1862" t="s">
        <v>2609</v>
      </c>
      <c r="G1862" t="s">
        <v>84</v>
      </c>
      <c r="H1862" t="s">
        <v>24</v>
      </c>
      <c r="I1862" t="s">
        <v>391</v>
      </c>
      <c r="J1862" t="s">
        <v>133</v>
      </c>
      <c r="K1862" t="s">
        <v>27</v>
      </c>
      <c r="L1862" t="s">
        <v>2724</v>
      </c>
      <c r="M1862" t="s">
        <v>29</v>
      </c>
      <c r="N1862" t="s">
        <v>30</v>
      </c>
      <c r="O1862" t="s">
        <v>2725</v>
      </c>
      <c r="P1862">
        <v>131.10400000000001</v>
      </c>
      <c r="Q1862">
        <v>2</v>
      </c>
      <c r="R1862">
        <v>8.1940000000000008</v>
      </c>
      <c r="S1862" t="s">
        <v>90</v>
      </c>
    </row>
    <row r="1863" spans="1:19" x14ac:dyDescent="0.35">
      <c r="A1863" t="s">
        <v>4095</v>
      </c>
      <c r="B1863" s="1">
        <v>42913</v>
      </c>
      <c r="C1863" s="1">
        <v>42915</v>
      </c>
      <c r="D1863" t="s">
        <v>20</v>
      </c>
      <c r="E1863" t="s">
        <v>3842</v>
      </c>
      <c r="F1863" t="s">
        <v>3843</v>
      </c>
      <c r="G1863" t="s">
        <v>84</v>
      </c>
      <c r="H1863" t="s">
        <v>24</v>
      </c>
      <c r="I1863" t="s">
        <v>183</v>
      </c>
      <c r="J1863" t="s">
        <v>184</v>
      </c>
      <c r="K1863" t="s">
        <v>51</v>
      </c>
      <c r="L1863" t="s">
        <v>557</v>
      </c>
      <c r="M1863" t="s">
        <v>29</v>
      </c>
      <c r="N1863" t="s">
        <v>53</v>
      </c>
      <c r="O1863" t="s">
        <v>558</v>
      </c>
      <c r="P1863">
        <v>126.3</v>
      </c>
      <c r="Q1863">
        <v>3</v>
      </c>
      <c r="R1863">
        <v>40.415999999999997</v>
      </c>
      <c r="S1863" t="s">
        <v>55</v>
      </c>
    </row>
    <row r="1864" spans="1:19" x14ac:dyDescent="0.35">
      <c r="A1864" t="s">
        <v>4096</v>
      </c>
      <c r="B1864" s="1">
        <v>42279</v>
      </c>
      <c r="C1864" s="1">
        <v>42281</v>
      </c>
      <c r="D1864" t="s">
        <v>81</v>
      </c>
      <c r="E1864" t="s">
        <v>1350</v>
      </c>
      <c r="F1864" t="s">
        <v>1351</v>
      </c>
      <c r="G1864" t="s">
        <v>23</v>
      </c>
      <c r="H1864" t="s">
        <v>24</v>
      </c>
      <c r="I1864" t="s">
        <v>4097</v>
      </c>
      <c r="J1864" t="s">
        <v>1508</v>
      </c>
      <c r="K1864" t="s">
        <v>51</v>
      </c>
      <c r="L1864" t="s">
        <v>166</v>
      </c>
      <c r="M1864" t="s">
        <v>29</v>
      </c>
      <c r="N1864" t="s">
        <v>53</v>
      </c>
      <c r="O1864" t="s">
        <v>167</v>
      </c>
      <c r="P1864">
        <v>11.032</v>
      </c>
      <c r="Q1864">
        <v>1</v>
      </c>
      <c r="R1864">
        <v>3.0337999999999998</v>
      </c>
      <c r="S1864" t="s">
        <v>45</v>
      </c>
    </row>
    <row r="1865" spans="1:19" x14ac:dyDescent="0.35">
      <c r="A1865" t="s">
        <v>4098</v>
      </c>
      <c r="B1865" s="1">
        <v>42768</v>
      </c>
      <c r="C1865" s="1">
        <v>42773</v>
      </c>
      <c r="D1865" t="s">
        <v>37</v>
      </c>
      <c r="E1865" t="s">
        <v>1991</v>
      </c>
      <c r="F1865" t="s">
        <v>1992</v>
      </c>
      <c r="G1865" t="s">
        <v>84</v>
      </c>
      <c r="H1865" t="s">
        <v>24</v>
      </c>
      <c r="I1865" t="s">
        <v>630</v>
      </c>
      <c r="J1865" t="s">
        <v>50</v>
      </c>
      <c r="K1865" t="s">
        <v>51</v>
      </c>
      <c r="L1865" t="s">
        <v>1001</v>
      </c>
      <c r="M1865" t="s">
        <v>29</v>
      </c>
      <c r="N1865" t="s">
        <v>53</v>
      </c>
      <c r="O1865" t="s">
        <v>1002</v>
      </c>
      <c r="P1865">
        <v>210.58</v>
      </c>
      <c r="Q1865">
        <v>2</v>
      </c>
      <c r="R1865">
        <v>12.6348</v>
      </c>
      <c r="S1865" t="s">
        <v>289</v>
      </c>
    </row>
    <row r="1866" spans="1:19" x14ac:dyDescent="0.35">
      <c r="A1866" t="s">
        <v>4099</v>
      </c>
      <c r="B1866" s="1">
        <v>42573</v>
      </c>
      <c r="C1866" s="1">
        <v>42577</v>
      </c>
      <c r="D1866" t="s">
        <v>37</v>
      </c>
      <c r="E1866" t="s">
        <v>2520</v>
      </c>
      <c r="F1866" t="s">
        <v>2521</v>
      </c>
      <c r="G1866" t="s">
        <v>84</v>
      </c>
      <c r="H1866" t="s">
        <v>24</v>
      </c>
      <c r="I1866" t="s">
        <v>149</v>
      </c>
      <c r="J1866" t="s">
        <v>1080</v>
      </c>
      <c r="K1866" t="s">
        <v>63</v>
      </c>
      <c r="L1866" t="s">
        <v>826</v>
      </c>
      <c r="M1866" t="s">
        <v>29</v>
      </c>
      <c r="N1866" t="s">
        <v>53</v>
      </c>
      <c r="O1866" t="s">
        <v>827</v>
      </c>
      <c r="P1866">
        <v>27.42</v>
      </c>
      <c r="Q1866">
        <v>3</v>
      </c>
      <c r="R1866">
        <v>9.3228000000000009</v>
      </c>
      <c r="S1866" t="s">
        <v>66</v>
      </c>
    </row>
    <row r="1867" spans="1:19" x14ac:dyDescent="0.35">
      <c r="A1867" t="s">
        <v>4100</v>
      </c>
      <c r="B1867" s="1">
        <v>42625</v>
      </c>
      <c r="C1867" s="1">
        <v>42626</v>
      </c>
      <c r="D1867" t="s">
        <v>417</v>
      </c>
      <c r="E1867" t="s">
        <v>3292</v>
      </c>
      <c r="F1867" t="s">
        <v>3293</v>
      </c>
      <c r="G1867" t="s">
        <v>94</v>
      </c>
      <c r="H1867" t="s">
        <v>24</v>
      </c>
      <c r="I1867" t="s">
        <v>856</v>
      </c>
      <c r="J1867" t="s">
        <v>172</v>
      </c>
      <c r="K1867" t="s">
        <v>51</v>
      </c>
      <c r="L1867" t="s">
        <v>994</v>
      </c>
      <c r="M1867" t="s">
        <v>29</v>
      </c>
      <c r="N1867" t="s">
        <v>34</v>
      </c>
      <c r="O1867" t="s">
        <v>995</v>
      </c>
      <c r="P1867">
        <v>83.135999999999996</v>
      </c>
      <c r="Q1867">
        <v>4</v>
      </c>
      <c r="R1867">
        <v>5.1959999999999997</v>
      </c>
      <c r="S1867" t="s">
        <v>72</v>
      </c>
    </row>
    <row r="1868" spans="1:19" x14ac:dyDescent="0.35">
      <c r="A1868" t="s">
        <v>4101</v>
      </c>
      <c r="B1868" s="1">
        <v>42553</v>
      </c>
      <c r="C1868" s="1">
        <v>42554</v>
      </c>
      <c r="D1868" t="s">
        <v>81</v>
      </c>
      <c r="E1868" t="s">
        <v>1502</v>
      </c>
      <c r="F1868" t="s">
        <v>1503</v>
      </c>
      <c r="G1868" t="s">
        <v>84</v>
      </c>
      <c r="H1868" t="s">
        <v>24</v>
      </c>
      <c r="I1868" t="s">
        <v>1859</v>
      </c>
      <c r="J1868" t="s">
        <v>86</v>
      </c>
      <c r="K1868" t="s">
        <v>87</v>
      </c>
      <c r="L1868" t="s">
        <v>846</v>
      </c>
      <c r="M1868" t="s">
        <v>29</v>
      </c>
      <c r="N1868" t="s">
        <v>34</v>
      </c>
      <c r="O1868" t="s">
        <v>847</v>
      </c>
      <c r="P1868">
        <v>528.42999999999995</v>
      </c>
      <c r="Q1868">
        <v>5</v>
      </c>
      <c r="R1868">
        <v>0</v>
      </c>
      <c r="S1868" t="s">
        <v>66</v>
      </c>
    </row>
    <row r="1869" spans="1:19" x14ac:dyDescent="0.35">
      <c r="A1869" t="s">
        <v>4102</v>
      </c>
      <c r="B1869" s="1">
        <v>43082</v>
      </c>
      <c r="C1869" s="1">
        <v>43087</v>
      </c>
      <c r="D1869" t="s">
        <v>37</v>
      </c>
      <c r="E1869" t="s">
        <v>4103</v>
      </c>
      <c r="F1869" t="s">
        <v>4104</v>
      </c>
      <c r="G1869" t="s">
        <v>84</v>
      </c>
      <c r="H1869" t="s">
        <v>24</v>
      </c>
      <c r="I1869" t="s">
        <v>165</v>
      </c>
      <c r="J1869" t="s">
        <v>114</v>
      </c>
      <c r="K1869" t="s">
        <v>63</v>
      </c>
      <c r="L1869" t="s">
        <v>701</v>
      </c>
      <c r="M1869" t="s">
        <v>29</v>
      </c>
      <c r="N1869" t="s">
        <v>30</v>
      </c>
      <c r="O1869" t="s">
        <v>702</v>
      </c>
      <c r="P1869">
        <v>287.976</v>
      </c>
      <c r="Q1869">
        <v>3</v>
      </c>
      <c r="R1869">
        <v>7.1993999999999998</v>
      </c>
      <c r="S1869" t="s">
        <v>90</v>
      </c>
    </row>
    <row r="1870" spans="1:19" x14ac:dyDescent="0.35">
      <c r="A1870" t="s">
        <v>4105</v>
      </c>
      <c r="B1870" s="1">
        <v>42064</v>
      </c>
      <c r="C1870" s="1">
        <v>42067</v>
      </c>
      <c r="D1870" t="s">
        <v>81</v>
      </c>
      <c r="E1870" t="s">
        <v>3913</v>
      </c>
      <c r="F1870" t="s">
        <v>3914</v>
      </c>
      <c r="G1870" t="s">
        <v>84</v>
      </c>
      <c r="H1870" t="s">
        <v>24</v>
      </c>
      <c r="I1870" t="s">
        <v>95</v>
      </c>
      <c r="J1870" t="s">
        <v>86</v>
      </c>
      <c r="K1870" t="s">
        <v>87</v>
      </c>
      <c r="L1870" t="s">
        <v>990</v>
      </c>
      <c r="M1870" t="s">
        <v>29</v>
      </c>
      <c r="N1870" t="s">
        <v>30</v>
      </c>
      <c r="O1870" t="s">
        <v>991</v>
      </c>
      <c r="P1870">
        <v>1227.9983999999999</v>
      </c>
      <c r="Q1870">
        <v>6</v>
      </c>
      <c r="R1870">
        <v>-36.117600000000003</v>
      </c>
      <c r="S1870" t="s">
        <v>187</v>
      </c>
    </row>
    <row r="1871" spans="1:19" x14ac:dyDescent="0.35">
      <c r="A1871" t="s">
        <v>4106</v>
      </c>
      <c r="B1871" s="1">
        <v>42628</v>
      </c>
      <c r="C1871" s="1">
        <v>42633</v>
      </c>
      <c r="D1871" t="s">
        <v>37</v>
      </c>
      <c r="E1871" t="s">
        <v>666</v>
      </c>
      <c r="F1871" t="s">
        <v>667</v>
      </c>
      <c r="G1871" t="s">
        <v>84</v>
      </c>
      <c r="H1871" t="s">
        <v>24</v>
      </c>
      <c r="I1871" t="s">
        <v>4107</v>
      </c>
      <c r="J1871" t="s">
        <v>2271</v>
      </c>
      <c r="K1871" t="s">
        <v>51</v>
      </c>
      <c r="L1871" t="s">
        <v>298</v>
      </c>
      <c r="M1871" t="s">
        <v>29</v>
      </c>
      <c r="N1871" t="s">
        <v>43</v>
      </c>
      <c r="O1871" t="s">
        <v>299</v>
      </c>
      <c r="P1871">
        <v>1128.3900000000001</v>
      </c>
      <c r="Q1871">
        <v>3</v>
      </c>
      <c r="R1871">
        <v>259.52969999999999</v>
      </c>
      <c r="S1871" t="s">
        <v>72</v>
      </c>
    </row>
    <row r="1872" spans="1:19" x14ac:dyDescent="0.35">
      <c r="A1872" t="s">
        <v>4108</v>
      </c>
      <c r="B1872" s="1">
        <v>42901</v>
      </c>
      <c r="C1872" s="1">
        <v>42905</v>
      </c>
      <c r="D1872" t="s">
        <v>37</v>
      </c>
      <c r="E1872" t="s">
        <v>1600</v>
      </c>
      <c r="F1872" t="s">
        <v>1601</v>
      </c>
      <c r="G1872" t="s">
        <v>23</v>
      </c>
      <c r="H1872" t="s">
        <v>24</v>
      </c>
      <c r="I1872" t="s">
        <v>1026</v>
      </c>
      <c r="J1872" t="s">
        <v>1027</v>
      </c>
      <c r="K1872" t="s">
        <v>27</v>
      </c>
      <c r="L1872" t="s">
        <v>1297</v>
      </c>
      <c r="M1872" t="s">
        <v>29</v>
      </c>
      <c r="N1872" t="s">
        <v>34</v>
      </c>
      <c r="O1872" t="s">
        <v>1298</v>
      </c>
      <c r="P1872">
        <v>698.35199999999998</v>
      </c>
      <c r="Q1872">
        <v>3</v>
      </c>
      <c r="R1872">
        <v>52.376399999999997</v>
      </c>
      <c r="S1872" t="s">
        <v>55</v>
      </c>
    </row>
    <row r="1873" spans="1:19" x14ac:dyDescent="0.35">
      <c r="A1873" t="s">
        <v>4108</v>
      </c>
      <c r="B1873" s="1">
        <v>42901</v>
      </c>
      <c r="C1873" s="1">
        <v>42905</v>
      </c>
      <c r="D1873" t="s">
        <v>37</v>
      </c>
      <c r="E1873" t="s">
        <v>1600</v>
      </c>
      <c r="F1873" t="s">
        <v>1601</v>
      </c>
      <c r="G1873" t="s">
        <v>23</v>
      </c>
      <c r="H1873" t="s">
        <v>24</v>
      </c>
      <c r="I1873" t="s">
        <v>1026</v>
      </c>
      <c r="J1873" t="s">
        <v>1027</v>
      </c>
      <c r="K1873" t="s">
        <v>27</v>
      </c>
      <c r="L1873" t="s">
        <v>1594</v>
      </c>
      <c r="M1873" t="s">
        <v>29</v>
      </c>
      <c r="N1873" t="s">
        <v>30</v>
      </c>
      <c r="O1873" t="s">
        <v>1595</v>
      </c>
      <c r="P1873">
        <v>77.727999999999994</v>
      </c>
      <c r="Q1873">
        <v>2</v>
      </c>
      <c r="R1873">
        <v>-3.8864000000000001</v>
      </c>
      <c r="S1873" t="s">
        <v>55</v>
      </c>
    </row>
    <row r="1874" spans="1:19" x14ac:dyDescent="0.35">
      <c r="A1874" t="s">
        <v>4109</v>
      </c>
      <c r="B1874" s="1">
        <v>42684</v>
      </c>
      <c r="C1874" s="1">
        <v>42686</v>
      </c>
      <c r="D1874" t="s">
        <v>81</v>
      </c>
      <c r="E1874" t="s">
        <v>2990</v>
      </c>
      <c r="F1874" t="s">
        <v>2991</v>
      </c>
      <c r="G1874" t="s">
        <v>23</v>
      </c>
      <c r="H1874" t="s">
        <v>24</v>
      </c>
      <c r="I1874" t="s">
        <v>3007</v>
      </c>
      <c r="J1874" t="s">
        <v>1513</v>
      </c>
      <c r="K1874" t="s">
        <v>87</v>
      </c>
      <c r="L1874" t="s">
        <v>1447</v>
      </c>
      <c r="M1874" t="s">
        <v>29</v>
      </c>
      <c r="N1874" t="s">
        <v>30</v>
      </c>
      <c r="O1874" t="s">
        <v>1448</v>
      </c>
      <c r="P1874">
        <v>341.96</v>
      </c>
      <c r="Q1874">
        <v>2</v>
      </c>
      <c r="R1874">
        <v>54.7136</v>
      </c>
      <c r="S1874" t="s">
        <v>32</v>
      </c>
    </row>
    <row r="1875" spans="1:19" x14ac:dyDescent="0.35">
      <c r="A1875" t="s">
        <v>4110</v>
      </c>
      <c r="B1875" s="1">
        <v>42625</v>
      </c>
      <c r="C1875" s="1">
        <v>42629</v>
      </c>
      <c r="D1875" t="s">
        <v>37</v>
      </c>
      <c r="E1875" t="s">
        <v>1988</v>
      </c>
      <c r="F1875" t="s">
        <v>1989</v>
      </c>
      <c r="G1875" t="s">
        <v>84</v>
      </c>
      <c r="H1875" t="s">
        <v>24</v>
      </c>
      <c r="I1875" t="s">
        <v>4111</v>
      </c>
      <c r="J1875" t="s">
        <v>114</v>
      </c>
      <c r="K1875" t="s">
        <v>63</v>
      </c>
      <c r="L1875" t="s">
        <v>2956</v>
      </c>
      <c r="M1875" t="s">
        <v>29</v>
      </c>
      <c r="N1875" t="s">
        <v>53</v>
      </c>
      <c r="O1875" t="s">
        <v>2957</v>
      </c>
      <c r="P1875">
        <v>40.479999999999997</v>
      </c>
      <c r="Q1875">
        <v>2</v>
      </c>
      <c r="R1875">
        <v>14.572800000000001</v>
      </c>
      <c r="S1875" t="s">
        <v>72</v>
      </c>
    </row>
    <row r="1876" spans="1:19" x14ac:dyDescent="0.35">
      <c r="A1876" t="s">
        <v>4112</v>
      </c>
      <c r="B1876" s="1">
        <v>42211</v>
      </c>
      <c r="C1876" s="1">
        <v>42216</v>
      </c>
      <c r="D1876" t="s">
        <v>37</v>
      </c>
      <c r="E1876" t="s">
        <v>1236</v>
      </c>
      <c r="F1876" t="s">
        <v>1237</v>
      </c>
      <c r="G1876" t="s">
        <v>84</v>
      </c>
      <c r="H1876" t="s">
        <v>24</v>
      </c>
      <c r="I1876" t="s">
        <v>1293</v>
      </c>
      <c r="J1876" t="s">
        <v>511</v>
      </c>
      <c r="K1876" t="s">
        <v>51</v>
      </c>
      <c r="L1876" t="s">
        <v>812</v>
      </c>
      <c r="M1876" t="s">
        <v>29</v>
      </c>
      <c r="N1876" t="s">
        <v>34</v>
      </c>
      <c r="O1876" t="s">
        <v>813</v>
      </c>
      <c r="P1876">
        <v>266.35199999999998</v>
      </c>
      <c r="Q1876">
        <v>3</v>
      </c>
      <c r="R1876">
        <v>13.317600000000001</v>
      </c>
      <c r="S1876" t="s">
        <v>66</v>
      </c>
    </row>
    <row r="1877" spans="1:19" x14ac:dyDescent="0.35">
      <c r="A1877" t="s">
        <v>4113</v>
      </c>
      <c r="B1877" s="1">
        <v>42323</v>
      </c>
      <c r="C1877" s="1">
        <v>42327</v>
      </c>
      <c r="D1877" t="s">
        <v>37</v>
      </c>
      <c r="E1877" t="s">
        <v>2587</v>
      </c>
      <c r="F1877" t="s">
        <v>2588</v>
      </c>
      <c r="G1877" t="s">
        <v>94</v>
      </c>
      <c r="H1877" t="s">
        <v>24</v>
      </c>
      <c r="I1877" t="s">
        <v>1067</v>
      </c>
      <c r="J1877" t="s">
        <v>707</v>
      </c>
      <c r="K1877" t="s">
        <v>27</v>
      </c>
      <c r="L1877" t="s">
        <v>688</v>
      </c>
      <c r="M1877" t="s">
        <v>29</v>
      </c>
      <c r="N1877" t="s">
        <v>53</v>
      </c>
      <c r="O1877" t="s">
        <v>689</v>
      </c>
      <c r="P1877">
        <v>39.96</v>
      </c>
      <c r="Q1877">
        <v>2</v>
      </c>
      <c r="R1877">
        <v>14.3856</v>
      </c>
      <c r="S1877" t="s">
        <v>32</v>
      </c>
    </row>
    <row r="1878" spans="1:19" x14ac:dyDescent="0.35">
      <c r="A1878" t="s">
        <v>4114</v>
      </c>
      <c r="B1878" s="1">
        <v>42187</v>
      </c>
      <c r="C1878" s="1">
        <v>42189</v>
      </c>
      <c r="D1878" t="s">
        <v>81</v>
      </c>
      <c r="E1878" t="s">
        <v>1526</v>
      </c>
      <c r="F1878" t="s">
        <v>1527</v>
      </c>
      <c r="G1878" t="s">
        <v>84</v>
      </c>
      <c r="H1878" t="s">
        <v>24</v>
      </c>
      <c r="I1878" t="s">
        <v>2008</v>
      </c>
      <c r="J1878" t="s">
        <v>1027</v>
      </c>
      <c r="K1878" t="s">
        <v>27</v>
      </c>
      <c r="L1878" t="s">
        <v>1112</v>
      </c>
      <c r="M1878" t="s">
        <v>29</v>
      </c>
      <c r="N1878" t="s">
        <v>53</v>
      </c>
      <c r="O1878" t="s">
        <v>1113</v>
      </c>
      <c r="P1878">
        <v>159.84</v>
      </c>
      <c r="Q1878">
        <v>10</v>
      </c>
      <c r="R1878">
        <v>45.954000000000001</v>
      </c>
      <c r="S1878" t="s">
        <v>66</v>
      </c>
    </row>
    <row r="1879" spans="1:19" x14ac:dyDescent="0.35">
      <c r="A1879" t="s">
        <v>4115</v>
      </c>
      <c r="B1879" s="1">
        <v>42258</v>
      </c>
      <c r="C1879" s="1">
        <v>42265</v>
      </c>
      <c r="D1879" t="s">
        <v>37</v>
      </c>
      <c r="E1879" t="s">
        <v>1642</v>
      </c>
      <c r="F1879" t="s">
        <v>1643</v>
      </c>
      <c r="G1879" t="s">
        <v>94</v>
      </c>
      <c r="H1879" t="s">
        <v>24</v>
      </c>
      <c r="I1879" t="s">
        <v>3554</v>
      </c>
      <c r="J1879" t="s">
        <v>354</v>
      </c>
      <c r="K1879" t="s">
        <v>63</v>
      </c>
      <c r="L1879" t="s">
        <v>1903</v>
      </c>
      <c r="M1879" t="s">
        <v>29</v>
      </c>
      <c r="N1879" t="s">
        <v>53</v>
      </c>
      <c r="O1879" t="s">
        <v>1904</v>
      </c>
      <c r="P1879">
        <v>8.92</v>
      </c>
      <c r="Q1879">
        <v>4</v>
      </c>
      <c r="R1879">
        <v>3.9247999999999998</v>
      </c>
      <c r="S1879" t="s">
        <v>72</v>
      </c>
    </row>
    <row r="1880" spans="1:19" x14ac:dyDescent="0.35">
      <c r="A1880" t="s">
        <v>4116</v>
      </c>
      <c r="B1880" s="1">
        <v>41902</v>
      </c>
      <c r="C1880" s="1">
        <v>41905</v>
      </c>
      <c r="D1880" t="s">
        <v>81</v>
      </c>
      <c r="E1880" t="s">
        <v>4117</v>
      </c>
      <c r="F1880" t="s">
        <v>4118</v>
      </c>
      <c r="G1880" t="s">
        <v>23</v>
      </c>
      <c r="H1880" t="s">
        <v>24</v>
      </c>
      <c r="I1880" t="s">
        <v>125</v>
      </c>
      <c r="J1880" t="s">
        <v>126</v>
      </c>
      <c r="K1880" t="s">
        <v>87</v>
      </c>
      <c r="L1880" t="s">
        <v>2613</v>
      </c>
      <c r="M1880" t="s">
        <v>29</v>
      </c>
      <c r="N1880" t="s">
        <v>30</v>
      </c>
      <c r="O1880" t="s">
        <v>2614</v>
      </c>
      <c r="P1880">
        <v>493.43</v>
      </c>
      <c r="Q1880">
        <v>5</v>
      </c>
      <c r="R1880">
        <v>-70.489999999999995</v>
      </c>
      <c r="S1880" t="s">
        <v>72</v>
      </c>
    </row>
    <row r="1881" spans="1:19" x14ac:dyDescent="0.35">
      <c r="A1881" t="s">
        <v>4119</v>
      </c>
      <c r="B1881" s="1">
        <v>43070</v>
      </c>
      <c r="C1881" s="1">
        <v>43075</v>
      </c>
      <c r="D1881" t="s">
        <v>37</v>
      </c>
      <c r="E1881" t="s">
        <v>2015</v>
      </c>
      <c r="F1881" t="s">
        <v>2016</v>
      </c>
      <c r="G1881" t="s">
        <v>84</v>
      </c>
      <c r="H1881" t="s">
        <v>24</v>
      </c>
      <c r="I1881" t="s">
        <v>183</v>
      </c>
      <c r="J1881" t="s">
        <v>184</v>
      </c>
      <c r="K1881" t="s">
        <v>51</v>
      </c>
      <c r="L1881" t="s">
        <v>414</v>
      </c>
      <c r="M1881" t="s">
        <v>29</v>
      </c>
      <c r="N1881" t="s">
        <v>53</v>
      </c>
      <c r="O1881" t="s">
        <v>415</v>
      </c>
      <c r="P1881">
        <v>70.680000000000007</v>
      </c>
      <c r="Q1881">
        <v>12</v>
      </c>
      <c r="R1881">
        <v>31.0992</v>
      </c>
      <c r="S1881" t="s">
        <v>90</v>
      </c>
    </row>
    <row r="1882" spans="1:19" x14ac:dyDescent="0.35">
      <c r="A1882" t="s">
        <v>4120</v>
      </c>
      <c r="B1882" s="1">
        <v>43070</v>
      </c>
      <c r="C1882" s="1">
        <v>43076</v>
      </c>
      <c r="D1882" t="s">
        <v>37</v>
      </c>
      <c r="E1882" t="s">
        <v>1470</v>
      </c>
      <c r="F1882" t="s">
        <v>1471</v>
      </c>
      <c r="G1882" t="s">
        <v>94</v>
      </c>
      <c r="H1882" t="s">
        <v>24</v>
      </c>
      <c r="I1882" t="s">
        <v>4121</v>
      </c>
      <c r="J1882" t="s">
        <v>50</v>
      </c>
      <c r="K1882" t="s">
        <v>51</v>
      </c>
      <c r="L1882" t="s">
        <v>716</v>
      </c>
      <c r="M1882" t="s">
        <v>29</v>
      </c>
      <c r="N1882" t="s">
        <v>53</v>
      </c>
      <c r="O1882" t="s">
        <v>717</v>
      </c>
      <c r="P1882">
        <v>629.64</v>
      </c>
      <c r="Q1882">
        <v>9</v>
      </c>
      <c r="R1882">
        <v>107.03879999999999</v>
      </c>
      <c r="S1882" t="s">
        <v>90</v>
      </c>
    </row>
    <row r="1883" spans="1:19" x14ac:dyDescent="0.35">
      <c r="A1883" t="s">
        <v>4122</v>
      </c>
      <c r="B1883" s="1">
        <v>42629</v>
      </c>
      <c r="C1883" s="1">
        <v>42631</v>
      </c>
      <c r="D1883" t="s">
        <v>81</v>
      </c>
      <c r="E1883" t="s">
        <v>4123</v>
      </c>
      <c r="F1883" t="s">
        <v>4124</v>
      </c>
      <c r="G1883" t="s">
        <v>94</v>
      </c>
      <c r="H1883" t="s">
        <v>24</v>
      </c>
      <c r="I1883" t="s">
        <v>339</v>
      </c>
      <c r="J1883" t="s">
        <v>658</v>
      </c>
      <c r="K1883" t="s">
        <v>27</v>
      </c>
      <c r="L1883" t="s">
        <v>127</v>
      </c>
      <c r="M1883" t="s">
        <v>29</v>
      </c>
      <c r="N1883" t="s">
        <v>34</v>
      </c>
      <c r="O1883" t="s">
        <v>128</v>
      </c>
      <c r="P1883">
        <v>121.78</v>
      </c>
      <c r="Q1883">
        <v>2</v>
      </c>
      <c r="R1883">
        <v>30.445</v>
      </c>
      <c r="S1883" t="s">
        <v>72</v>
      </c>
    </row>
    <row r="1884" spans="1:19" x14ac:dyDescent="0.35">
      <c r="A1884" t="s">
        <v>4125</v>
      </c>
      <c r="B1884" s="1">
        <v>42339</v>
      </c>
      <c r="C1884" s="1">
        <v>42344</v>
      </c>
      <c r="D1884" t="s">
        <v>37</v>
      </c>
      <c r="E1884" t="s">
        <v>3921</v>
      </c>
      <c r="F1884" t="s">
        <v>3922</v>
      </c>
      <c r="G1884" t="s">
        <v>94</v>
      </c>
      <c r="H1884" t="s">
        <v>24</v>
      </c>
      <c r="I1884" t="s">
        <v>630</v>
      </c>
      <c r="J1884" t="s">
        <v>50</v>
      </c>
      <c r="K1884" t="s">
        <v>51</v>
      </c>
      <c r="L1884" t="s">
        <v>1086</v>
      </c>
      <c r="M1884" t="s">
        <v>29</v>
      </c>
      <c r="N1884" t="s">
        <v>34</v>
      </c>
      <c r="O1884" t="s">
        <v>1087</v>
      </c>
      <c r="P1884">
        <v>2676.672</v>
      </c>
      <c r="Q1884">
        <v>9</v>
      </c>
      <c r="R1884">
        <v>267.66719999999998</v>
      </c>
      <c r="S1884" t="s">
        <v>90</v>
      </c>
    </row>
    <row r="1885" spans="1:19" x14ac:dyDescent="0.35">
      <c r="A1885" t="s">
        <v>4126</v>
      </c>
      <c r="B1885" s="1">
        <v>41856</v>
      </c>
      <c r="C1885" s="1">
        <v>41863</v>
      </c>
      <c r="D1885" t="s">
        <v>37</v>
      </c>
      <c r="E1885" t="s">
        <v>2781</v>
      </c>
      <c r="F1885" t="s">
        <v>2782</v>
      </c>
      <c r="G1885" t="s">
        <v>23</v>
      </c>
      <c r="H1885" t="s">
        <v>24</v>
      </c>
      <c r="I1885" t="s">
        <v>3523</v>
      </c>
      <c r="J1885" t="s">
        <v>86</v>
      </c>
      <c r="K1885" t="s">
        <v>87</v>
      </c>
      <c r="L1885" t="s">
        <v>1452</v>
      </c>
      <c r="M1885" t="s">
        <v>29</v>
      </c>
      <c r="N1885" t="s">
        <v>43</v>
      </c>
      <c r="O1885" t="s">
        <v>1453</v>
      </c>
      <c r="P1885">
        <v>489.23</v>
      </c>
      <c r="Q1885">
        <v>2</v>
      </c>
      <c r="R1885">
        <v>41.933999999999997</v>
      </c>
      <c r="S1885" t="s">
        <v>245</v>
      </c>
    </row>
    <row r="1886" spans="1:19" x14ac:dyDescent="0.35">
      <c r="A1886" t="s">
        <v>4127</v>
      </c>
      <c r="B1886" s="1">
        <v>42597</v>
      </c>
      <c r="C1886" s="1">
        <v>42604</v>
      </c>
      <c r="D1886" t="s">
        <v>37</v>
      </c>
      <c r="E1886" t="s">
        <v>590</v>
      </c>
      <c r="F1886" t="s">
        <v>591</v>
      </c>
      <c r="G1886" t="s">
        <v>23</v>
      </c>
      <c r="H1886" t="s">
        <v>24</v>
      </c>
      <c r="I1886" t="s">
        <v>49</v>
      </c>
      <c r="J1886" t="s">
        <v>50</v>
      </c>
      <c r="K1886" t="s">
        <v>51</v>
      </c>
      <c r="L1886" t="s">
        <v>708</v>
      </c>
      <c r="M1886" t="s">
        <v>29</v>
      </c>
      <c r="N1886" t="s">
        <v>53</v>
      </c>
      <c r="O1886" t="s">
        <v>709</v>
      </c>
      <c r="P1886">
        <v>312.02999999999997</v>
      </c>
      <c r="Q1886">
        <v>3</v>
      </c>
      <c r="R1886">
        <v>43.684199999999997</v>
      </c>
      <c r="S1886" t="s">
        <v>245</v>
      </c>
    </row>
    <row r="1887" spans="1:19" x14ac:dyDescent="0.35">
      <c r="A1887" t="s">
        <v>4128</v>
      </c>
      <c r="B1887" s="1">
        <v>42521</v>
      </c>
      <c r="C1887" s="1">
        <v>42525</v>
      </c>
      <c r="D1887" t="s">
        <v>37</v>
      </c>
      <c r="E1887" t="s">
        <v>1198</v>
      </c>
      <c r="F1887" t="s">
        <v>1199</v>
      </c>
      <c r="G1887" t="s">
        <v>23</v>
      </c>
      <c r="H1887" t="s">
        <v>24</v>
      </c>
      <c r="I1887" t="s">
        <v>504</v>
      </c>
      <c r="J1887" t="s">
        <v>126</v>
      </c>
      <c r="K1887" t="s">
        <v>87</v>
      </c>
      <c r="L1887" t="s">
        <v>3910</v>
      </c>
      <c r="M1887" t="s">
        <v>29</v>
      </c>
      <c r="N1887" t="s">
        <v>53</v>
      </c>
      <c r="O1887" t="s">
        <v>3911</v>
      </c>
      <c r="P1887">
        <v>32.064</v>
      </c>
      <c r="Q1887">
        <v>3</v>
      </c>
      <c r="R1887">
        <v>-12.8256</v>
      </c>
      <c r="S1887" t="s">
        <v>153</v>
      </c>
    </row>
    <row r="1888" spans="1:19" x14ac:dyDescent="0.35">
      <c r="A1888" t="s">
        <v>4128</v>
      </c>
      <c r="B1888" s="1">
        <v>42521</v>
      </c>
      <c r="C1888" s="1">
        <v>42525</v>
      </c>
      <c r="D1888" t="s">
        <v>37</v>
      </c>
      <c r="E1888" t="s">
        <v>1198</v>
      </c>
      <c r="F1888" t="s">
        <v>1199</v>
      </c>
      <c r="G1888" t="s">
        <v>23</v>
      </c>
      <c r="H1888" t="s">
        <v>24</v>
      </c>
      <c r="I1888" t="s">
        <v>504</v>
      </c>
      <c r="J1888" t="s">
        <v>126</v>
      </c>
      <c r="K1888" t="s">
        <v>87</v>
      </c>
      <c r="L1888" t="s">
        <v>2171</v>
      </c>
      <c r="M1888" t="s">
        <v>29</v>
      </c>
      <c r="N1888" t="s">
        <v>34</v>
      </c>
      <c r="O1888" t="s">
        <v>2172</v>
      </c>
      <c r="P1888">
        <v>191.07900000000001</v>
      </c>
      <c r="Q1888">
        <v>3</v>
      </c>
      <c r="R1888">
        <v>-38.215800000000002</v>
      </c>
      <c r="S1888" t="s">
        <v>153</v>
      </c>
    </row>
    <row r="1889" spans="1:19" x14ac:dyDescent="0.35">
      <c r="A1889" t="s">
        <v>4129</v>
      </c>
      <c r="B1889" s="1">
        <v>41731</v>
      </c>
      <c r="C1889" s="1">
        <v>41737</v>
      </c>
      <c r="D1889" t="s">
        <v>37</v>
      </c>
      <c r="E1889" t="s">
        <v>2567</v>
      </c>
      <c r="F1889" t="s">
        <v>2568</v>
      </c>
      <c r="G1889" t="s">
        <v>84</v>
      </c>
      <c r="H1889" t="s">
        <v>24</v>
      </c>
      <c r="I1889" t="s">
        <v>3530</v>
      </c>
      <c r="J1889" t="s">
        <v>707</v>
      </c>
      <c r="K1889" t="s">
        <v>27</v>
      </c>
      <c r="L1889" t="s">
        <v>3148</v>
      </c>
      <c r="M1889" t="s">
        <v>29</v>
      </c>
      <c r="N1889" t="s">
        <v>53</v>
      </c>
      <c r="O1889" t="s">
        <v>3149</v>
      </c>
      <c r="P1889">
        <v>177.68</v>
      </c>
      <c r="Q1889">
        <v>2</v>
      </c>
      <c r="R1889">
        <v>46.196800000000003</v>
      </c>
      <c r="S1889" t="s">
        <v>107</v>
      </c>
    </row>
    <row r="1890" spans="1:19" x14ac:dyDescent="0.35">
      <c r="A1890" t="s">
        <v>4130</v>
      </c>
      <c r="B1890" s="1">
        <v>42647</v>
      </c>
      <c r="C1890" s="1">
        <v>42651</v>
      </c>
      <c r="D1890" t="s">
        <v>37</v>
      </c>
      <c r="E1890" t="s">
        <v>2567</v>
      </c>
      <c r="F1890" t="s">
        <v>2568</v>
      </c>
      <c r="G1890" t="s">
        <v>84</v>
      </c>
      <c r="H1890" t="s">
        <v>24</v>
      </c>
      <c r="I1890" t="s">
        <v>4131</v>
      </c>
      <c r="J1890" t="s">
        <v>41</v>
      </c>
      <c r="K1890" t="s">
        <v>27</v>
      </c>
      <c r="L1890" t="s">
        <v>950</v>
      </c>
      <c r="M1890" t="s">
        <v>29</v>
      </c>
      <c r="N1890" t="s">
        <v>53</v>
      </c>
      <c r="O1890" t="s">
        <v>951</v>
      </c>
      <c r="P1890">
        <v>11.568</v>
      </c>
      <c r="Q1890">
        <v>3</v>
      </c>
      <c r="R1890">
        <v>2.6027999999999998</v>
      </c>
      <c r="S1890" t="s">
        <v>45</v>
      </c>
    </row>
    <row r="1891" spans="1:19" x14ac:dyDescent="0.35">
      <c r="A1891" t="s">
        <v>4132</v>
      </c>
      <c r="B1891" s="1">
        <v>42399</v>
      </c>
      <c r="C1891" s="1">
        <v>42403</v>
      </c>
      <c r="D1891" t="s">
        <v>37</v>
      </c>
      <c r="E1891" t="s">
        <v>4133</v>
      </c>
      <c r="F1891" t="s">
        <v>4134</v>
      </c>
      <c r="G1891" t="s">
        <v>23</v>
      </c>
      <c r="H1891" t="s">
        <v>24</v>
      </c>
      <c r="I1891" t="s">
        <v>993</v>
      </c>
      <c r="J1891" t="s">
        <v>126</v>
      </c>
      <c r="K1891" t="s">
        <v>87</v>
      </c>
      <c r="L1891" t="s">
        <v>603</v>
      </c>
      <c r="M1891" t="s">
        <v>29</v>
      </c>
      <c r="N1891" t="s">
        <v>43</v>
      </c>
      <c r="O1891" t="s">
        <v>604</v>
      </c>
      <c r="P1891">
        <v>626.1</v>
      </c>
      <c r="Q1891">
        <v>3</v>
      </c>
      <c r="R1891">
        <v>-538.44600000000003</v>
      </c>
      <c r="S1891" t="s">
        <v>161</v>
      </c>
    </row>
    <row r="1892" spans="1:19" x14ac:dyDescent="0.35">
      <c r="A1892" t="s">
        <v>4135</v>
      </c>
      <c r="B1892" s="1">
        <v>42107</v>
      </c>
      <c r="C1892" s="1">
        <v>42111</v>
      </c>
      <c r="D1892" t="s">
        <v>37</v>
      </c>
      <c r="E1892" t="s">
        <v>3043</v>
      </c>
      <c r="F1892" t="s">
        <v>3044</v>
      </c>
      <c r="G1892" t="s">
        <v>23</v>
      </c>
      <c r="H1892" t="s">
        <v>24</v>
      </c>
      <c r="I1892" t="s">
        <v>1859</v>
      </c>
      <c r="J1892" t="s">
        <v>86</v>
      </c>
      <c r="K1892" t="s">
        <v>87</v>
      </c>
      <c r="L1892" t="s">
        <v>690</v>
      </c>
      <c r="M1892" t="s">
        <v>29</v>
      </c>
      <c r="N1892" t="s">
        <v>43</v>
      </c>
      <c r="O1892" t="s">
        <v>691</v>
      </c>
      <c r="P1892">
        <v>609.98</v>
      </c>
      <c r="Q1892">
        <v>4</v>
      </c>
      <c r="R1892">
        <v>-113.282</v>
      </c>
      <c r="S1892" t="s">
        <v>107</v>
      </c>
    </row>
    <row r="1893" spans="1:19" x14ac:dyDescent="0.35">
      <c r="A1893" t="s">
        <v>4135</v>
      </c>
      <c r="B1893" s="1">
        <v>42107</v>
      </c>
      <c r="C1893" s="1">
        <v>42111</v>
      </c>
      <c r="D1893" t="s">
        <v>37</v>
      </c>
      <c r="E1893" t="s">
        <v>3043</v>
      </c>
      <c r="F1893" t="s">
        <v>3044</v>
      </c>
      <c r="G1893" t="s">
        <v>23</v>
      </c>
      <c r="H1893" t="s">
        <v>24</v>
      </c>
      <c r="I1893" t="s">
        <v>1859</v>
      </c>
      <c r="J1893" t="s">
        <v>86</v>
      </c>
      <c r="K1893" t="s">
        <v>87</v>
      </c>
      <c r="L1893" t="s">
        <v>1275</v>
      </c>
      <c r="M1893" t="s">
        <v>29</v>
      </c>
      <c r="N1893" t="s">
        <v>43</v>
      </c>
      <c r="O1893" t="s">
        <v>1276</v>
      </c>
      <c r="P1893">
        <v>211.37200000000001</v>
      </c>
      <c r="Q1893">
        <v>2</v>
      </c>
      <c r="R1893">
        <v>-45.293999999999997</v>
      </c>
      <c r="S1893" t="s">
        <v>107</v>
      </c>
    </row>
    <row r="1894" spans="1:19" x14ac:dyDescent="0.35">
      <c r="A1894" t="s">
        <v>4136</v>
      </c>
      <c r="B1894" s="1">
        <v>43087</v>
      </c>
      <c r="C1894" s="1">
        <v>43093</v>
      </c>
      <c r="D1894" t="s">
        <v>37</v>
      </c>
      <c r="E1894" t="s">
        <v>4019</v>
      </c>
      <c r="F1894" t="s">
        <v>4020</v>
      </c>
      <c r="G1894" t="s">
        <v>84</v>
      </c>
      <c r="H1894" t="s">
        <v>24</v>
      </c>
      <c r="I1894" t="s">
        <v>896</v>
      </c>
      <c r="J1894" t="s">
        <v>230</v>
      </c>
      <c r="K1894" t="s">
        <v>87</v>
      </c>
      <c r="L1894" t="s">
        <v>3573</v>
      </c>
      <c r="M1894" t="s">
        <v>29</v>
      </c>
      <c r="N1894" t="s">
        <v>53</v>
      </c>
      <c r="O1894" t="s">
        <v>3574</v>
      </c>
      <c r="P1894">
        <v>99.95</v>
      </c>
      <c r="Q1894">
        <v>5</v>
      </c>
      <c r="R1894">
        <v>22.988499999999998</v>
      </c>
      <c r="S1894" t="s">
        <v>90</v>
      </c>
    </row>
    <row r="1895" spans="1:19" x14ac:dyDescent="0.35">
      <c r="A1895" t="s">
        <v>4137</v>
      </c>
      <c r="B1895" s="1">
        <v>42443</v>
      </c>
      <c r="C1895" s="1">
        <v>42448</v>
      </c>
      <c r="D1895" t="s">
        <v>37</v>
      </c>
      <c r="E1895" t="s">
        <v>3488</v>
      </c>
      <c r="F1895" t="s">
        <v>3489</v>
      </c>
      <c r="G1895" t="s">
        <v>84</v>
      </c>
      <c r="H1895" t="s">
        <v>24</v>
      </c>
      <c r="I1895" t="s">
        <v>4138</v>
      </c>
      <c r="J1895" t="s">
        <v>230</v>
      </c>
      <c r="K1895" t="s">
        <v>87</v>
      </c>
      <c r="L1895" t="s">
        <v>1138</v>
      </c>
      <c r="M1895" t="s">
        <v>29</v>
      </c>
      <c r="N1895" t="s">
        <v>53</v>
      </c>
      <c r="O1895" t="s">
        <v>1139</v>
      </c>
      <c r="P1895">
        <v>16.739999999999998</v>
      </c>
      <c r="Q1895">
        <v>2</v>
      </c>
      <c r="R1895">
        <v>4.3524000000000003</v>
      </c>
      <c r="S1895" t="s">
        <v>187</v>
      </c>
    </row>
    <row r="1896" spans="1:19" x14ac:dyDescent="0.35">
      <c r="A1896" t="s">
        <v>4139</v>
      </c>
      <c r="B1896" s="1">
        <v>43018</v>
      </c>
      <c r="C1896" s="1">
        <v>43024</v>
      </c>
      <c r="D1896" t="s">
        <v>37</v>
      </c>
      <c r="E1896" t="s">
        <v>3339</v>
      </c>
      <c r="F1896" t="s">
        <v>3340</v>
      </c>
      <c r="G1896" t="s">
        <v>23</v>
      </c>
      <c r="H1896" t="s">
        <v>24</v>
      </c>
      <c r="I1896" t="s">
        <v>171</v>
      </c>
      <c r="J1896" t="s">
        <v>126</v>
      </c>
      <c r="K1896" t="s">
        <v>87</v>
      </c>
      <c r="L1896" t="s">
        <v>3207</v>
      </c>
      <c r="M1896" t="s">
        <v>29</v>
      </c>
      <c r="N1896" t="s">
        <v>34</v>
      </c>
      <c r="O1896" t="s">
        <v>3208</v>
      </c>
      <c r="P1896">
        <v>239.358</v>
      </c>
      <c r="Q1896">
        <v>3</v>
      </c>
      <c r="R1896">
        <v>-47.871600000000001</v>
      </c>
      <c r="S1896" t="s">
        <v>45</v>
      </c>
    </row>
    <row r="1897" spans="1:19" x14ac:dyDescent="0.35">
      <c r="A1897" t="s">
        <v>4140</v>
      </c>
      <c r="B1897" s="1">
        <v>43091</v>
      </c>
      <c r="C1897" s="1">
        <v>43097</v>
      </c>
      <c r="D1897" t="s">
        <v>37</v>
      </c>
      <c r="E1897" t="s">
        <v>4141</v>
      </c>
      <c r="F1897" t="s">
        <v>4142</v>
      </c>
      <c r="G1897" t="s">
        <v>23</v>
      </c>
      <c r="H1897" t="s">
        <v>24</v>
      </c>
      <c r="I1897" t="s">
        <v>468</v>
      </c>
      <c r="J1897" t="s">
        <v>133</v>
      </c>
      <c r="K1897" t="s">
        <v>27</v>
      </c>
      <c r="L1897" t="s">
        <v>334</v>
      </c>
      <c r="M1897" t="s">
        <v>29</v>
      </c>
      <c r="N1897" t="s">
        <v>43</v>
      </c>
      <c r="O1897" t="s">
        <v>335</v>
      </c>
      <c r="P1897">
        <v>934.95600000000002</v>
      </c>
      <c r="Q1897">
        <v>6</v>
      </c>
      <c r="R1897">
        <v>-249.32159999999999</v>
      </c>
      <c r="S1897" t="s">
        <v>90</v>
      </c>
    </row>
    <row r="1898" spans="1:19" x14ac:dyDescent="0.35">
      <c r="A1898" t="s">
        <v>4143</v>
      </c>
      <c r="B1898" s="1">
        <v>41859</v>
      </c>
      <c r="C1898" s="1">
        <v>41861</v>
      </c>
      <c r="D1898" t="s">
        <v>20</v>
      </c>
      <c r="E1898" t="s">
        <v>956</v>
      </c>
      <c r="F1898" t="s">
        <v>957</v>
      </c>
      <c r="G1898" t="s">
        <v>23</v>
      </c>
      <c r="H1898" t="s">
        <v>24</v>
      </c>
      <c r="I1898" t="s">
        <v>597</v>
      </c>
      <c r="J1898" t="s">
        <v>41</v>
      </c>
      <c r="K1898" t="s">
        <v>27</v>
      </c>
      <c r="L1898" t="s">
        <v>1594</v>
      </c>
      <c r="M1898" t="s">
        <v>29</v>
      </c>
      <c r="N1898" t="s">
        <v>30</v>
      </c>
      <c r="O1898" t="s">
        <v>1595</v>
      </c>
      <c r="P1898">
        <v>155.45599999999999</v>
      </c>
      <c r="Q1898">
        <v>4</v>
      </c>
      <c r="R1898">
        <v>-7.7728000000000002</v>
      </c>
      <c r="S1898" t="s">
        <v>245</v>
      </c>
    </row>
    <row r="1899" spans="1:19" x14ac:dyDescent="0.35">
      <c r="A1899" t="s">
        <v>4144</v>
      </c>
      <c r="B1899" s="1">
        <v>43094</v>
      </c>
      <c r="C1899" s="1">
        <v>43097</v>
      </c>
      <c r="D1899" t="s">
        <v>81</v>
      </c>
      <c r="E1899" t="s">
        <v>4145</v>
      </c>
      <c r="F1899" t="s">
        <v>4146</v>
      </c>
      <c r="G1899" t="s">
        <v>23</v>
      </c>
      <c r="H1899" t="s">
        <v>24</v>
      </c>
      <c r="I1899" t="s">
        <v>2041</v>
      </c>
      <c r="J1899" t="s">
        <v>41</v>
      </c>
      <c r="K1899" t="s">
        <v>27</v>
      </c>
      <c r="L1899" t="s">
        <v>2180</v>
      </c>
      <c r="M1899" t="s">
        <v>29</v>
      </c>
      <c r="N1899" t="s">
        <v>53</v>
      </c>
      <c r="O1899" t="s">
        <v>2181</v>
      </c>
      <c r="P1899">
        <v>21</v>
      </c>
      <c r="Q1899">
        <v>3</v>
      </c>
      <c r="R1899">
        <v>5.7750000000000004</v>
      </c>
      <c r="S1899" t="s">
        <v>90</v>
      </c>
    </row>
    <row r="1900" spans="1:19" x14ac:dyDescent="0.35">
      <c r="A1900" t="s">
        <v>4147</v>
      </c>
      <c r="B1900" s="1">
        <v>43064</v>
      </c>
      <c r="C1900" s="1">
        <v>43069</v>
      </c>
      <c r="D1900" t="s">
        <v>37</v>
      </c>
      <c r="E1900" t="s">
        <v>536</v>
      </c>
      <c r="F1900" t="s">
        <v>537</v>
      </c>
      <c r="G1900" t="s">
        <v>23</v>
      </c>
      <c r="H1900" t="s">
        <v>24</v>
      </c>
      <c r="I1900" t="s">
        <v>95</v>
      </c>
      <c r="J1900" t="s">
        <v>86</v>
      </c>
      <c r="K1900" t="s">
        <v>87</v>
      </c>
      <c r="L1900" t="s">
        <v>1073</v>
      </c>
      <c r="M1900" t="s">
        <v>29</v>
      </c>
      <c r="N1900" t="s">
        <v>34</v>
      </c>
      <c r="O1900" t="s">
        <v>1074</v>
      </c>
      <c r="P1900">
        <v>853.93</v>
      </c>
      <c r="Q1900">
        <v>5</v>
      </c>
      <c r="R1900">
        <v>-24.398</v>
      </c>
      <c r="S1900" t="s">
        <v>32</v>
      </c>
    </row>
    <row r="1901" spans="1:19" x14ac:dyDescent="0.35">
      <c r="A1901" t="s">
        <v>4148</v>
      </c>
      <c r="B1901" s="1">
        <v>42679</v>
      </c>
      <c r="C1901" s="1">
        <v>42681</v>
      </c>
      <c r="D1901" t="s">
        <v>81</v>
      </c>
      <c r="E1901" t="s">
        <v>3436</v>
      </c>
      <c r="F1901" t="s">
        <v>3437</v>
      </c>
      <c r="G1901" t="s">
        <v>23</v>
      </c>
      <c r="H1901" t="s">
        <v>24</v>
      </c>
      <c r="I1901" t="s">
        <v>3530</v>
      </c>
      <c r="J1901" t="s">
        <v>707</v>
      </c>
      <c r="K1901" t="s">
        <v>27</v>
      </c>
      <c r="L1901" t="s">
        <v>1948</v>
      </c>
      <c r="M1901" t="s">
        <v>29</v>
      </c>
      <c r="N1901" t="s">
        <v>53</v>
      </c>
      <c r="O1901" t="s">
        <v>1949</v>
      </c>
      <c r="P1901">
        <v>273.95999999999998</v>
      </c>
      <c r="Q1901">
        <v>2</v>
      </c>
      <c r="R1901">
        <v>71.229600000000005</v>
      </c>
      <c r="S1901" t="s">
        <v>32</v>
      </c>
    </row>
    <row r="1902" spans="1:19" x14ac:dyDescent="0.35">
      <c r="A1902" t="s">
        <v>4148</v>
      </c>
      <c r="B1902" s="1">
        <v>42679</v>
      </c>
      <c r="C1902" s="1">
        <v>42681</v>
      </c>
      <c r="D1902" t="s">
        <v>81</v>
      </c>
      <c r="E1902" t="s">
        <v>3436</v>
      </c>
      <c r="F1902" t="s">
        <v>3437</v>
      </c>
      <c r="G1902" t="s">
        <v>23</v>
      </c>
      <c r="H1902" t="s">
        <v>24</v>
      </c>
      <c r="I1902" t="s">
        <v>3530</v>
      </c>
      <c r="J1902" t="s">
        <v>707</v>
      </c>
      <c r="K1902" t="s">
        <v>27</v>
      </c>
      <c r="L1902" t="s">
        <v>3667</v>
      </c>
      <c r="M1902" t="s">
        <v>29</v>
      </c>
      <c r="N1902" t="s">
        <v>53</v>
      </c>
      <c r="O1902" t="s">
        <v>3668</v>
      </c>
      <c r="P1902">
        <v>756.8</v>
      </c>
      <c r="Q1902">
        <v>5</v>
      </c>
      <c r="R1902">
        <v>75.680000000000007</v>
      </c>
      <c r="S1902" t="s">
        <v>32</v>
      </c>
    </row>
    <row r="1903" spans="1:19" x14ac:dyDescent="0.35">
      <c r="A1903" t="s">
        <v>4149</v>
      </c>
      <c r="B1903" s="1">
        <v>42677</v>
      </c>
      <c r="C1903" s="1">
        <v>42681</v>
      </c>
      <c r="D1903" t="s">
        <v>37</v>
      </c>
      <c r="E1903" t="s">
        <v>2072</v>
      </c>
      <c r="F1903" t="s">
        <v>2073</v>
      </c>
      <c r="G1903" t="s">
        <v>94</v>
      </c>
      <c r="H1903" t="s">
        <v>24</v>
      </c>
      <c r="I1903" t="s">
        <v>61</v>
      </c>
      <c r="J1903" t="s">
        <v>62</v>
      </c>
      <c r="K1903" t="s">
        <v>63</v>
      </c>
      <c r="L1903" t="s">
        <v>457</v>
      </c>
      <c r="M1903" t="s">
        <v>29</v>
      </c>
      <c r="N1903" t="s">
        <v>34</v>
      </c>
      <c r="O1903" t="s">
        <v>458</v>
      </c>
      <c r="P1903">
        <v>470.15499999999997</v>
      </c>
      <c r="Q1903">
        <v>7</v>
      </c>
      <c r="R1903">
        <v>-13.433</v>
      </c>
      <c r="S1903" t="s">
        <v>32</v>
      </c>
    </row>
    <row r="1904" spans="1:19" x14ac:dyDescent="0.35">
      <c r="A1904" t="s">
        <v>4150</v>
      </c>
      <c r="B1904" s="1">
        <v>42818</v>
      </c>
      <c r="C1904" s="1">
        <v>42822</v>
      </c>
      <c r="D1904" t="s">
        <v>37</v>
      </c>
      <c r="E1904" t="s">
        <v>1782</v>
      </c>
      <c r="F1904" t="s">
        <v>1783</v>
      </c>
      <c r="G1904" t="s">
        <v>23</v>
      </c>
      <c r="H1904" t="s">
        <v>24</v>
      </c>
      <c r="I1904" t="s">
        <v>165</v>
      </c>
      <c r="J1904" t="s">
        <v>114</v>
      </c>
      <c r="K1904" t="s">
        <v>63</v>
      </c>
      <c r="L1904" t="s">
        <v>846</v>
      </c>
      <c r="M1904" t="s">
        <v>29</v>
      </c>
      <c r="N1904" t="s">
        <v>34</v>
      </c>
      <c r="O1904" t="s">
        <v>847</v>
      </c>
      <c r="P1904">
        <v>271.76400000000001</v>
      </c>
      <c r="Q1904">
        <v>2</v>
      </c>
      <c r="R1904">
        <v>60.392000000000003</v>
      </c>
      <c r="S1904" t="s">
        <v>187</v>
      </c>
    </row>
    <row r="1905" spans="1:19" x14ac:dyDescent="0.35">
      <c r="A1905" t="s">
        <v>4151</v>
      </c>
      <c r="B1905" s="1">
        <v>42850</v>
      </c>
      <c r="C1905" s="1">
        <v>42852</v>
      </c>
      <c r="D1905" t="s">
        <v>20</v>
      </c>
      <c r="E1905" t="s">
        <v>2858</v>
      </c>
      <c r="F1905" t="s">
        <v>2859</v>
      </c>
      <c r="G1905" t="s">
        <v>23</v>
      </c>
      <c r="H1905" t="s">
        <v>24</v>
      </c>
      <c r="I1905" t="s">
        <v>49</v>
      </c>
      <c r="J1905" t="s">
        <v>50</v>
      </c>
      <c r="K1905" t="s">
        <v>51</v>
      </c>
      <c r="L1905" t="s">
        <v>340</v>
      </c>
      <c r="M1905" t="s">
        <v>29</v>
      </c>
      <c r="N1905" t="s">
        <v>30</v>
      </c>
      <c r="O1905" t="s">
        <v>341</v>
      </c>
      <c r="P1905">
        <v>344.98099999999999</v>
      </c>
      <c r="Q1905">
        <v>7</v>
      </c>
      <c r="R1905">
        <v>28.4102</v>
      </c>
      <c r="S1905" t="s">
        <v>107</v>
      </c>
    </row>
    <row r="1906" spans="1:19" x14ac:dyDescent="0.35">
      <c r="A1906" t="s">
        <v>4152</v>
      </c>
      <c r="B1906" s="1">
        <v>43062</v>
      </c>
      <c r="C1906" s="1">
        <v>43065</v>
      </c>
      <c r="D1906" t="s">
        <v>81</v>
      </c>
      <c r="E1906" t="s">
        <v>2315</v>
      </c>
      <c r="F1906" t="s">
        <v>2316</v>
      </c>
      <c r="G1906" t="s">
        <v>84</v>
      </c>
      <c r="H1906" t="s">
        <v>24</v>
      </c>
      <c r="I1906" t="s">
        <v>1730</v>
      </c>
      <c r="J1906" t="s">
        <v>86</v>
      </c>
      <c r="K1906" t="s">
        <v>87</v>
      </c>
      <c r="L1906" t="s">
        <v>1225</v>
      </c>
      <c r="M1906" t="s">
        <v>29</v>
      </c>
      <c r="N1906" t="s">
        <v>43</v>
      </c>
      <c r="O1906" t="s">
        <v>1226</v>
      </c>
      <c r="P1906">
        <v>127.785</v>
      </c>
      <c r="Q1906">
        <v>1</v>
      </c>
      <c r="R1906">
        <v>-31.0335</v>
      </c>
      <c r="S1906" t="s">
        <v>32</v>
      </c>
    </row>
    <row r="1907" spans="1:19" x14ac:dyDescent="0.35">
      <c r="A1907" t="s">
        <v>4153</v>
      </c>
      <c r="B1907" s="1">
        <v>42435</v>
      </c>
      <c r="C1907" s="1">
        <v>42441</v>
      </c>
      <c r="D1907" t="s">
        <v>37</v>
      </c>
      <c r="E1907" t="s">
        <v>169</v>
      </c>
      <c r="F1907" t="s">
        <v>170</v>
      </c>
      <c r="G1907" t="s">
        <v>23</v>
      </c>
      <c r="H1907" t="s">
        <v>24</v>
      </c>
      <c r="I1907" t="s">
        <v>125</v>
      </c>
      <c r="J1907" t="s">
        <v>126</v>
      </c>
      <c r="K1907" t="s">
        <v>87</v>
      </c>
      <c r="L1907" t="s">
        <v>210</v>
      </c>
      <c r="M1907" t="s">
        <v>29</v>
      </c>
      <c r="N1907" t="s">
        <v>53</v>
      </c>
      <c r="O1907" t="s">
        <v>211</v>
      </c>
      <c r="P1907">
        <v>159.04</v>
      </c>
      <c r="Q1907">
        <v>5</v>
      </c>
      <c r="R1907">
        <v>-194.82400000000001</v>
      </c>
      <c r="S1907" t="s">
        <v>187</v>
      </c>
    </row>
    <row r="1908" spans="1:19" x14ac:dyDescent="0.35">
      <c r="A1908" t="s">
        <v>4153</v>
      </c>
      <c r="B1908" s="1">
        <v>42435</v>
      </c>
      <c r="C1908" s="1">
        <v>42441</v>
      </c>
      <c r="D1908" t="s">
        <v>37</v>
      </c>
      <c r="E1908" t="s">
        <v>169</v>
      </c>
      <c r="F1908" t="s">
        <v>170</v>
      </c>
      <c r="G1908" t="s">
        <v>23</v>
      </c>
      <c r="H1908" t="s">
        <v>24</v>
      </c>
      <c r="I1908" t="s">
        <v>125</v>
      </c>
      <c r="J1908" t="s">
        <v>126</v>
      </c>
      <c r="K1908" t="s">
        <v>87</v>
      </c>
      <c r="L1908" t="s">
        <v>1891</v>
      </c>
      <c r="M1908" t="s">
        <v>29</v>
      </c>
      <c r="N1908" t="s">
        <v>43</v>
      </c>
      <c r="O1908" t="s">
        <v>1892</v>
      </c>
      <c r="P1908">
        <v>145.97999999999999</v>
      </c>
      <c r="Q1908">
        <v>2</v>
      </c>
      <c r="R1908">
        <v>-99.266400000000004</v>
      </c>
      <c r="S1908" t="s">
        <v>187</v>
      </c>
    </row>
    <row r="1909" spans="1:19" x14ac:dyDescent="0.35">
      <c r="A1909" t="s">
        <v>4154</v>
      </c>
      <c r="B1909" s="1">
        <v>42341</v>
      </c>
      <c r="C1909" s="1">
        <v>42345</v>
      </c>
      <c r="D1909" t="s">
        <v>37</v>
      </c>
      <c r="E1909" t="s">
        <v>4155</v>
      </c>
      <c r="F1909" t="s">
        <v>4156</v>
      </c>
      <c r="G1909" t="s">
        <v>23</v>
      </c>
      <c r="H1909" t="s">
        <v>24</v>
      </c>
      <c r="I1909" t="s">
        <v>597</v>
      </c>
      <c r="J1909" t="s">
        <v>1027</v>
      </c>
      <c r="K1909" t="s">
        <v>27</v>
      </c>
      <c r="L1909" t="s">
        <v>747</v>
      </c>
      <c r="M1909" t="s">
        <v>29</v>
      </c>
      <c r="N1909" t="s">
        <v>53</v>
      </c>
      <c r="O1909" t="s">
        <v>748</v>
      </c>
      <c r="P1909">
        <v>77.951999999999998</v>
      </c>
      <c r="Q1909">
        <v>3</v>
      </c>
      <c r="R1909">
        <v>12.667199999999999</v>
      </c>
      <c r="S1909" t="s">
        <v>90</v>
      </c>
    </row>
    <row r="1910" spans="1:19" x14ac:dyDescent="0.35">
      <c r="A1910" t="s">
        <v>4157</v>
      </c>
      <c r="B1910" s="1">
        <v>42362</v>
      </c>
      <c r="C1910" s="1">
        <v>42368</v>
      </c>
      <c r="D1910" t="s">
        <v>37</v>
      </c>
      <c r="E1910" t="s">
        <v>1857</v>
      </c>
      <c r="F1910" t="s">
        <v>1858</v>
      </c>
      <c r="G1910" t="s">
        <v>84</v>
      </c>
      <c r="H1910" t="s">
        <v>24</v>
      </c>
      <c r="I1910" t="s">
        <v>869</v>
      </c>
      <c r="J1910" t="s">
        <v>556</v>
      </c>
      <c r="K1910" t="s">
        <v>87</v>
      </c>
      <c r="L1910" t="s">
        <v>2515</v>
      </c>
      <c r="M1910" t="s">
        <v>29</v>
      </c>
      <c r="N1910" t="s">
        <v>53</v>
      </c>
      <c r="O1910" t="s">
        <v>2516</v>
      </c>
      <c r="P1910">
        <v>9.68</v>
      </c>
      <c r="Q1910">
        <v>2</v>
      </c>
      <c r="R1910">
        <v>3.7751999999999999</v>
      </c>
      <c r="S1910" t="s">
        <v>90</v>
      </c>
    </row>
    <row r="1911" spans="1:19" x14ac:dyDescent="0.35">
      <c r="A1911" t="s">
        <v>4158</v>
      </c>
      <c r="B1911" s="1">
        <v>43024</v>
      </c>
      <c r="C1911" s="1">
        <v>43029</v>
      </c>
      <c r="D1911" t="s">
        <v>37</v>
      </c>
      <c r="E1911" t="s">
        <v>3518</v>
      </c>
      <c r="F1911" t="s">
        <v>3519</v>
      </c>
      <c r="G1911" t="s">
        <v>84</v>
      </c>
      <c r="H1911" t="s">
        <v>24</v>
      </c>
      <c r="I1911" t="s">
        <v>149</v>
      </c>
      <c r="J1911" t="s">
        <v>133</v>
      </c>
      <c r="K1911" t="s">
        <v>27</v>
      </c>
      <c r="L1911" t="s">
        <v>1802</v>
      </c>
      <c r="M1911" t="s">
        <v>29</v>
      </c>
      <c r="N1911" t="s">
        <v>43</v>
      </c>
      <c r="O1911" t="s">
        <v>1803</v>
      </c>
      <c r="P1911">
        <v>1875.258</v>
      </c>
      <c r="Q1911">
        <v>7</v>
      </c>
      <c r="R1911">
        <v>-968.88329999999996</v>
      </c>
      <c r="S1911" t="s">
        <v>45</v>
      </c>
    </row>
    <row r="1912" spans="1:19" x14ac:dyDescent="0.35">
      <c r="A1912" t="s">
        <v>4159</v>
      </c>
      <c r="B1912" s="1">
        <v>42868</v>
      </c>
      <c r="C1912" s="1">
        <v>42872</v>
      </c>
      <c r="D1912" t="s">
        <v>37</v>
      </c>
      <c r="E1912" t="s">
        <v>1135</v>
      </c>
      <c r="F1912" t="s">
        <v>1136</v>
      </c>
      <c r="G1912" t="s">
        <v>94</v>
      </c>
      <c r="H1912" t="s">
        <v>24</v>
      </c>
      <c r="I1912" t="s">
        <v>61</v>
      </c>
      <c r="J1912" t="s">
        <v>62</v>
      </c>
      <c r="K1912" t="s">
        <v>63</v>
      </c>
      <c r="L1912" t="s">
        <v>659</v>
      </c>
      <c r="M1912" t="s">
        <v>29</v>
      </c>
      <c r="N1912" t="s">
        <v>34</v>
      </c>
      <c r="O1912" t="s">
        <v>660</v>
      </c>
      <c r="P1912">
        <v>458.43</v>
      </c>
      <c r="Q1912">
        <v>5</v>
      </c>
      <c r="R1912">
        <v>-124.431</v>
      </c>
      <c r="S1912" t="s">
        <v>153</v>
      </c>
    </row>
    <row r="1913" spans="1:19" x14ac:dyDescent="0.35">
      <c r="A1913" t="s">
        <v>4160</v>
      </c>
      <c r="B1913" s="1">
        <v>43057</v>
      </c>
      <c r="C1913" s="1">
        <v>43057</v>
      </c>
      <c r="D1913" t="s">
        <v>417</v>
      </c>
      <c r="E1913" t="s">
        <v>773</v>
      </c>
      <c r="F1913" t="s">
        <v>774</v>
      </c>
      <c r="G1913" t="s">
        <v>84</v>
      </c>
      <c r="H1913" t="s">
        <v>24</v>
      </c>
      <c r="I1913" t="s">
        <v>896</v>
      </c>
      <c r="J1913" t="s">
        <v>230</v>
      </c>
      <c r="K1913" t="s">
        <v>87</v>
      </c>
      <c r="L1913" t="s">
        <v>491</v>
      </c>
      <c r="M1913" t="s">
        <v>29</v>
      </c>
      <c r="N1913" t="s">
        <v>53</v>
      </c>
      <c r="O1913" t="s">
        <v>492</v>
      </c>
      <c r="P1913">
        <v>5.82</v>
      </c>
      <c r="Q1913">
        <v>2</v>
      </c>
      <c r="R1913">
        <v>2.7353999999999998</v>
      </c>
      <c r="S1913" t="s">
        <v>32</v>
      </c>
    </row>
    <row r="1914" spans="1:19" x14ac:dyDescent="0.35">
      <c r="A1914" t="s">
        <v>4161</v>
      </c>
      <c r="B1914" s="1">
        <v>42421</v>
      </c>
      <c r="C1914" s="1">
        <v>42422</v>
      </c>
      <c r="D1914" t="s">
        <v>81</v>
      </c>
      <c r="E1914" t="s">
        <v>1502</v>
      </c>
      <c r="F1914" t="s">
        <v>1503</v>
      </c>
      <c r="G1914" t="s">
        <v>84</v>
      </c>
      <c r="H1914" t="s">
        <v>24</v>
      </c>
      <c r="I1914" t="s">
        <v>165</v>
      </c>
      <c r="J1914" t="s">
        <v>114</v>
      </c>
      <c r="K1914" t="s">
        <v>63</v>
      </c>
      <c r="L1914" t="s">
        <v>355</v>
      </c>
      <c r="M1914" t="s">
        <v>29</v>
      </c>
      <c r="N1914" t="s">
        <v>53</v>
      </c>
      <c r="O1914" t="s">
        <v>356</v>
      </c>
      <c r="P1914">
        <v>135.80000000000001</v>
      </c>
      <c r="Q1914">
        <v>7</v>
      </c>
      <c r="R1914">
        <v>66.542000000000002</v>
      </c>
      <c r="S1914" t="s">
        <v>289</v>
      </c>
    </row>
    <row r="1915" spans="1:19" x14ac:dyDescent="0.35">
      <c r="A1915" t="s">
        <v>4162</v>
      </c>
      <c r="B1915" s="1">
        <v>41989</v>
      </c>
      <c r="C1915" s="1">
        <v>41991</v>
      </c>
      <c r="D1915" t="s">
        <v>20</v>
      </c>
      <c r="E1915" t="s">
        <v>784</v>
      </c>
      <c r="F1915" t="s">
        <v>785</v>
      </c>
      <c r="G1915" t="s">
        <v>23</v>
      </c>
      <c r="H1915" t="s">
        <v>24</v>
      </c>
      <c r="I1915" t="s">
        <v>869</v>
      </c>
      <c r="J1915" t="s">
        <v>707</v>
      </c>
      <c r="K1915" t="s">
        <v>27</v>
      </c>
      <c r="L1915" t="s">
        <v>1090</v>
      </c>
      <c r="M1915" t="s">
        <v>29</v>
      </c>
      <c r="N1915" t="s">
        <v>53</v>
      </c>
      <c r="O1915" t="s">
        <v>1091</v>
      </c>
      <c r="P1915">
        <v>29.46</v>
      </c>
      <c r="Q1915">
        <v>6</v>
      </c>
      <c r="R1915">
        <v>9.7218</v>
      </c>
      <c r="S1915" t="s">
        <v>90</v>
      </c>
    </row>
    <row r="1916" spans="1:19" x14ac:dyDescent="0.35">
      <c r="A1916" t="s">
        <v>4163</v>
      </c>
      <c r="B1916" s="1">
        <v>42604</v>
      </c>
      <c r="C1916" s="1">
        <v>42605</v>
      </c>
      <c r="D1916" t="s">
        <v>81</v>
      </c>
      <c r="E1916" t="s">
        <v>2267</v>
      </c>
      <c r="F1916" t="s">
        <v>2268</v>
      </c>
      <c r="G1916" t="s">
        <v>94</v>
      </c>
      <c r="H1916" t="s">
        <v>24</v>
      </c>
      <c r="I1916" t="s">
        <v>2334</v>
      </c>
      <c r="J1916" t="s">
        <v>172</v>
      </c>
      <c r="K1916" t="s">
        <v>51</v>
      </c>
      <c r="L1916" t="s">
        <v>631</v>
      </c>
      <c r="M1916" t="s">
        <v>29</v>
      </c>
      <c r="N1916" t="s">
        <v>53</v>
      </c>
      <c r="O1916" t="s">
        <v>632</v>
      </c>
      <c r="P1916">
        <v>98.328000000000003</v>
      </c>
      <c r="Q1916">
        <v>3</v>
      </c>
      <c r="R1916">
        <v>9.8328000000000007</v>
      </c>
      <c r="S1916" t="s">
        <v>245</v>
      </c>
    </row>
    <row r="1917" spans="1:19" x14ac:dyDescent="0.35">
      <c r="A1917" t="s">
        <v>4164</v>
      </c>
      <c r="B1917" s="1">
        <v>42184</v>
      </c>
      <c r="C1917" s="1">
        <v>42187</v>
      </c>
      <c r="D1917" t="s">
        <v>81</v>
      </c>
      <c r="E1917" t="s">
        <v>1359</v>
      </c>
      <c r="F1917" t="s">
        <v>1360</v>
      </c>
      <c r="G1917" t="s">
        <v>23</v>
      </c>
      <c r="H1917" t="s">
        <v>24</v>
      </c>
      <c r="I1917" t="s">
        <v>165</v>
      </c>
      <c r="J1917" t="s">
        <v>114</v>
      </c>
      <c r="K1917" t="s">
        <v>63</v>
      </c>
      <c r="L1917" t="s">
        <v>659</v>
      </c>
      <c r="M1917" t="s">
        <v>29</v>
      </c>
      <c r="N1917" t="s">
        <v>34</v>
      </c>
      <c r="O1917" t="s">
        <v>660</v>
      </c>
      <c r="P1917">
        <v>117.88200000000001</v>
      </c>
      <c r="Q1917">
        <v>1</v>
      </c>
      <c r="R1917">
        <v>1.3098000000000001</v>
      </c>
      <c r="S1917" t="s">
        <v>55</v>
      </c>
    </row>
    <row r="1918" spans="1:19" x14ac:dyDescent="0.35">
      <c r="A1918" t="s">
        <v>4165</v>
      </c>
      <c r="B1918" s="1">
        <v>42547</v>
      </c>
      <c r="C1918" s="1">
        <v>42553</v>
      </c>
      <c r="D1918" t="s">
        <v>37</v>
      </c>
      <c r="E1918" t="s">
        <v>3518</v>
      </c>
      <c r="F1918" t="s">
        <v>3519</v>
      </c>
      <c r="G1918" t="s">
        <v>84</v>
      </c>
      <c r="H1918" t="s">
        <v>24</v>
      </c>
      <c r="I1918" t="s">
        <v>165</v>
      </c>
      <c r="J1918" t="s">
        <v>114</v>
      </c>
      <c r="K1918" t="s">
        <v>63</v>
      </c>
      <c r="L1918" t="s">
        <v>1259</v>
      </c>
      <c r="M1918" t="s">
        <v>29</v>
      </c>
      <c r="N1918" t="s">
        <v>53</v>
      </c>
      <c r="O1918" t="s">
        <v>1260</v>
      </c>
      <c r="P1918">
        <v>37.74</v>
      </c>
      <c r="Q1918">
        <v>3</v>
      </c>
      <c r="R1918">
        <v>12.8316</v>
      </c>
      <c r="S1918" t="s">
        <v>55</v>
      </c>
    </row>
    <row r="1919" spans="1:19" x14ac:dyDescent="0.35">
      <c r="A1919" t="s">
        <v>4166</v>
      </c>
      <c r="B1919" s="1">
        <v>42630</v>
      </c>
      <c r="C1919" s="1">
        <v>42635</v>
      </c>
      <c r="D1919" t="s">
        <v>37</v>
      </c>
      <c r="E1919" t="s">
        <v>147</v>
      </c>
      <c r="F1919" t="s">
        <v>148</v>
      </c>
      <c r="G1919" t="s">
        <v>23</v>
      </c>
      <c r="H1919" t="s">
        <v>24</v>
      </c>
      <c r="I1919" t="s">
        <v>4167</v>
      </c>
      <c r="J1919" t="s">
        <v>425</v>
      </c>
      <c r="K1919" t="s">
        <v>63</v>
      </c>
      <c r="L1919" t="s">
        <v>793</v>
      </c>
      <c r="M1919" t="s">
        <v>29</v>
      </c>
      <c r="N1919" t="s">
        <v>53</v>
      </c>
      <c r="O1919" t="s">
        <v>794</v>
      </c>
      <c r="P1919">
        <v>14.82</v>
      </c>
      <c r="Q1919">
        <v>3</v>
      </c>
      <c r="R1919">
        <v>6.2244000000000002</v>
      </c>
      <c r="S1919" t="s">
        <v>72</v>
      </c>
    </row>
    <row r="1920" spans="1:19" x14ac:dyDescent="0.35">
      <c r="A1920" t="s">
        <v>4166</v>
      </c>
      <c r="B1920" s="1">
        <v>42630</v>
      </c>
      <c r="C1920" s="1">
        <v>42635</v>
      </c>
      <c r="D1920" t="s">
        <v>37</v>
      </c>
      <c r="E1920" t="s">
        <v>147</v>
      </c>
      <c r="F1920" t="s">
        <v>148</v>
      </c>
      <c r="G1920" t="s">
        <v>23</v>
      </c>
      <c r="H1920" t="s">
        <v>24</v>
      </c>
      <c r="I1920" t="s">
        <v>4167</v>
      </c>
      <c r="J1920" t="s">
        <v>425</v>
      </c>
      <c r="K1920" t="s">
        <v>63</v>
      </c>
      <c r="L1920" t="s">
        <v>542</v>
      </c>
      <c r="M1920" t="s">
        <v>29</v>
      </c>
      <c r="N1920" t="s">
        <v>53</v>
      </c>
      <c r="O1920" t="s">
        <v>543</v>
      </c>
      <c r="P1920">
        <v>191.82</v>
      </c>
      <c r="Q1920">
        <v>3</v>
      </c>
      <c r="R1920">
        <v>61.382399999999997</v>
      </c>
      <c r="S1920" t="s">
        <v>72</v>
      </c>
    </row>
    <row r="1921" spans="1:19" x14ac:dyDescent="0.35">
      <c r="A1921" t="s">
        <v>4168</v>
      </c>
      <c r="B1921" s="1">
        <v>42979</v>
      </c>
      <c r="C1921" s="1">
        <v>42979</v>
      </c>
      <c r="D1921" t="s">
        <v>417</v>
      </c>
      <c r="E1921" t="s">
        <v>1579</v>
      </c>
      <c r="F1921" t="s">
        <v>1580</v>
      </c>
      <c r="G1921" t="s">
        <v>84</v>
      </c>
      <c r="H1921" t="s">
        <v>24</v>
      </c>
      <c r="I1921" t="s">
        <v>183</v>
      </c>
      <c r="J1921" t="s">
        <v>184</v>
      </c>
      <c r="K1921" t="s">
        <v>51</v>
      </c>
      <c r="L1921" t="s">
        <v>309</v>
      </c>
      <c r="M1921" t="s">
        <v>29</v>
      </c>
      <c r="N1921" t="s">
        <v>43</v>
      </c>
      <c r="O1921" t="s">
        <v>310</v>
      </c>
      <c r="P1921">
        <v>283.56</v>
      </c>
      <c r="Q1921">
        <v>4</v>
      </c>
      <c r="R1921">
        <v>45.369599999999998</v>
      </c>
      <c r="S1921" t="s">
        <v>72</v>
      </c>
    </row>
    <row r="1922" spans="1:19" x14ac:dyDescent="0.35">
      <c r="A1922" t="s">
        <v>4169</v>
      </c>
      <c r="B1922" s="1">
        <v>42908</v>
      </c>
      <c r="C1922" s="1">
        <v>42912</v>
      </c>
      <c r="D1922" t="s">
        <v>37</v>
      </c>
      <c r="E1922" t="s">
        <v>662</v>
      </c>
      <c r="F1922" t="s">
        <v>663</v>
      </c>
      <c r="G1922" t="s">
        <v>94</v>
      </c>
      <c r="H1922" t="s">
        <v>24</v>
      </c>
      <c r="I1922" t="s">
        <v>280</v>
      </c>
      <c r="J1922" t="s">
        <v>281</v>
      </c>
      <c r="K1922" t="s">
        <v>87</v>
      </c>
      <c r="L1922" t="s">
        <v>33</v>
      </c>
      <c r="M1922" t="s">
        <v>29</v>
      </c>
      <c r="N1922" t="s">
        <v>34</v>
      </c>
      <c r="O1922" t="s">
        <v>35</v>
      </c>
      <c r="P1922">
        <v>487.96</v>
      </c>
      <c r="Q1922">
        <v>2</v>
      </c>
      <c r="R1922">
        <v>146.38800000000001</v>
      </c>
      <c r="S1922" t="s">
        <v>55</v>
      </c>
    </row>
    <row r="1923" spans="1:19" x14ac:dyDescent="0.35">
      <c r="A1923" t="s">
        <v>4170</v>
      </c>
      <c r="B1923" s="1">
        <v>41901</v>
      </c>
      <c r="C1923" s="1">
        <v>41906</v>
      </c>
      <c r="D1923" t="s">
        <v>37</v>
      </c>
      <c r="E1923" t="s">
        <v>4171</v>
      </c>
      <c r="F1923" t="s">
        <v>4172</v>
      </c>
      <c r="G1923" t="s">
        <v>84</v>
      </c>
      <c r="H1923" t="s">
        <v>24</v>
      </c>
      <c r="I1923" t="s">
        <v>3049</v>
      </c>
      <c r="J1923" t="s">
        <v>511</v>
      </c>
      <c r="K1923" t="s">
        <v>51</v>
      </c>
      <c r="L1923" t="s">
        <v>1456</v>
      </c>
      <c r="M1923" t="s">
        <v>29</v>
      </c>
      <c r="N1923" t="s">
        <v>43</v>
      </c>
      <c r="O1923" t="s">
        <v>1457</v>
      </c>
      <c r="P1923">
        <v>73.915000000000006</v>
      </c>
      <c r="Q1923">
        <v>1</v>
      </c>
      <c r="R1923">
        <v>-45.827300000000001</v>
      </c>
      <c r="S1923" t="s">
        <v>72</v>
      </c>
    </row>
    <row r="1924" spans="1:19" x14ac:dyDescent="0.35">
      <c r="A1924" t="s">
        <v>4173</v>
      </c>
      <c r="B1924" s="1">
        <v>41910</v>
      </c>
      <c r="C1924" s="1">
        <v>41915</v>
      </c>
      <c r="D1924" t="s">
        <v>37</v>
      </c>
      <c r="E1924" t="s">
        <v>3440</v>
      </c>
      <c r="F1924" t="s">
        <v>3441</v>
      </c>
      <c r="G1924" t="s">
        <v>23</v>
      </c>
      <c r="H1924" t="s">
        <v>24</v>
      </c>
      <c r="I1924" t="s">
        <v>4174</v>
      </c>
      <c r="J1924" t="s">
        <v>41</v>
      </c>
      <c r="K1924" t="s">
        <v>27</v>
      </c>
      <c r="L1924" t="s">
        <v>3608</v>
      </c>
      <c r="M1924" t="s">
        <v>29</v>
      </c>
      <c r="N1924" t="s">
        <v>53</v>
      </c>
      <c r="O1924" t="s">
        <v>3609</v>
      </c>
      <c r="P1924">
        <v>337.08800000000002</v>
      </c>
      <c r="Q1924">
        <v>4</v>
      </c>
      <c r="R1924">
        <v>16.854399999999998</v>
      </c>
      <c r="S1924" t="s">
        <v>72</v>
      </c>
    </row>
    <row r="1925" spans="1:19" x14ac:dyDescent="0.35">
      <c r="A1925" t="s">
        <v>4175</v>
      </c>
      <c r="B1925" s="1">
        <v>42310</v>
      </c>
      <c r="C1925" s="1">
        <v>42312</v>
      </c>
      <c r="D1925" t="s">
        <v>81</v>
      </c>
      <c r="E1925" t="s">
        <v>2642</v>
      </c>
      <c r="F1925" t="s">
        <v>2643</v>
      </c>
      <c r="G1925" t="s">
        <v>94</v>
      </c>
      <c r="H1925" t="s">
        <v>24</v>
      </c>
      <c r="I1925" t="s">
        <v>165</v>
      </c>
      <c r="J1925" t="s">
        <v>114</v>
      </c>
      <c r="K1925" t="s">
        <v>63</v>
      </c>
      <c r="L1925" t="s">
        <v>3582</v>
      </c>
      <c r="M1925" t="s">
        <v>29</v>
      </c>
      <c r="N1925" t="s">
        <v>34</v>
      </c>
      <c r="O1925" t="s">
        <v>3583</v>
      </c>
      <c r="P1925">
        <v>2621.3220000000001</v>
      </c>
      <c r="Q1925">
        <v>11</v>
      </c>
      <c r="R1925">
        <v>553.39020000000005</v>
      </c>
      <c r="S1925" t="s">
        <v>32</v>
      </c>
    </row>
    <row r="1926" spans="1:19" x14ac:dyDescent="0.35">
      <c r="A1926" t="s">
        <v>4176</v>
      </c>
      <c r="B1926" s="1">
        <v>42297</v>
      </c>
      <c r="C1926" s="1">
        <v>42301</v>
      </c>
      <c r="D1926" t="s">
        <v>37</v>
      </c>
      <c r="E1926" t="s">
        <v>2908</v>
      </c>
      <c r="F1926" t="s">
        <v>2909</v>
      </c>
      <c r="G1926" t="s">
        <v>23</v>
      </c>
      <c r="H1926" t="s">
        <v>24</v>
      </c>
      <c r="I1926" t="s">
        <v>49</v>
      </c>
      <c r="J1926" t="s">
        <v>50</v>
      </c>
      <c r="K1926" t="s">
        <v>51</v>
      </c>
      <c r="L1926" t="s">
        <v>2876</v>
      </c>
      <c r="M1926" t="s">
        <v>29</v>
      </c>
      <c r="N1926" t="s">
        <v>53</v>
      </c>
      <c r="O1926" t="s">
        <v>2877</v>
      </c>
      <c r="P1926">
        <v>74.760000000000005</v>
      </c>
      <c r="Q1926">
        <v>7</v>
      </c>
      <c r="R1926">
        <v>23.923200000000001</v>
      </c>
      <c r="S1926" t="s">
        <v>45</v>
      </c>
    </row>
    <row r="1927" spans="1:19" x14ac:dyDescent="0.35">
      <c r="A1927" t="s">
        <v>4176</v>
      </c>
      <c r="B1927" s="1">
        <v>42297</v>
      </c>
      <c r="C1927" s="1">
        <v>42301</v>
      </c>
      <c r="D1927" t="s">
        <v>37</v>
      </c>
      <c r="E1927" t="s">
        <v>2908</v>
      </c>
      <c r="F1927" t="s">
        <v>2909</v>
      </c>
      <c r="G1927" t="s">
        <v>23</v>
      </c>
      <c r="H1927" t="s">
        <v>24</v>
      </c>
      <c r="I1927" t="s">
        <v>49</v>
      </c>
      <c r="J1927" t="s">
        <v>50</v>
      </c>
      <c r="K1927" t="s">
        <v>51</v>
      </c>
      <c r="L1927" t="s">
        <v>3180</v>
      </c>
      <c r="M1927" t="s">
        <v>29</v>
      </c>
      <c r="N1927" t="s">
        <v>43</v>
      </c>
      <c r="O1927" t="s">
        <v>3181</v>
      </c>
      <c r="P1927">
        <v>364.77600000000001</v>
      </c>
      <c r="Q1927">
        <v>3</v>
      </c>
      <c r="R1927">
        <v>27.3582</v>
      </c>
      <c r="S1927" t="s">
        <v>45</v>
      </c>
    </row>
    <row r="1928" spans="1:19" x14ac:dyDescent="0.35">
      <c r="A1928" t="s">
        <v>4177</v>
      </c>
      <c r="B1928" s="1">
        <v>42535</v>
      </c>
      <c r="C1928" s="1">
        <v>42539</v>
      </c>
      <c r="D1928" t="s">
        <v>37</v>
      </c>
      <c r="E1928" t="s">
        <v>671</v>
      </c>
      <c r="F1928" t="s">
        <v>672</v>
      </c>
      <c r="G1928" t="s">
        <v>84</v>
      </c>
      <c r="H1928" t="s">
        <v>24</v>
      </c>
      <c r="I1928" t="s">
        <v>183</v>
      </c>
      <c r="J1928" t="s">
        <v>184</v>
      </c>
      <c r="K1928" t="s">
        <v>51</v>
      </c>
      <c r="L1928" t="s">
        <v>1125</v>
      </c>
      <c r="M1928" t="s">
        <v>29</v>
      </c>
      <c r="N1928" t="s">
        <v>43</v>
      </c>
      <c r="O1928" t="s">
        <v>1126</v>
      </c>
      <c r="P1928">
        <v>1115.17</v>
      </c>
      <c r="Q1928">
        <v>7</v>
      </c>
      <c r="R1928">
        <v>334.55099999999999</v>
      </c>
      <c r="S1928" t="s">
        <v>55</v>
      </c>
    </row>
    <row r="1929" spans="1:19" x14ac:dyDescent="0.35">
      <c r="A1929" t="s">
        <v>4178</v>
      </c>
      <c r="B1929" s="1">
        <v>42615</v>
      </c>
      <c r="C1929" s="1">
        <v>42618</v>
      </c>
      <c r="D1929" t="s">
        <v>20</v>
      </c>
      <c r="E1929" t="s">
        <v>235</v>
      </c>
      <c r="F1929" t="s">
        <v>236</v>
      </c>
      <c r="G1929" t="s">
        <v>23</v>
      </c>
      <c r="H1929" t="s">
        <v>24</v>
      </c>
      <c r="I1929" t="s">
        <v>791</v>
      </c>
      <c r="J1929" t="s">
        <v>184</v>
      </c>
      <c r="K1929" t="s">
        <v>51</v>
      </c>
      <c r="L1929" t="s">
        <v>108</v>
      </c>
      <c r="M1929" t="s">
        <v>29</v>
      </c>
      <c r="N1929" t="s">
        <v>34</v>
      </c>
      <c r="O1929" t="s">
        <v>109</v>
      </c>
      <c r="P1929">
        <v>215.976</v>
      </c>
      <c r="Q1929">
        <v>3</v>
      </c>
      <c r="R1929">
        <v>-2.6997</v>
      </c>
      <c r="S1929" t="s">
        <v>72</v>
      </c>
    </row>
    <row r="1930" spans="1:19" x14ac:dyDescent="0.35">
      <c r="A1930" t="s">
        <v>4179</v>
      </c>
      <c r="B1930" s="1">
        <v>43073</v>
      </c>
      <c r="C1930" s="1">
        <v>43074</v>
      </c>
      <c r="D1930" t="s">
        <v>81</v>
      </c>
      <c r="E1930" t="s">
        <v>2583</v>
      </c>
      <c r="F1930" t="s">
        <v>2584</v>
      </c>
      <c r="G1930" t="s">
        <v>84</v>
      </c>
      <c r="H1930" t="s">
        <v>24</v>
      </c>
      <c r="I1930" t="s">
        <v>61</v>
      </c>
      <c r="J1930" t="s">
        <v>62</v>
      </c>
      <c r="K1930" t="s">
        <v>63</v>
      </c>
      <c r="L1930" t="s">
        <v>371</v>
      </c>
      <c r="M1930" t="s">
        <v>29</v>
      </c>
      <c r="N1930" t="s">
        <v>53</v>
      </c>
      <c r="O1930" t="s">
        <v>372</v>
      </c>
      <c r="P1930">
        <v>11.352</v>
      </c>
      <c r="Q1930">
        <v>3</v>
      </c>
      <c r="R1930">
        <v>2.6960999999999999</v>
      </c>
      <c r="S1930" t="s">
        <v>90</v>
      </c>
    </row>
    <row r="1931" spans="1:19" x14ac:dyDescent="0.35">
      <c r="A1931" t="s">
        <v>4180</v>
      </c>
      <c r="B1931" s="1">
        <v>42416</v>
      </c>
      <c r="C1931" s="1">
        <v>42423</v>
      </c>
      <c r="D1931" t="s">
        <v>37</v>
      </c>
      <c r="E1931" t="s">
        <v>3988</v>
      </c>
      <c r="F1931" t="s">
        <v>3989</v>
      </c>
      <c r="G1931" t="s">
        <v>23</v>
      </c>
      <c r="H1931" t="s">
        <v>24</v>
      </c>
      <c r="I1931" t="s">
        <v>25</v>
      </c>
      <c r="J1931" t="s">
        <v>26</v>
      </c>
      <c r="K1931" t="s">
        <v>27</v>
      </c>
      <c r="L1931" t="s">
        <v>210</v>
      </c>
      <c r="M1931" t="s">
        <v>29</v>
      </c>
      <c r="N1931" t="s">
        <v>53</v>
      </c>
      <c r="O1931" t="s">
        <v>211</v>
      </c>
      <c r="P1931">
        <v>318.08</v>
      </c>
      <c r="Q1931">
        <v>4</v>
      </c>
      <c r="R1931">
        <v>34.988799999999998</v>
      </c>
      <c r="S1931" t="s">
        <v>289</v>
      </c>
    </row>
    <row r="1932" spans="1:19" x14ac:dyDescent="0.35">
      <c r="A1932" t="s">
        <v>4181</v>
      </c>
      <c r="B1932" s="1">
        <v>42639</v>
      </c>
      <c r="C1932" s="1">
        <v>42643</v>
      </c>
      <c r="D1932" t="s">
        <v>37</v>
      </c>
      <c r="E1932" t="s">
        <v>4182</v>
      </c>
      <c r="F1932" t="s">
        <v>4183</v>
      </c>
      <c r="G1932" t="s">
        <v>84</v>
      </c>
      <c r="H1932" t="s">
        <v>24</v>
      </c>
      <c r="I1932" t="s">
        <v>95</v>
      </c>
      <c r="J1932" t="s">
        <v>86</v>
      </c>
      <c r="K1932" t="s">
        <v>87</v>
      </c>
      <c r="L1932" t="s">
        <v>134</v>
      </c>
      <c r="M1932" t="s">
        <v>29</v>
      </c>
      <c r="N1932" t="s">
        <v>34</v>
      </c>
      <c r="O1932" t="s">
        <v>135</v>
      </c>
      <c r="P1932">
        <v>454.96499999999997</v>
      </c>
      <c r="Q1932">
        <v>5</v>
      </c>
      <c r="R1932">
        <v>-136.48949999999999</v>
      </c>
      <c r="S1932" t="s">
        <v>72</v>
      </c>
    </row>
    <row r="1933" spans="1:19" x14ac:dyDescent="0.35">
      <c r="A1933" t="s">
        <v>4184</v>
      </c>
      <c r="B1933" s="1">
        <v>42183</v>
      </c>
      <c r="C1933" s="1">
        <v>42188</v>
      </c>
      <c r="D1933" t="s">
        <v>20</v>
      </c>
      <c r="E1933" t="s">
        <v>1929</v>
      </c>
      <c r="F1933" t="s">
        <v>1930</v>
      </c>
      <c r="G1933" t="s">
        <v>84</v>
      </c>
      <c r="H1933" t="s">
        <v>24</v>
      </c>
      <c r="I1933" t="s">
        <v>113</v>
      </c>
      <c r="J1933" t="s">
        <v>223</v>
      </c>
      <c r="K1933" t="s">
        <v>63</v>
      </c>
      <c r="L1933" t="s">
        <v>1539</v>
      </c>
      <c r="M1933" t="s">
        <v>29</v>
      </c>
      <c r="N1933" t="s">
        <v>30</v>
      </c>
      <c r="O1933" t="s">
        <v>1540</v>
      </c>
      <c r="P1933">
        <v>482.94</v>
      </c>
      <c r="Q1933">
        <v>6</v>
      </c>
      <c r="R1933">
        <v>-376.69319999999999</v>
      </c>
      <c r="S1933" t="s">
        <v>55</v>
      </c>
    </row>
    <row r="1934" spans="1:19" x14ac:dyDescent="0.35">
      <c r="A1934" t="s">
        <v>4185</v>
      </c>
      <c r="B1934" s="1">
        <v>42315</v>
      </c>
      <c r="C1934" s="1">
        <v>42320</v>
      </c>
      <c r="D1934" t="s">
        <v>37</v>
      </c>
      <c r="E1934" t="s">
        <v>1253</v>
      </c>
      <c r="F1934" t="s">
        <v>1254</v>
      </c>
      <c r="G1934" t="s">
        <v>23</v>
      </c>
      <c r="H1934" t="s">
        <v>24</v>
      </c>
      <c r="I1934" t="s">
        <v>95</v>
      </c>
      <c r="J1934" t="s">
        <v>86</v>
      </c>
      <c r="K1934" t="s">
        <v>87</v>
      </c>
      <c r="L1934" t="s">
        <v>2386</v>
      </c>
      <c r="M1934" t="s">
        <v>29</v>
      </c>
      <c r="N1934" t="s">
        <v>53</v>
      </c>
      <c r="O1934" t="s">
        <v>2387</v>
      </c>
      <c r="P1934">
        <v>64.959999999999994</v>
      </c>
      <c r="Q1934">
        <v>5</v>
      </c>
      <c r="R1934">
        <v>-84.447999999999993</v>
      </c>
      <c r="S1934" t="s">
        <v>32</v>
      </c>
    </row>
    <row r="1935" spans="1:19" x14ac:dyDescent="0.35">
      <c r="A1935" t="s">
        <v>4186</v>
      </c>
      <c r="B1935" s="1">
        <v>42754</v>
      </c>
      <c r="C1935" s="1">
        <v>42759</v>
      </c>
      <c r="D1935" t="s">
        <v>20</v>
      </c>
      <c r="E1935" t="s">
        <v>1754</v>
      </c>
      <c r="F1935" t="s">
        <v>1755</v>
      </c>
      <c r="G1935" t="s">
        <v>23</v>
      </c>
      <c r="H1935" t="s">
        <v>24</v>
      </c>
      <c r="I1935" t="s">
        <v>61</v>
      </c>
      <c r="J1935" t="s">
        <v>62</v>
      </c>
      <c r="K1935" t="s">
        <v>63</v>
      </c>
      <c r="L1935" t="s">
        <v>688</v>
      </c>
      <c r="M1935" t="s">
        <v>29</v>
      </c>
      <c r="N1935" t="s">
        <v>53</v>
      </c>
      <c r="O1935" t="s">
        <v>689</v>
      </c>
      <c r="P1935">
        <v>31.968</v>
      </c>
      <c r="Q1935">
        <v>2</v>
      </c>
      <c r="R1935">
        <v>6.3936000000000002</v>
      </c>
      <c r="S1935" t="s">
        <v>161</v>
      </c>
    </row>
    <row r="1936" spans="1:19" x14ac:dyDescent="0.35">
      <c r="A1936" t="s">
        <v>4186</v>
      </c>
      <c r="B1936" s="1">
        <v>42754</v>
      </c>
      <c r="C1936" s="1">
        <v>42759</v>
      </c>
      <c r="D1936" t="s">
        <v>20</v>
      </c>
      <c r="E1936" t="s">
        <v>1754</v>
      </c>
      <c r="F1936" t="s">
        <v>1755</v>
      </c>
      <c r="G1936" t="s">
        <v>23</v>
      </c>
      <c r="H1936" t="s">
        <v>24</v>
      </c>
      <c r="I1936" t="s">
        <v>61</v>
      </c>
      <c r="J1936" t="s">
        <v>62</v>
      </c>
      <c r="K1936" t="s">
        <v>63</v>
      </c>
      <c r="L1936" t="s">
        <v>972</v>
      </c>
      <c r="M1936" t="s">
        <v>29</v>
      </c>
      <c r="N1936" t="s">
        <v>34</v>
      </c>
      <c r="O1936" t="s">
        <v>973</v>
      </c>
      <c r="P1936">
        <v>887.27099999999996</v>
      </c>
      <c r="Q1936">
        <v>3</v>
      </c>
      <c r="R1936">
        <v>-63.3765</v>
      </c>
      <c r="S1936" t="s">
        <v>161</v>
      </c>
    </row>
    <row r="1937" spans="1:19" x14ac:dyDescent="0.35">
      <c r="A1937" t="s">
        <v>4187</v>
      </c>
      <c r="B1937" s="1">
        <v>42600</v>
      </c>
      <c r="C1937" s="1">
        <v>42602</v>
      </c>
      <c r="D1937" t="s">
        <v>20</v>
      </c>
      <c r="E1937" t="s">
        <v>3024</v>
      </c>
      <c r="F1937" t="s">
        <v>3025</v>
      </c>
      <c r="G1937" t="s">
        <v>94</v>
      </c>
      <c r="H1937" t="s">
        <v>24</v>
      </c>
      <c r="I1937" t="s">
        <v>95</v>
      </c>
      <c r="J1937" t="s">
        <v>86</v>
      </c>
      <c r="K1937" t="s">
        <v>87</v>
      </c>
      <c r="L1937" t="s">
        <v>918</v>
      </c>
      <c r="M1937" t="s">
        <v>29</v>
      </c>
      <c r="N1937" t="s">
        <v>53</v>
      </c>
      <c r="O1937" t="s">
        <v>308</v>
      </c>
      <c r="P1937">
        <v>9.5519999999999996</v>
      </c>
      <c r="Q1937">
        <v>3</v>
      </c>
      <c r="R1937">
        <v>-3.8208000000000002</v>
      </c>
      <c r="S1937" t="s">
        <v>245</v>
      </c>
    </row>
    <row r="1938" spans="1:19" x14ac:dyDescent="0.35">
      <c r="A1938" t="s">
        <v>4187</v>
      </c>
      <c r="B1938" s="1">
        <v>42600</v>
      </c>
      <c r="C1938" s="1">
        <v>42602</v>
      </c>
      <c r="D1938" t="s">
        <v>20</v>
      </c>
      <c r="E1938" t="s">
        <v>3024</v>
      </c>
      <c r="F1938" t="s">
        <v>3025</v>
      </c>
      <c r="G1938" t="s">
        <v>94</v>
      </c>
      <c r="H1938" t="s">
        <v>24</v>
      </c>
      <c r="I1938" t="s">
        <v>95</v>
      </c>
      <c r="J1938" t="s">
        <v>86</v>
      </c>
      <c r="K1938" t="s">
        <v>87</v>
      </c>
      <c r="L1938" t="s">
        <v>2416</v>
      </c>
      <c r="M1938" t="s">
        <v>29</v>
      </c>
      <c r="N1938" t="s">
        <v>53</v>
      </c>
      <c r="O1938" t="s">
        <v>2417</v>
      </c>
      <c r="P1938">
        <v>5.3440000000000003</v>
      </c>
      <c r="Q1938">
        <v>4</v>
      </c>
      <c r="R1938">
        <v>-2.1375999999999999</v>
      </c>
      <c r="S1938" t="s">
        <v>245</v>
      </c>
    </row>
    <row r="1939" spans="1:19" x14ac:dyDescent="0.35">
      <c r="A1939" t="s">
        <v>4188</v>
      </c>
      <c r="B1939" s="1">
        <v>42453</v>
      </c>
      <c r="C1939" s="1">
        <v>42455</v>
      </c>
      <c r="D1939" t="s">
        <v>20</v>
      </c>
      <c r="E1939" t="s">
        <v>3869</v>
      </c>
      <c r="F1939" t="s">
        <v>3870</v>
      </c>
      <c r="G1939" t="s">
        <v>23</v>
      </c>
      <c r="H1939" t="s">
        <v>24</v>
      </c>
      <c r="I1939" t="s">
        <v>684</v>
      </c>
      <c r="J1939" t="s">
        <v>223</v>
      </c>
      <c r="K1939" t="s">
        <v>63</v>
      </c>
      <c r="L1939" t="s">
        <v>1958</v>
      </c>
      <c r="M1939" t="s">
        <v>29</v>
      </c>
      <c r="N1939" t="s">
        <v>30</v>
      </c>
      <c r="O1939" t="s">
        <v>1959</v>
      </c>
      <c r="P1939">
        <v>301.47000000000003</v>
      </c>
      <c r="Q1939">
        <v>3</v>
      </c>
      <c r="R1939">
        <v>-241.17599999999999</v>
      </c>
      <c r="S1939" t="s">
        <v>187</v>
      </c>
    </row>
    <row r="1940" spans="1:19" x14ac:dyDescent="0.35">
      <c r="A1940" t="s">
        <v>4189</v>
      </c>
      <c r="B1940" s="1">
        <v>42883</v>
      </c>
      <c r="C1940" s="1">
        <v>42887</v>
      </c>
      <c r="D1940" t="s">
        <v>37</v>
      </c>
      <c r="E1940" t="s">
        <v>2085</v>
      </c>
      <c r="F1940" t="s">
        <v>2086</v>
      </c>
      <c r="G1940" t="s">
        <v>84</v>
      </c>
      <c r="H1940" t="s">
        <v>24</v>
      </c>
      <c r="I1940" t="s">
        <v>4190</v>
      </c>
      <c r="J1940" t="s">
        <v>1080</v>
      </c>
      <c r="K1940" t="s">
        <v>63</v>
      </c>
      <c r="L1940" t="s">
        <v>1281</v>
      </c>
      <c r="M1940" t="s">
        <v>29</v>
      </c>
      <c r="N1940" t="s">
        <v>53</v>
      </c>
      <c r="O1940" t="s">
        <v>1282</v>
      </c>
      <c r="P1940">
        <v>27.46</v>
      </c>
      <c r="Q1940">
        <v>2</v>
      </c>
      <c r="R1940">
        <v>9.8856000000000002</v>
      </c>
      <c r="S1940" t="s">
        <v>153</v>
      </c>
    </row>
    <row r="1941" spans="1:19" x14ac:dyDescent="0.35">
      <c r="A1941" t="s">
        <v>4191</v>
      </c>
      <c r="B1941" s="1">
        <v>42583</v>
      </c>
      <c r="C1941" s="1">
        <v>42585</v>
      </c>
      <c r="D1941" t="s">
        <v>20</v>
      </c>
      <c r="E1941" t="s">
        <v>4192</v>
      </c>
      <c r="F1941" t="s">
        <v>4193</v>
      </c>
      <c r="G1941" t="s">
        <v>23</v>
      </c>
      <c r="H1941" t="s">
        <v>24</v>
      </c>
      <c r="I1941" t="s">
        <v>61</v>
      </c>
      <c r="J1941" t="s">
        <v>62</v>
      </c>
      <c r="K1941" t="s">
        <v>63</v>
      </c>
      <c r="L1941" t="s">
        <v>542</v>
      </c>
      <c r="M1941" t="s">
        <v>29</v>
      </c>
      <c r="N1941" t="s">
        <v>53</v>
      </c>
      <c r="O1941" t="s">
        <v>3116</v>
      </c>
      <c r="P1941">
        <v>19.312000000000001</v>
      </c>
      <c r="Q1941">
        <v>2</v>
      </c>
      <c r="R1941">
        <v>3.1381999999999999</v>
      </c>
      <c r="S1941" t="s">
        <v>245</v>
      </c>
    </row>
    <row r="1942" spans="1:19" x14ac:dyDescent="0.35">
      <c r="A1942" t="s">
        <v>4194</v>
      </c>
      <c r="B1942" s="1">
        <v>42712</v>
      </c>
      <c r="C1942" s="1">
        <v>42716</v>
      </c>
      <c r="D1942" t="s">
        <v>37</v>
      </c>
      <c r="E1942" t="s">
        <v>1463</v>
      </c>
      <c r="F1942" t="s">
        <v>1464</v>
      </c>
      <c r="G1942" t="s">
        <v>23</v>
      </c>
      <c r="H1942" t="s">
        <v>24</v>
      </c>
      <c r="I1942" t="s">
        <v>4195</v>
      </c>
      <c r="J1942" t="s">
        <v>230</v>
      </c>
      <c r="K1942" t="s">
        <v>87</v>
      </c>
      <c r="L1942" t="s">
        <v>1944</v>
      </c>
      <c r="M1942" t="s">
        <v>29</v>
      </c>
      <c r="N1942" t="s">
        <v>30</v>
      </c>
      <c r="O1942" t="s">
        <v>1945</v>
      </c>
      <c r="P1942">
        <v>405.86</v>
      </c>
      <c r="Q1942">
        <v>7</v>
      </c>
      <c r="R1942">
        <v>32.468800000000002</v>
      </c>
      <c r="S1942" t="s">
        <v>90</v>
      </c>
    </row>
    <row r="1943" spans="1:19" x14ac:dyDescent="0.35">
      <c r="A1943" t="s">
        <v>4194</v>
      </c>
      <c r="B1943" s="1">
        <v>42712</v>
      </c>
      <c r="C1943" s="1">
        <v>42716</v>
      </c>
      <c r="D1943" t="s">
        <v>37</v>
      </c>
      <c r="E1943" t="s">
        <v>1463</v>
      </c>
      <c r="F1943" t="s">
        <v>1464</v>
      </c>
      <c r="G1943" t="s">
        <v>23</v>
      </c>
      <c r="H1943" t="s">
        <v>24</v>
      </c>
      <c r="I1943" t="s">
        <v>4195</v>
      </c>
      <c r="J1943" t="s">
        <v>230</v>
      </c>
      <c r="K1943" t="s">
        <v>87</v>
      </c>
      <c r="L1943" t="s">
        <v>796</v>
      </c>
      <c r="M1943" t="s">
        <v>29</v>
      </c>
      <c r="N1943" t="s">
        <v>34</v>
      </c>
      <c r="O1943" t="s">
        <v>797</v>
      </c>
      <c r="P1943">
        <v>680.01</v>
      </c>
      <c r="Q1943">
        <v>3</v>
      </c>
      <c r="R1943">
        <v>176.80260000000001</v>
      </c>
      <c r="S1943" t="s">
        <v>90</v>
      </c>
    </row>
    <row r="1944" spans="1:19" x14ac:dyDescent="0.35">
      <c r="A1944" t="s">
        <v>4196</v>
      </c>
      <c r="B1944" s="1">
        <v>42705</v>
      </c>
      <c r="C1944" s="1">
        <v>42705</v>
      </c>
      <c r="D1944" t="s">
        <v>417</v>
      </c>
      <c r="E1944" t="s">
        <v>2430</v>
      </c>
      <c r="F1944" t="s">
        <v>2431</v>
      </c>
      <c r="G1944" t="s">
        <v>94</v>
      </c>
      <c r="H1944" t="s">
        <v>24</v>
      </c>
      <c r="I1944" t="s">
        <v>3438</v>
      </c>
      <c r="J1944" t="s">
        <v>50</v>
      </c>
      <c r="K1944" t="s">
        <v>51</v>
      </c>
      <c r="L1944" t="s">
        <v>576</v>
      </c>
      <c r="M1944" t="s">
        <v>29</v>
      </c>
      <c r="N1944" t="s">
        <v>53</v>
      </c>
      <c r="O1944" t="s">
        <v>577</v>
      </c>
      <c r="P1944">
        <v>31.96</v>
      </c>
      <c r="Q1944">
        <v>2</v>
      </c>
      <c r="R1944">
        <v>1.5980000000000001</v>
      </c>
      <c r="S1944" t="s">
        <v>90</v>
      </c>
    </row>
    <row r="1945" spans="1:19" x14ac:dyDescent="0.35">
      <c r="A1945" t="s">
        <v>4197</v>
      </c>
      <c r="B1945" s="1">
        <v>42954</v>
      </c>
      <c r="C1945" s="1">
        <v>42958</v>
      </c>
      <c r="D1945" t="s">
        <v>37</v>
      </c>
      <c r="E1945" t="s">
        <v>405</v>
      </c>
      <c r="F1945" t="s">
        <v>406</v>
      </c>
      <c r="G1945" t="s">
        <v>23</v>
      </c>
      <c r="H1945" t="s">
        <v>24</v>
      </c>
      <c r="I1945" t="s">
        <v>3762</v>
      </c>
      <c r="J1945" t="s">
        <v>50</v>
      </c>
      <c r="K1945" t="s">
        <v>51</v>
      </c>
      <c r="L1945" t="s">
        <v>78</v>
      </c>
      <c r="M1945" t="s">
        <v>29</v>
      </c>
      <c r="N1945" t="s">
        <v>53</v>
      </c>
      <c r="O1945" t="s">
        <v>79</v>
      </c>
      <c r="P1945">
        <v>51.75</v>
      </c>
      <c r="Q1945">
        <v>1</v>
      </c>
      <c r="R1945">
        <v>15.525</v>
      </c>
      <c r="S1945" t="s">
        <v>245</v>
      </c>
    </row>
    <row r="1946" spans="1:19" x14ac:dyDescent="0.35">
      <c r="A1946" t="s">
        <v>4197</v>
      </c>
      <c r="B1946" s="1">
        <v>42954</v>
      </c>
      <c r="C1946" s="1">
        <v>42958</v>
      </c>
      <c r="D1946" t="s">
        <v>37</v>
      </c>
      <c r="E1946" t="s">
        <v>405</v>
      </c>
      <c r="F1946" t="s">
        <v>406</v>
      </c>
      <c r="G1946" t="s">
        <v>23</v>
      </c>
      <c r="H1946" t="s">
        <v>24</v>
      </c>
      <c r="I1946" t="s">
        <v>3762</v>
      </c>
      <c r="J1946" t="s">
        <v>50</v>
      </c>
      <c r="K1946" t="s">
        <v>51</v>
      </c>
      <c r="L1946" t="s">
        <v>4198</v>
      </c>
      <c r="M1946" t="s">
        <v>29</v>
      </c>
      <c r="N1946" t="s">
        <v>34</v>
      </c>
      <c r="O1946" t="s">
        <v>4199</v>
      </c>
      <c r="P1946">
        <v>207.184</v>
      </c>
      <c r="Q1946">
        <v>1</v>
      </c>
      <c r="R1946">
        <v>25.898</v>
      </c>
      <c r="S1946" t="s">
        <v>245</v>
      </c>
    </row>
    <row r="1947" spans="1:19" x14ac:dyDescent="0.35">
      <c r="A1947" t="s">
        <v>4200</v>
      </c>
      <c r="B1947" s="1">
        <v>41769</v>
      </c>
      <c r="C1947" s="1">
        <v>41774</v>
      </c>
      <c r="D1947" t="s">
        <v>37</v>
      </c>
      <c r="E1947" t="s">
        <v>1117</v>
      </c>
      <c r="F1947" t="s">
        <v>1118</v>
      </c>
      <c r="G1947" t="s">
        <v>23</v>
      </c>
      <c r="H1947" t="s">
        <v>24</v>
      </c>
      <c r="I1947" t="s">
        <v>1482</v>
      </c>
      <c r="J1947" t="s">
        <v>50</v>
      </c>
      <c r="K1947" t="s">
        <v>51</v>
      </c>
      <c r="L1947" t="s">
        <v>2264</v>
      </c>
      <c r="M1947" t="s">
        <v>29</v>
      </c>
      <c r="N1947" t="s">
        <v>34</v>
      </c>
      <c r="O1947" t="s">
        <v>2265</v>
      </c>
      <c r="P1947">
        <v>256.78399999999999</v>
      </c>
      <c r="Q1947">
        <v>1</v>
      </c>
      <c r="R1947">
        <v>32.097999999999999</v>
      </c>
      <c r="S1947" t="s">
        <v>153</v>
      </c>
    </row>
    <row r="1948" spans="1:19" x14ac:dyDescent="0.35">
      <c r="A1948" t="s">
        <v>4201</v>
      </c>
      <c r="B1948" s="1">
        <v>42660</v>
      </c>
      <c r="C1948" s="1">
        <v>42663</v>
      </c>
      <c r="D1948" t="s">
        <v>81</v>
      </c>
      <c r="E1948" t="s">
        <v>2927</v>
      </c>
      <c r="F1948" t="s">
        <v>2928</v>
      </c>
      <c r="G1948" t="s">
        <v>23</v>
      </c>
      <c r="H1948" t="s">
        <v>24</v>
      </c>
      <c r="I1948" t="s">
        <v>4202</v>
      </c>
      <c r="J1948" t="s">
        <v>354</v>
      </c>
      <c r="K1948" t="s">
        <v>63</v>
      </c>
      <c r="L1948" t="s">
        <v>533</v>
      </c>
      <c r="M1948" t="s">
        <v>29</v>
      </c>
      <c r="N1948" t="s">
        <v>30</v>
      </c>
      <c r="O1948" t="s">
        <v>534</v>
      </c>
      <c r="P1948">
        <v>120.98</v>
      </c>
      <c r="Q1948">
        <v>1</v>
      </c>
      <c r="R1948">
        <v>12.098000000000001</v>
      </c>
      <c r="S1948" t="s">
        <v>45</v>
      </c>
    </row>
    <row r="1949" spans="1:19" x14ac:dyDescent="0.35">
      <c r="A1949" t="s">
        <v>4203</v>
      </c>
      <c r="B1949" s="1">
        <v>41981</v>
      </c>
      <c r="C1949" s="1">
        <v>41988</v>
      </c>
      <c r="D1949" t="s">
        <v>37</v>
      </c>
      <c r="E1949" t="s">
        <v>655</v>
      </c>
      <c r="F1949" t="s">
        <v>656</v>
      </c>
      <c r="G1949" t="s">
        <v>84</v>
      </c>
      <c r="H1949" t="s">
        <v>24</v>
      </c>
      <c r="I1949" t="s">
        <v>320</v>
      </c>
      <c r="J1949" t="s">
        <v>50</v>
      </c>
      <c r="K1949" t="s">
        <v>51</v>
      </c>
      <c r="L1949" t="s">
        <v>120</v>
      </c>
      <c r="M1949" t="s">
        <v>29</v>
      </c>
      <c r="N1949" t="s">
        <v>53</v>
      </c>
      <c r="O1949" t="s">
        <v>121</v>
      </c>
      <c r="P1949">
        <v>39.880000000000003</v>
      </c>
      <c r="Q1949">
        <v>2</v>
      </c>
      <c r="R1949">
        <v>11.166399999999999</v>
      </c>
      <c r="S1949" t="s">
        <v>90</v>
      </c>
    </row>
    <row r="1950" spans="1:19" x14ac:dyDescent="0.35">
      <c r="A1950" t="s">
        <v>4203</v>
      </c>
      <c r="B1950" s="1">
        <v>41981</v>
      </c>
      <c r="C1950" s="1">
        <v>41988</v>
      </c>
      <c r="D1950" t="s">
        <v>37</v>
      </c>
      <c r="E1950" t="s">
        <v>655</v>
      </c>
      <c r="F1950" t="s">
        <v>656</v>
      </c>
      <c r="G1950" t="s">
        <v>84</v>
      </c>
      <c r="H1950" t="s">
        <v>24</v>
      </c>
      <c r="I1950" t="s">
        <v>320</v>
      </c>
      <c r="J1950" t="s">
        <v>50</v>
      </c>
      <c r="K1950" t="s">
        <v>51</v>
      </c>
      <c r="L1950" t="s">
        <v>1412</v>
      </c>
      <c r="M1950" t="s">
        <v>29</v>
      </c>
      <c r="N1950" t="s">
        <v>53</v>
      </c>
      <c r="O1950" t="s">
        <v>1413</v>
      </c>
      <c r="P1950">
        <v>79.44</v>
      </c>
      <c r="Q1950">
        <v>3</v>
      </c>
      <c r="R1950">
        <v>28.598400000000002</v>
      </c>
      <c r="S1950" t="s">
        <v>90</v>
      </c>
    </row>
    <row r="1951" spans="1:19" x14ac:dyDescent="0.35">
      <c r="A1951" t="s">
        <v>4204</v>
      </c>
      <c r="B1951" s="1">
        <v>42232</v>
      </c>
      <c r="C1951" s="1">
        <v>42236</v>
      </c>
      <c r="D1951" t="s">
        <v>37</v>
      </c>
      <c r="E1951" t="s">
        <v>1459</v>
      </c>
      <c r="F1951" t="s">
        <v>1460</v>
      </c>
      <c r="G1951" t="s">
        <v>23</v>
      </c>
      <c r="H1951" t="s">
        <v>24</v>
      </c>
      <c r="I1951" t="s">
        <v>61</v>
      </c>
      <c r="J1951" t="s">
        <v>62</v>
      </c>
      <c r="K1951" t="s">
        <v>63</v>
      </c>
      <c r="L1951" t="s">
        <v>1860</v>
      </c>
      <c r="M1951" t="s">
        <v>29</v>
      </c>
      <c r="N1951" t="s">
        <v>30</v>
      </c>
      <c r="O1951" t="s">
        <v>1861</v>
      </c>
      <c r="P1951">
        <v>301.47000000000003</v>
      </c>
      <c r="Q1951">
        <v>3</v>
      </c>
      <c r="R1951">
        <v>-204.99959999999999</v>
      </c>
      <c r="S1951" t="s">
        <v>245</v>
      </c>
    </row>
    <row r="1952" spans="1:19" x14ac:dyDescent="0.35">
      <c r="A1952" t="s">
        <v>4205</v>
      </c>
      <c r="B1952" s="1">
        <v>43021</v>
      </c>
      <c r="C1952" s="1">
        <v>43022</v>
      </c>
      <c r="D1952" t="s">
        <v>81</v>
      </c>
      <c r="E1952" t="s">
        <v>2098</v>
      </c>
      <c r="F1952" t="s">
        <v>2099</v>
      </c>
      <c r="G1952" t="s">
        <v>23</v>
      </c>
      <c r="H1952" t="s">
        <v>24</v>
      </c>
      <c r="I1952" t="s">
        <v>1396</v>
      </c>
      <c r="J1952" t="s">
        <v>1397</v>
      </c>
      <c r="K1952" t="s">
        <v>27</v>
      </c>
      <c r="L1952" t="s">
        <v>298</v>
      </c>
      <c r="M1952" t="s">
        <v>29</v>
      </c>
      <c r="N1952" t="s">
        <v>43</v>
      </c>
      <c r="O1952" t="s">
        <v>299</v>
      </c>
      <c r="P1952">
        <v>1504.52</v>
      </c>
      <c r="Q1952">
        <v>4</v>
      </c>
      <c r="R1952">
        <v>346.03960000000001</v>
      </c>
      <c r="S1952" t="s">
        <v>45</v>
      </c>
    </row>
    <row r="1953" spans="1:19" x14ac:dyDescent="0.35">
      <c r="A1953" t="s">
        <v>4206</v>
      </c>
      <c r="B1953" s="1">
        <v>42615</v>
      </c>
      <c r="C1953" s="1">
        <v>42619</v>
      </c>
      <c r="D1953" t="s">
        <v>37</v>
      </c>
      <c r="E1953" t="s">
        <v>628</v>
      </c>
      <c r="F1953" t="s">
        <v>629</v>
      </c>
      <c r="G1953" t="s">
        <v>23</v>
      </c>
      <c r="H1953" t="s">
        <v>24</v>
      </c>
      <c r="I1953" t="s">
        <v>49</v>
      </c>
      <c r="J1953" t="s">
        <v>50</v>
      </c>
      <c r="K1953" t="s">
        <v>51</v>
      </c>
      <c r="L1953" t="s">
        <v>1568</v>
      </c>
      <c r="M1953" t="s">
        <v>29</v>
      </c>
      <c r="N1953" t="s">
        <v>53</v>
      </c>
      <c r="O1953" t="s">
        <v>1569</v>
      </c>
      <c r="P1953">
        <v>94.68</v>
      </c>
      <c r="Q1953">
        <v>9</v>
      </c>
      <c r="R1953">
        <v>31.244399999999999</v>
      </c>
      <c r="S1953" t="s">
        <v>72</v>
      </c>
    </row>
    <row r="1954" spans="1:19" x14ac:dyDescent="0.35">
      <c r="A1954" t="s">
        <v>4206</v>
      </c>
      <c r="B1954" s="1">
        <v>42615</v>
      </c>
      <c r="C1954" s="1">
        <v>42619</v>
      </c>
      <c r="D1954" t="s">
        <v>37</v>
      </c>
      <c r="E1954" t="s">
        <v>628</v>
      </c>
      <c r="F1954" t="s">
        <v>629</v>
      </c>
      <c r="G1954" t="s">
        <v>23</v>
      </c>
      <c r="H1954" t="s">
        <v>24</v>
      </c>
      <c r="I1954" t="s">
        <v>49</v>
      </c>
      <c r="J1954" t="s">
        <v>50</v>
      </c>
      <c r="K1954" t="s">
        <v>51</v>
      </c>
      <c r="L1954" t="s">
        <v>56</v>
      </c>
      <c r="M1954" t="s">
        <v>29</v>
      </c>
      <c r="N1954" t="s">
        <v>43</v>
      </c>
      <c r="O1954" t="s">
        <v>57</v>
      </c>
      <c r="P1954">
        <v>568.72799999999995</v>
      </c>
      <c r="Q1954">
        <v>3</v>
      </c>
      <c r="R1954">
        <v>28.436399999999999</v>
      </c>
      <c r="S1954" t="s">
        <v>72</v>
      </c>
    </row>
    <row r="1955" spans="1:19" x14ac:dyDescent="0.35">
      <c r="A1955" t="s">
        <v>4207</v>
      </c>
      <c r="B1955" s="1">
        <v>42777</v>
      </c>
      <c r="C1955" s="1">
        <v>42780</v>
      </c>
      <c r="D1955" t="s">
        <v>81</v>
      </c>
      <c r="E1955" t="s">
        <v>1675</v>
      </c>
      <c r="F1955" t="s">
        <v>1676</v>
      </c>
      <c r="G1955" t="s">
        <v>23</v>
      </c>
      <c r="H1955" t="s">
        <v>24</v>
      </c>
      <c r="I1955" t="s">
        <v>339</v>
      </c>
      <c r="J1955" t="s">
        <v>223</v>
      </c>
      <c r="K1955" t="s">
        <v>63</v>
      </c>
      <c r="L1955" t="s">
        <v>911</v>
      </c>
      <c r="M1955" t="s">
        <v>29</v>
      </c>
      <c r="N1955" t="s">
        <v>53</v>
      </c>
      <c r="O1955" t="s">
        <v>912</v>
      </c>
      <c r="P1955">
        <v>147.56800000000001</v>
      </c>
      <c r="Q1955">
        <v>2</v>
      </c>
      <c r="R1955">
        <v>-3.6892</v>
      </c>
      <c r="S1955" t="s">
        <v>289</v>
      </c>
    </row>
    <row r="1956" spans="1:19" x14ac:dyDescent="0.35">
      <c r="A1956" t="s">
        <v>4208</v>
      </c>
      <c r="B1956" s="1">
        <v>41829</v>
      </c>
      <c r="C1956" s="1">
        <v>41834</v>
      </c>
      <c r="D1956" t="s">
        <v>37</v>
      </c>
      <c r="E1956" t="s">
        <v>756</v>
      </c>
      <c r="F1956" t="s">
        <v>757</v>
      </c>
      <c r="G1956" t="s">
        <v>94</v>
      </c>
      <c r="H1956" t="s">
        <v>24</v>
      </c>
      <c r="I1956" t="s">
        <v>320</v>
      </c>
      <c r="J1956" t="s">
        <v>50</v>
      </c>
      <c r="K1956" t="s">
        <v>51</v>
      </c>
      <c r="L1956" t="s">
        <v>2613</v>
      </c>
      <c r="M1956" t="s">
        <v>29</v>
      </c>
      <c r="N1956" t="s">
        <v>30</v>
      </c>
      <c r="O1956" t="s">
        <v>2614</v>
      </c>
      <c r="P1956">
        <v>119.833</v>
      </c>
      <c r="Q1956">
        <v>1</v>
      </c>
      <c r="R1956">
        <v>7.0490000000000004</v>
      </c>
      <c r="S1956" t="s">
        <v>66</v>
      </c>
    </row>
    <row r="1957" spans="1:19" x14ac:dyDescent="0.35">
      <c r="A1957" t="s">
        <v>4209</v>
      </c>
      <c r="B1957" s="1">
        <v>41681</v>
      </c>
      <c r="C1957" s="1">
        <v>41685</v>
      </c>
      <c r="D1957" t="s">
        <v>20</v>
      </c>
      <c r="E1957" t="s">
        <v>858</v>
      </c>
      <c r="F1957" t="s">
        <v>859</v>
      </c>
      <c r="G1957" t="s">
        <v>23</v>
      </c>
      <c r="H1957" t="s">
        <v>24</v>
      </c>
      <c r="I1957" t="s">
        <v>149</v>
      </c>
      <c r="J1957" t="s">
        <v>556</v>
      </c>
      <c r="K1957" t="s">
        <v>87</v>
      </c>
      <c r="L1957" t="s">
        <v>127</v>
      </c>
      <c r="M1957" t="s">
        <v>29</v>
      </c>
      <c r="N1957" t="s">
        <v>34</v>
      </c>
      <c r="O1957" t="s">
        <v>128</v>
      </c>
      <c r="P1957">
        <v>60.89</v>
      </c>
      <c r="Q1957">
        <v>1</v>
      </c>
      <c r="R1957">
        <v>15.2225</v>
      </c>
      <c r="S1957" t="s">
        <v>289</v>
      </c>
    </row>
    <row r="1958" spans="1:19" x14ac:dyDescent="0.35">
      <c r="A1958" t="s">
        <v>4209</v>
      </c>
      <c r="B1958" s="1">
        <v>41681</v>
      </c>
      <c r="C1958" s="1">
        <v>41685</v>
      </c>
      <c r="D1958" t="s">
        <v>20</v>
      </c>
      <c r="E1958" t="s">
        <v>858</v>
      </c>
      <c r="F1958" t="s">
        <v>859</v>
      </c>
      <c r="G1958" t="s">
        <v>23</v>
      </c>
      <c r="H1958" t="s">
        <v>24</v>
      </c>
      <c r="I1958" t="s">
        <v>149</v>
      </c>
      <c r="J1958" t="s">
        <v>556</v>
      </c>
      <c r="K1958" t="s">
        <v>87</v>
      </c>
      <c r="L1958" t="s">
        <v>1844</v>
      </c>
      <c r="M1958" t="s">
        <v>29</v>
      </c>
      <c r="N1958" t="s">
        <v>53</v>
      </c>
      <c r="O1958" t="s">
        <v>1845</v>
      </c>
      <c r="P1958">
        <v>332.94</v>
      </c>
      <c r="Q1958">
        <v>3</v>
      </c>
      <c r="R1958">
        <v>53.270400000000002</v>
      </c>
      <c r="S1958" t="s">
        <v>289</v>
      </c>
    </row>
    <row r="1959" spans="1:19" x14ac:dyDescent="0.35">
      <c r="A1959" t="s">
        <v>4210</v>
      </c>
      <c r="B1959" s="1">
        <v>42980</v>
      </c>
      <c r="C1959" s="1">
        <v>42980</v>
      </c>
      <c r="D1959" t="s">
        <v>417</v>
      </c>
      <c r="E1959" t="s">
        <v>3190</v>
      </c>
      <c r="F1959" t="s">
        <v>3191</v>
      </c>
      <c r="G1959" t="s">
        <v>94</v>
      </c>
      <c r="H1959" t="s">
        <v>24</v>
      </c>
      <c r="I1959" t="s">
        <v>183</v>
      </c>
      <c r="J1959" t="s">
        <v>184</v>
      </c>
      <c r="K1959" t="s">
        <v>51</v>
      </c>
      <c r="L1959" t="s">
        <v>108</v>
      </c>
      <c r="M1959" t="s">
        <v>29</v>
      </c>
      <c r="N1959" t="s">
        <v>34</v>
      </c>
      <c r="O1959" t="s">
        <v>109</v>
      </c>
      <c r="P1959">
        <v>215.976</v>
      </c>
      <c r="Q1959">
        <v>3</v>
      </c>
      <c r="R1959">
        <v>-2.6997</v>
      </c>
      <c r="S1959" t="s">
        <v>72</v>
      </c>
    </row>
    <row r="1960" spans="1:19" x14ac:dyDescent="0.35">
      <c r="A1960" t="s">
        <v>4211</v>
      </c>
      <c r="B1960" s="1">
        <v>42286</v>
      </c>
      <c r="C1960" s="1">
        <v>42290</v>
      </c>
      <c r="D1960" t="s">
        <v>37</v>
      </c>
      <c r="E1960" t="s">
        <v>4212</v>
      </c>
      <c r="F1960" t="s">
        <v>4213</v>
      </c>
      <c r="G1960" t="s">
        <v>23</v>
      </c>
      <c r="H1960" t="s">
        <v>24</v>
      </c>
      <c r="I1960" t="s">
        <v>280</v>
      </c>
      <c r="J1960" t="s">
        <v>281</v>
      </c>
      <c r="K1960" t="s">
        <v>87</v>
      </c>
      <c r="L1960" t="s">
        <v>134</v>
      </c>
      <c r="M1960" t="s">
        <v>29</v>
      </c>
      <c r="N1960" t="s">
        <v>34</v>
      </c>
      <c r="O1960" t="s">
        <v>135</v>
      </c>
      <c r="P1960">
        <v>389.97</v>
      </c>
      <c r="Q1960">
        <v>3</v>
      </c>
      <c r="R1960">
        <v>35.097299999999997</v>
      </c>
      <c r="S1960" t="s">
        <v>45</v>
      </c>
    </row>
    <row r="1961" spans="1:19" x14ac:dyDescent="0.35">
      <c r="A1961" t="s">
        <v>4214</v>
      </c>
      <c r="B1961" s="1">
        <v>41678</v>
      </c>
      <c r="C1961" s="1">
        <v>41679</v>
      </c>
      <c r="D1961" t="s">
        <v>81</v>
      </c>
      <c r="E1961" t="s">
        <v>384</v>
      </c>
      <c r="F1961" t="s">
        <v>385</v>
      </c>
      <c r="G1961" t="s">
        <v>94</v>
      </c>
      <c r="H1961" t="s">
        <v>24</v>
      </c>
      <c r="I1961" t="s">
        <v>1330</v>
      </c>
      <c r="J1961" t="s">
        <v>1331</v>
      </c>
      <c r="K1961" t="s">
        <v>51</v>
      </c>
      <c r="L1961" t="s">
        <v>2868</v>
      </c>
      <c r="M1961" t="s">
        <v>29</v>
      </c>
      <c r="N1961" t="s">
        <v>53</v>
      </c>
      <c r="O1961" t="s">
        <v>2869</v>
      </c>
      <c r="P1961">
        <v>14.56</v>
      </c>
      <c r="Q1961">
        <v>2</v>
      </c>
      <c r="R1961">
        <v>5.5327999999999999</v>
      </c>
      <c r="S1961" t="s">
        <v>289</v>
      </c>
    </row>
    <row r="1962" spans="1:19" x14ac:dyDescent="0.35">
      <c r="A1962" t="s">
        <v>4215</v>
      </c>
      <c r="B1962" s="1">
        <v>42272</v>
      </c>
      <c r="C1962" s="1">
        <v>42272</v>
      </c>
      <c r="D1962" t="s">
        <v>417</v>
      </c>
      <c r="E1962" t="s">
        <v>619</v>
      </c>
      <c r="F1962" t="s">
        <v>620</v>
      </c>
      <c r="G1962" t="s">
        <v>23</v>
      </c>
      <c r="H1962" t="s">
        <v>24</v>
      </c>
      <c r="I1962" t="s">
        <v>2719</v>
      </c>
      <c r="J1962" t="s">
        <v>114</v>
      </c>
      <c r="K1962" t="s">
        <v>63</v>
      </c>
      <c r="L1962" t="s">
        <v>3207</v>
      </c>
      <c r="M1962" t="s">
        <v>29</v>
      </c>
      <c r="N1962" t="s">
        <v>34</v>
      </c>
      <c r="O1962" t="s">
        <v>3208</v>
      </c>
      <c r="P1962">
        <v>102.58199999999999</v>
      </c>
      <c r="Q1962">
        <v>1</v>
      </c>
      <c r="R1962">
        <v>6.8388</v>
      </c>
      <c r="S1962" t="s">
        <v>72</v>
      </c>
    </row>
    <row r="1963" spans="1:19" x14ac:dyDescent="0.35">
      <c r="A1963" t="s">
        <v>4216</v>
      </c>
      <c r="B1963" s="1">
        <v>42502</v>
      </c>
      <c r="C1963" s="1">
        <v>42507</v>
      </c>
      <c r="D1963" t="s">
        <v>37</v>
      </c>
      <c r="E1963" t="s">
        <v>1857</v>
      </c>
      <c r="F1963" t="s">
        <v>1858</v>
      </c>
      <c r="G1963" t="s">
        <v>84</v>
      </c>
      <c r="H1963" t="s">
        <v>24</v>
      </c>
      <c r="I1963" t="s">
        <v>165</v>
      </c>
      <c r="J1963" t="s">
        <v>114</v>
      </c>
      <c r="K1963" t="s">
        <v>63</v>
      </c>
      <c r="L1963" t="s">
        <v>2416</v>
      </c>
      <c r="M1963" t="s">
        <v>29</v>
      </c>
      <c r="N1963" t="s">
        <v>53</v>
      </c>
      <c r="O1963" t="s">
        <v>2417</v>
      </c>
      <c r="P1963">
        <v>10.02</v>
      </c>
      <c r="Q1963">
        <v>3</v>
      </c>
      <c r="R1963">
        <v>4.4088000000000003</v>
      </c>
      <c r="S1963" t="s">
        <v>153</v>
      </c>
    </row>
    <row r="1964" spans="1:19" x14ac:dyDescent="0.35">
      <c r="A1964" t="s">
        <v>4217</v>
      </c>
      <c r="B1964" s="1">
        <v>43070</v>
      </c>
      <c r="C1964" s="1">
        <v>43074</v>
      </c>
      <c r="D1964" t="s">
        <v>37</v>
      </c>
      <c r="E1964" t="s">
        <v>3674</v>
      </c>
      <c r="F1964" t="s">
        <v>3675</v>
      </c>
      <c r="G1964" t="s">
        <v>23</v>
      </c>
      <c r="H1964" t="s">
        <v>24</v>
      </c>
      <c r="I1964" t="s">
        <v>61</v>
      </c>
      <c r="J1964" t="s">
        <v>62</v>
      </c>
      <c r="K1964" t="s">
        <v>63</v>
      </c>
      <c r="L1964" t="s">
        <v>566</v>
      </c>
      <c r="M1964" t="s">
        <v>29</v>
      </c>
      <c r="N1964" t="s">
        <v>34</v>
      </c>
      <c r="O1964" t="s">
        <v>567</v>
      </c>
      <c r="P1964">
        <v>398.97199999999998</v>
      </c>
      <c r="Q1964">
        <v>2</v>
      </c>
      <c r="R1964">
        <v>-28.498000000000001</v>
      </c>
      <c r="S1964" t="s">
        <v>90</v>
      </c>
    </row>
    <row r="1965" spans="1:19" x14ac:dyDescent="0.35">
      <c r="A1965" t="s">
        <v>4218</v>
      </c>
      <c r="B1965" s="1">
        <v>42633</v>
      </c>
      <c r="C1965" s="1">
        <v>42637</v>
      </c>
      <c r="D1965" t="s">
        <v>37</v>
      </c>
      <c r="E1965" t="s">
        <v>4219</v>
      </c>
      <c r="F1965" t="s">
        <v>4220</v>
      </c>
      <c r="G1965" t="s">
        <v>94</v>
      </c>
      <c r="H1965" t="s">
        <v>24</v>
      </c>
      <c r="I1965" t="s">
        <v>183</v>
      </c>
      <c r="J1965" t="s">
        <v>184</v>
      </c>
      <c r="K1965" t="s">
        <v>51</v>
      </c>
      <c r="L1965" t="s">
        <v>2724</v>
      </c>
      <c r="M1965" t="s">
        <v>29</v>
      </c>
      <c r="N1965" t="s">
        <v>30</v>
      </c>
      <c r="O1965" t="s">
        <v>2725</v>
      </c>
      <c r="P1965">
        <v>163.88</v>
      </c>
      <c r="Q1965">
        <v>2</v>
      </c>
      <c r="R1965">
        <v>40.97</v>
      </c>
      <c r="S1965" t="s">
        <v>72</v>
      </c>
    </row>
    <row r="1966" spans="1:19" x14ac:dyDescent="0.35">
      <c r="A1966" t="s">
        <v>4221</v>
      </c>
      <c r="B1966" s="1">
        <v>41961</v>
      </c>
      <c r="C1966" s="1">
        <v>41966</v>
      </c>
      <c r="D1966" t="s">
        <v>37</v>
      </c>
      <c r="E1966" t="s">
        <v>418</v>
      </c>
      <c r="F1966" t="s">
        <v>419</v>
      </c>
      <c r="G1966" t="s">
        <v>84</v>
      </c>
      <c r="H1966" t="s">
        <v>24</v>
      </c>
      <c r="I1966" t="s">
        <v>229</v>
      </c>
      <c r="J1966" t="s">
        <v>230</v>
      </c>
      <c r="K1966" t="s">
        <v>87</v>
      </c>
      <c r="L1966" t="s">
        <v>659</v>
      </c>
      <c r="M1966" t="s">
        <v>29</v>
      </c>
      <c r="N1966" t="s">
        <v>34</v>
      </c>
      <c r="O1966" t="s">
        <v>660</v>
      </c>
      <c r="P1966">
        <v>392.94</v>
      </c>
      <c r="Q1966">
        <v>3</v>
      </c>
      <c r="R1966">
        <v>43.223399999999998</v>
      </c>
      <c r="S1966" t="s">
        <v>32</v>
      </c>
    </row>
    <row r="1967" spans="1:19" x14ac:dyDescent="0.35">
      <c r="A1967" t="s">
        <v>4222</v>
      </c>
      <c r="B1967" s="1">
        <v>42329</v>
      </c>
      <c r="C1967" s="1">
        <v>42332</v>
      </c>
      <c r="D1967" t="s">
        <v>81</v>
      </c>
      <c r="E1967" t="s">
        <v>4223</v>
      </c>
      <c r="F1967" t="s">
        <v>4224</v>
      </c>
      <c r="G1967" t="s">
        <v>23</v>
      </c>
      <c r="H1967" t="s">
        <v>24</v>
      </c>
      <c r="I1967" t="s">
        <v>1026</v>
      </c>
      <c r="J1967" t="s">
        <v>1027</v>
      </c>
      <c r="K1967" t="s">
        <v>27</v>
      </c>
      <c r="L1967" t="s">
        <v>275</v>
      </c>
      <c r="M1967" t="s">
        <v>29</v>
      </c>
      <c r="N1967" t="s">
        <v>53</v>
      </c>
      <c r="O1967" t="s">
        <v>276</v>
      </c>
      <c r="P1967">
        <v>18.175999999999998</v>
      </c>
      <c r="Q1967">
        <v>1</v>
      </c>
      <c r="R1967">
        <v>4.7712000000000003</v>
      </c>
      <c r="S1967" t="s">
        <v>32</v>
      </c>
    </row>
    <row r="1968" spans="1:19" x14ac:dyDescent="0.35">
      <c r="A1968" t="s">
        <v>4225</v>
      </c>
      <c r="B1968" s="1">
        <v>42905</v>
      </c>
      <c r="C1968" s="1">
        <v>42912</v>
      </c>
      <c r="D1968" t="s">
        <v>37</v>
      </c>
      <c r="E1968" t="s">
        <v>3387</v>
      </c>
      <c r="F1968" t="s">
        <v>3388</v>
      </c>
      <c r="G1968" t="s">
        <v>94</v>
      </c>
      <c r="H1968" t="s">
        <v>24</v>
      </c>
      <c r="I1968" t="s">
        <v>1730</v>
      </c>
      <c r="J1968" t="s">
        <v>86</v>
      </c>
      <c r="K1968" t="s">
        <v>87</v>
      </c>
      <c r="L1968" t="s">
        <v>690</v>
      </c>
      <c r="M1968" t="s">
        <v>29</v>
      </c>
      <c r="N1968" t="s">
        <v>43</v>
      </c>
      <c r="O1968" t="s">
        <v>691</v>
      </c>
      <c r="P1968">
        <v>457.48500000000001</v>
      </c>
      <c r="Q1968">
        <v>3</v>
      </c>
      <c r="R1968">
        <v>-84.961500000000001</v>
      </c>
      <c r="S1968" t="s">
        <v>55</v>
      </c>
    </row>
    <row r="1969" spans="1:19" x14ac:dyDescent="0.35">
      <c r="A1969" t="s">
        <v>4226</v>
      </c>
      <c r="B1969" s="1">
        <v>43069</v>
      </c>
      <c r="C1969" s="1">
        <v>43072</v>
      </c>
      <c r="D1969" t="s">
        <v>81</v>
      </c>
      <c r="E1969" t="s">
        <v>1706</v>
      </c>
      <c r="F1969" t="s">
        <v>1707</v>
      </c>
      <c r="G1969" t="s">
        <v>23</v>
      </c>
      <c r="H1969" t="s">
        <v>24</v>
      </c>
      <c r="I1969" t="s">
        <v>61</v>
      </c>
      <c r="J1969" t="s">
        <v>62</v>
      </c>
      <c r="K1969" t="s">
        <v>63</v>
      </c>
      <c r="L1969" t="s">
        <v>1591</v>
      </c>
      <c r="M1969" t="s">
        <v>29</v>
      </c>
      <c r="N1969" t="s">
        <v>34</v>
      </c>
      <c r="O1969" t="s">
        <v>1592</v>
      </c>
      <c r="P1969">
        <v>1079.316</v>
      </c>
      <c r="Q1969">
        <v>6</v>
      </c>
      <c r="R1969">
        <v>-15.418799999999999</v>
      </c>
      <c r="S1969" t="s">
        <v>32</v>
      </c>
    </row>
    <row r="1970" spans="1:19" x14ac:dyDescent="0.35">
      <c r="A1970" t="s">
        <v>4227</v>
      </c>
      <c r="B1970" s="1">
        <v>42883</v>
      </c>
      <c r="C1970" s="1">
        <v>42887</v>
      </c>
      <c r="D1970" t="s">
        <v>37</v>
      </c>
      <c r="E1970" t="s">
        <v>4228</v>
      </c>
      <c r="F1970" t="s">
        <v>4229</v>
      </c>
      <c r="G1970" t="s">
        <v>84</v>
      </c>
      <c r="H1970" t="s">
        <v>24</v>
      </c>
      <c r="I1970" t="s">
        <v>684</v>
      </c>
      <c r="J1970" t="s">
        <v>223</v>
      </c>
      <c r="K1970" t="s">
        <v>63</v>
      </c>
      <c r="L1970" t="s">
        <v>340</v>
      </c>
      <c r="M1970" t="s">
        <v>29</v>
      </c>
      <c r="N1970" t="s">
        <v>30</v>
      </c>
      <c r="O1970" t="s">
        <v>341</v>
      </c>
      <c r="P1970">
        <v>115.96</v>
      </c>
      <c r="Q1970">
        <v>4</v>
      </c>
      <c r="R1970">
        <v>-64.937600000000003</v>
      </c>
      <c r="S1970" t="s">
        <v>153</v>
      </c>
    </row>
    <row r="1971" spans="1:19" x14ac:dyDescent="0.35">
      <c r="A1971" t="s">
        <v>4230</v>
      </c>
      <c r="B1971" s="1">
        <v>42112</v>
      </c>
      <c r="C1971" s="1">
        <v>42116</v>
      </c>
      <c r="D1971" t="s">
        <v>20</v>
      </c>
      <c r="E1971" t="s">
        <v>460</v>
      </c>
      <c r="F1971" t="s">
        <v>461</v>
      </c>
      <c r="G1971" t="s">
        <v>84</v>
      </c>
      <c r="H1971" t="s">
        <v>24</v>
      </c>
      <c r="I1971" t="s">
        <v>4231</v>
      </c>
      <c r="J1971" t="s">
        <v>86</v>
      </c>
      <c r="K1971" t="s">
        <v>87</v>
      </c>
      <c r="L1971" t="s">
        <v>501</v>
      </c>
      <c r="M1971" t="s">
        <v>29</v>
      </c>
      <c r="N1971" t="s">
        <v>34</v>
      </c>
      <c r="O1971" t="s">
        <v>502</v>
      </c>
      <c r="P1971">
        <v>56.686</v>
      </c>
      <c r="Q1971">
        <v>1</v>
      </c>
      <c r="R1971">
        <v>-20.245000000000001</v>
      </c>
      <c r="S1971" t="s">
        <v>107</v>
      </c>
    </row>
    <row r="1972" spans="1:19" x14ac:dyDescent="0.35">
      <c r="A1972" t="s">
        <v>4232</v>
      </c>
      <c r="B1972" s="1">
        <v>42936</v>
      </c>
      <c r="C1972" s="1">
        <v>42941</v>
      </c>
      <c r="D1972" t="s">
        <v>37</v>
      </c>
      <c r="E1972" t="s">
        <v>671</v>
      </c>
      <c r="F1972" t="s">
        <v>672</v>
      </c>
      <c r="G1972" t="s">
        <v>84</v>
      </c>
      <c r="H1972" t="s">
        <v>24</v>
      </c>
      <c r="I1972" t="s">
        <v>165</v>
      </c>
      <c r="J1972" t="s">
        <v>114</v>
      </c>
      <c r="K1972" t="s">
        <v>63</v>
      </c>
      <c r="L1972" t="s">
        <v>4233</v>
      </c>
      <c r="M1972" t="s">
        <v>29</v>
      </c>
      <c r="N1972" t="s">
        <v>34</v>
      </c>
      <c r="O1972" t="s">
        <v>4234</v>
      </c>
      <c r="P1972">
        <v>163.76400000000001</v>
      </c>
      <c r="Q1972">
        <v>2</v>
      </c>
      <c r="R1972">
        <v>25.474399999999999</v>
      </c>
      <c r="S1972" t="s">
        <v>66</v>
      </c>
    </row>
    <row r="1973" spans="1:19" x14ac:dyDescent="0.35">
      <c r="A1973" t="s">
        <v>4232</v>
      </c>
      <c r="B1973" s="1">
        <v>42936</v>
      </c>
      <c r="C1973" s="1">
        <v>42941</v>
      </c>
      <c r="D1973" t="s">
        <v>37</v>
      </c>
      <c r="E1973" t="s">
        <v>671</v>
      </c>
      <c r="F1973" t="s">
        <v>672</v>
      </c>
      <c r="G1973" t="s">
        <v>84</v>
      </c>
      <c r="H1973" t="s">
        <v>24</v>
      </c>
      <c r="I1973" t="s">
        <v>165</v>
      </c>
      <c r="J1973" t="s">
        <v>114</v>
      </c>
      <c r="K1973" t="s">
        <v>63</v>
      </c>
      <c r="L1973" t="s">
        <v>3279</v>
      </c>
      <c r="M1973" t="s">
        <v>29</v>
      </c>
      <c r="N1973" t="s">
        <v>53</v>
      </c>
      <c r="O1973" t="s">
        <v>3280</v>
      </c>
      <c r="P1973">
        <v>183.92</v>
      </c>
      <c r="Q1973">
        <v>4</v>
      </c>
      <c r="R1973">
        <v>31.266400000000001</v>
      </c>
      <c r="S1973" t="s">
        <v>66</v>
      </c>
    </row>
    <row r="1974" spans="1:19" x14ac:dyDescent="0.35">
      <c r="A1974" t="s">
        <v>4235</v>
      </c>
      <c r="B1974" s="1">
        <v>42678</v>
      </c>
      <c r="C1974" s="1">
        <v>42682</v>
      </c>
      <c r="D1974" t="s">
        <v>37</v>
      </c>
      <c r="E1974" t="s">
        <v>4236</v>
      </c>
      <c r="F1974" t="s">
        <v>4237</v>
      </c>
      <c r="G1974" t="s">
        <v>23</v>
      </c>
      <c r="H1974" t="s">
        <v>24</v>
      </c>
      <c r="I1974" t="s">
        <v>95</v>
      </c>
      <c r="J1974" t="s">
        <v>86</v>
      </c>
      <c r="K1974" t="s">
        <v>87</v>
      </c>
      <c r="L1974" t="s">
        <v>2195</v>
      </c>
      <c r="M1974" t="s">
        <v>29</v>
      </c>
      <c r="N1974" t="s">
        <v>53</v>
      </c>
      <c r="O1974" t="s">
        <v>2196</v>
      </c>
      <c r="P1974">
        <v>11.375999999999999</v>
      </c>
      <c r="Q1974">
        <v>3</v>
      </c>
      <c r="R1974">
        <v>-5.6879999999999997</v>
      </c>
      <c r="S1974" t="s">
        <v>32</v>
      </c>
    </row>
    <row r="1975" spans="1:19" x14ac:dyDescent="0.35">
      <c r="A1975" t="s">
        <v>4235</v>
      </c>
      <c r="B1975" s="1">
        <v>42678</v>
      </c>
      <c r="C1975" s="1">
        <v>42682</v>
      </c>
      <c r="D1975" t="s">
        <v>37</v>
      </c>
      <c r="E1975" t="s">
        <v>4236</v>
      </c>
      <c r="F1975" t="s">
        <v>4237</v>
      </c>
      <c r="G1975" t="s">
        <v>23</v>
      </c>
      <c r="H1975" t="s">
        <v>24</v>
      </c>
      <c r="I1975" t="s">
        <v>95</v>
      </c>
      <c r="J1975" t="s">
        <v>86</v>
      </c>
      <c r="K1975" t="s">
        <v>87</v>
      </c>
      <c r="L1975" t="s">
        <v>587</v>
      </c>
      <c r="M1975" t="s">
        <v>29</v>
      </c>
      <c r="N1975" t="s">
        <v>53</v>
      </c>
      <c r="O1975" t="s">
        <v>588</v>
      </c>
      <c r="P1975">
        <v>66.111999999999995</v>
      </c>
      <c r="Q1975">
        <v>4</v>
      </c>
      <c r="R1975">
        <v>-84.2928</v>
      </c>
      <c r="S1975" t="s">
        <v>32</v>
      </c>
    </row>
    <row r="1976" spans="1:19" x14ac:dyDescent="0.35">
      <c r="A1976" t="s">
        <v>4238</v>
      </c>
      <c r="B1976" s="1">
        <v>43001</v>
      </c>
      <c r="C1976" s="1">
        <v>43007</v>
      </c>
      <c r="D1976" t="s">
        <v>37</v>
      </c>
      <c r="E1976" t="s">
        <v>1584</v>
      </c>
      <c r="F1976" t="s">
        <v>1585</v>
      </c>
      <c r="G1976" t="s">
        <v>23</v>
      </c>
      <c r="H1976" t="s">
        <v>24</v>
      </c>
      <c r="I1976" t="s">
        <v>49</v>
      </c>
      <c r="J1976" t="s">
        <v>50</v>
      </c>
      <c r="K1976" t="s">
        <v>51</v>
      </c>
      <c r="L1976" t="s">
        <v>1086</v>
      </c>
      <c r="M1976" t="s">
        <v>29</v>
      </c>
      <c r="N1976" t="s">
        <v>34</v>
      </c>
      <c r="O1976" t="s">
        <v>1087</v>
      </c>
      <c r="P1976">
        <v>594.81600000000003</v>
      </c>
      <c r="Q1976">
        <v>2</v>
      </c>
      <c r="R1976">
        <v>59.4816</v>
      </c>
      <c r="S1976" t="s">
        <v>72</v>
      </c>
    </row>
    <row r="1977" spans="1:19" x14ac:dyDescent="0.35">
      <c r="A1977" t="s">
        <v>4239</v>
      </c>
      <c r="B1977" s="1">
        <v>42985</v>
      </c>
      <c r="C1977" s="1">
        <v>42988</v>
      </c>
      <c r="D1977" t="s">
        <v>81</v>
      </c>
      <c r="E1977" t="s">
        <v>1907</v>
      </c>
      <c r="F1977" t="s">
        <v>1908</v>
      </c>
      <c r="G1977" t="s">
        <v>23</v>
      </c>
      <c r="H1977" t="s">
        <v>24</v>
      </c>
      <c r="I1977" t="s">
        <v>836</v>
      </c>
      <c r="J1977" t="s">
        <v>184</v>
      </c>
      <c r="K1977" t="s">
        <v>51</v>
      </c>
      <c r="L1977" t="s">
        <v>2786</v>
      </c>
      <c r="M1977" t="s">
        <v>29</v>
      </c>
      <c r="N1977" t="s">
        <v>53</v>
      </c>
      <c r="O1977" t="s">
        <v>2787</v>
      </c>
      <c r="P1977">
        <v>80.959999999999994</v>
      </c>
      <c r="Q1977">
        <v>4</v>
      </c>
      <c r="R1977">
        <v>34.812800000000003</v>
      </c>
      <c r="S1977" t="s">
        <v>72</v>
      </c>
    </row>
    <row r="1978" spans="1:19" x14ac:dyDescent="0.35">
      <c r="A1978" t="s">
        <v>4240</v>
      </c>
      <c r="B1978" s="1">
        <v>42856</v>
      </c>
      <c r="C1978" s="1">
        <v>42857</v>
      </c>
      <c r="D1978" t="s">
        <v>81</v>
      </c>
      <c r="E1978" t="s">
        <v>1463</v>
      </c>
      <c r="F1978" t="s">
        <v>1464</v>
      </c>
      <c r="G1978" t="s">
        <v>23</v>
      </c>
      <c r="H1978" t="s">
        <v>24</v>
      </c>
      <c r="I1978" t="s">
        <v>1089</v>
      </c>
      <c r="J1978" t="s">
        <v>41</v>
      </c>
      <c r="K1978" t="s">
        <v>27</v>
      </c>
      <c r="L1978" t="s">
        <v>28</v>
      </c>
      <c r="M1978" t="s">
        <v>29</v>
      </c>
      <c r="N1978" t="s">
        <v>30</v>
      </c>
      <c r="O1978" t="s">
        <v>31</v>
      </c>
      <c r="P1978">
        <v>314.35199999999998</v>
      </c>
      <c r="Q1978">
        <v>3</v>
      </c>
      <c r="R1978">
        <v>-15.717599999999999</v>
      </c>
      <c r="S1978" t="s">
        <v>153</v>
      </c>
    </row>
    <row r="1979" spans="1:19" x14ac:dyDescent="0.35">
      <c r="A1979" t="s">
        <v>4241</v>
      </c>
      <c r="B1979" s="1">
        <v>42783</v>
      </c>
      <c r="C1979" s="1">
        <v>42786</v>
      </c>
      <c r="D1979" t="s">
        <v>81</v>
      </c>
      <c r="E1979" t="s">
        <v>739</v>
      </c>
      <c r="F1979" t="s">
        <v>740</v>
      </c>
      <c r="G1979" t="s">
        <v>94</v>
      </c>
      <c r="H1979" t="s">
        <v>24</v>
      </c>
      <c r="I1979" t="s">
        <v>113</v>
      </c>
      <c r="J1979" t="s">
        <v>223</v>
      </c>
      <c r="K1979" t="s">
        <v>63</v>
      </c>
      <c r="L1979" t="s">
        <v>3180</v>
      </c>
      <c r="M1979" t="s">
        <v>29</v>
      </c>
      <c r="N1979" t="s">
        <v>43</v>
      </c>
      <c r="O1979" t="s">
        <v>3181</v>
      </c>
      <c r="P1979">
        <v>455.97</v>
      </c>
      <c r="Q1979">
        <v>5</v>
      </c>
      <c r="R1979">
        <v>-106.393</v>
      </c>
      <c r="S1979" t="s">
        <v>289</v>
      </c>
    </row>
    <row r="1980" spans="1:19" x14ac:dyDescent="0.35">
      <c r="A1980" t="s">
        <v>4241</v>
      </c>
      <c r="B1980" s="1">
        <v>42783</v>
      </c>
      <c r="C1980" s="1">
        <v>42786</v>
      </c>
      <c r="D1980" t="s">
        <v>81</v>
      </c>
      <c r="E1980" t="s">
        <v>739</v>
      </c>
      <c r="F1980" t="s">
        <v>740</v>
      </c>
      <c r="G1980" t="s">
        <v>94</v>
      </c>
      <c r="H1980" t="s">
        <v>24</v>
      </c>
      <c r="I1980" t="s">
        <v>113</v>
      </c>
      <c r="J1980" t="s">
        <v>223</v>
      </c>
      <c r="K1980" t="s">
        <v>63</v>
      </c>
      <c r="L1980" t="s">
        <v>1533</v>
      </c>
      <c r="M1980" t="s">
        <v>29</v>
      </c>
      <c r="N1980" t="s">
        <v>53</v>
      </c>
      <c r="O1980" t="s">
        <v>1534</v>
      </c>
      <c r="P1980">
        <v>30.143999999999998</v>
      </c>
      <c r="Q1980">
        <v>2</v>
      </c>
      <c r="R1980">
        <v>8.2896000000000001</v>
      </c>
      <c r="S1980" t="s">
        <v>289</v>
      </c>
    </row>
    <row r="1981" spans="1:19" x14ac:dyDescent="0.35">
      <c r="A1981" t="s">
        <v>4241</v>
      </c>
      <c r="B1981" s="1">
        <v>42783</v>
      </c>
      <c r="C1981" s="1">
        <v>42786</v>
      </c>
      <c r="D1981" t="s">
        <v>81</v>
      </c>
      <c r="E1981" t="s">
        <v>739</v>
      </c>
      <c r="F1981" t="s">
        <v>740</v>
      </c>
      <c r="G1981" t="s">
        <v>94</v>
      </c>
      <c r="H1981" t="s">
        <v>24</v>
      </c>
      <c r="I1981" t="s">
        <v>113</v>
      </c>
      <c r="J1981" t="s">
        <v>223</v>
      </c>
      <c r="K1981" t="s">
        <v>63</v>
      </c>
      <c r="L1981" t="s">
        <v>1591</v>
      </c>
      <c r="M1981" t="s">
        <v>29</v>
      </c>
      <c r="N1981" t="s">
        <v>34</v>
      </c>
      <c r="O1981" t="s">
        <v>1592</v>
      </c>
      <c r="P1981">
        <v>899.43</v>
      </c>
      <c r="Q1981">
        <v>5</v>
      </c>
      <c r="R1981">
        <v>-12.849</v>
      </c>
      <c r="S1981" t="s">
        <v>289</v>
      </c>
    </row>
    <row r="1982" spans="1:19" x14ac:dyDescent="0.35">
      <c r="A1982" t="s">
        <v>4242</v>
      </c>
      <c r="B1982" s="1">
        <v>42726</v>
      </c>
      <c r="C1982" s="1">
        <v>42732</v>
      </c>
      <c r="D1982" t="s">
        <v>37</v>
      </c>
      <c r="E1982" t="s">
        <v>2633</v>
      </c>
      <c r="F1982" t="s">
        <v>2634</v>
      </c>
      <c r="G1982" t="s">
        <v>23</v>
      </c>
      <c r="H1982" t="s">
        <v>24</v>
      </c>
      <c r="I1982" t="s">
        <v>4243</v>
      </c>
      <c r="J1982" t="s">
        <v>50</v>
      </c>
      <c r="K1982" t="s">
        <v>51</v>
      </c>
      <c r="L1982" t="s">
        <v>3608</v>
      </c>
      <c r="M1982" t="s">
        <v>29</v>
      </c>
      <c r="N1982" t="s">
        <v>53</v>
      </c>
      <c r="O1982" t="s">
        <v>3609</v>
      </c>
      <c r="P1982">
        <v>842.72</v>
      </c>
      <c r="Q1982">
        <v>8</v>
      </c>
      <c r="R1982">
        <v>202.25280000000001</v>
      </c>
      <c r="S1982" t="s">
        <v>90</v>
      </c>
    </row>
    <row r="1983" spans="1:19" x14ac:dyDescent="0.35">
      <c r="A1983" t="s">
        <v>4242</v>
      </c>
      <c r="B1983" s="1">
        <v>42726</v>
      </c>
      <c r="C1983" s="1">
        <v>42732</v>
      </c>
      <c r="D1983" t="s">
        <v>37</v>
      </c>
      <c r="E1983" t="s">
        <v>2633</v>
      </c>
      <c r="F1983" t="s">
        <v>2634</v>
      </c>
      <c r="G1983" t="s">
        <v>23</v>
      </c>
      <c r="H1983" t="s">
        <v>24</v>
      </c>
      <c r="I1983" t="s">
        <v>4243</v>
      </c>
      <c r="J1983" t="s">
        <v>50</v>
      </c>
      <c r="K1983" t="s">
        <v>51</v>
      </c>
      <c r="L1983" t="s">
        <v>178</v>
      </c>
      <c r="M1983" t="s">
        <v>29</v>
      </c>
      <c r="N1983" t="s">
        <v>53</v>
      </c>
      <c r="O1983" t="s">
        <v>179</v>
      </c>
      <c r="P1983">
        <v>41.96</v>
      </c>
      <c r="Q1983">
        <v>2</v>
      </c>
      <c r="R1983">
        <v>10.909599999999999</v>
      </c>
      <c r="S1983" t="s">
        <v>90</v>
      </c>
    </row>
    <row r="1984" spans="1:19" x14ac:dyDescent="0.35">
      <c r="A1984" t="s">
        <v>4244</v>
      </c>
      <c r="B1984" s="1">
        <v>42636</v>
      </c>
      <c r="C1984" s="1">
        <v>42640</v>
      </c>
      <c r="D1984" t="s">
        <v>37</v>
      </c>
      <c r="E1984" t="s">
        <v>4245</v>
      </c>
      <c r="F1984" t="s">
        <v>4246</v>
      </c>
      <c r="G1984" t="s">
        <v>84</v>
      </c>
      <c r="H1984" t="s">
        <v>24</v>
      </c>
      <c r="I1984" t="s">
        <v>183</v>
      </c>
      <c r="J1984" t="s">
        <v>184</v>
      </c>
      <c r="K1984" t="s">
        <v>51</v>
      </c>
      <c r="L1984" t="s">
        <v>479</v>
      </c>
      <c r="M1984" t="s">
        <v>29</v>
      </c>
      <c r="N1984" t="s">
        <v>34</v>
      </c>
      <c r="O1984" t="s">
        <v>480</v>
      </c>
      <c r="P1984">
        <v>184.75200000000001</v>
      </c>
      <c r="Q1984">
        <v>3</v>
      </c>
      <c r="R1984">
        <v>-20.784600000000001</v>
      </c>
      <c r="S1984" t="s">
        <v>72</v>
      </c>
    </row>
    <row r="1985" spans="1:19" x14ac:dyDescent="0.35">
      <c r="A1985" t="s">
        <v>4247</v>
      </c>
      <c r="B1985" s="1">
        <v>43002</v>
      </c>
      <c r="C1985" s="1">
        <v>43004</v>
      </c>
      <c r="D1985" t="s">
        <v>81</v>
      </c>
      <c r="E1985" t="s">
        <v>536</v>
      </c>
      <c r="F1985" t="s">
        <v>537</v>
      </c>
      <c r="G1985" t="s">
        <v>23</v>
      </c>
      <c r="H1985" t="s">
        <v>24</v>
      </c>
      <c r="I1985" t="s">
        <v>125</v>
      </c>
      <c r="J1985" t="s">
        <v>126</v>
      </c>
      <c r="K1985" t="s">
        <v>87</v>
      </c>
      <c r="L1985" t="s">
        <v>1086</v>
      </c>
      <c r="M1985" t="s">
        <v>29</v>
      </c>
      <c r="N1985" t="s">
        <v>34</v>
      </c>
      <c r="O1985" t="s">
        <v>1087</v>
      </c>
      <c r="P1985">
        <v>520.46400000000006</v>
      </c>
      <c r="Q1985">
        <v>2</v>
      </c>
      <c r="R1985">
        <v>-14.8704</v>
      </c>
      <c r="S1985" t="s">
        <v>72</v>
      </c>
    </row>
    <row r="1986" spans="1:19" x14ac:dyDescent="0.35">
      <c r="A1986" t="s">
        <v>4248</v>
      </c>
      <c r="B1986" s="1">
        <v>42394</v>
      </c>
      <c r="C1986" s="1">
        <v>42397</v>
      </c>
      <c r="D1986" t="s">
        <v>20</v>
      </c>
      <c r="E1986" t="s">
        <v>217</v>
      </c>
      <c r="F1986" t="s">
        <v>218</v>
      </c>
      <c r="G1986" t="s">
        <v>84</v>
      </c>
      <c r="H1986" t="s">
        <v>24</v>
      </c>
      <c r="I1986" t="s">
        <v>165</v>
      </c>
      <c r="J1986" t="s">
        <v>114</v>
      </c>
      <c r="K1986" t="s">
        <v>63</v>
      </c>
      <c r="L1986" t="s">
        <v>775</v>
      </c>
      <c r="M1986" t="s">
        <v>29</v>
      </c>
      <c r="N1986" t="s">
        <v>43</v>
      </c>
      <c r="O1986" t="s">
        <v>776</v>
      </c>
      <c r="P1986">
        <v>313.72199999999998</v>
      </c>
      <c r="Q1986">
        <v>3</v>
      </c>
      <c r="R1986">
        <v>-99.345299999999995</v>
      </c>
      <c r="S1986" t="s">
        <v>161</v>
      </c>
    </row>
    <row r="1987" spans="1:19" x14ac:dyDescent="0.35">
      <c r="A1987" t="s">
        <v>4248</v>
      </c>
      <c r="B1987" s="1">
        <v>42394</v>
      </c>
      <c r="C1987" s="1">
        <v>42397</v>
      </c>
      <c r="D1987" t="s">
        <v>20</v>
      </c>
      <c r="E1987" t="s">
        <v>217</v>
      </c>
      <c r="F1987" t="s">
        <v>218</v>
      </c>
      <c r="G1987" t="s">
        <v>84</v>
      </c>
      <c r="H1987" t="s">
        <v>24</v>
      </c>
      <c r="I1987" t="s">
        <v>165</v>
      </c>
      <c r="J1987" t="s">
        <v>114</v>
      </c>
      <c r="K1987" t="s">
        <v>63</v>
      </c>
      <c r="L1987" t="s">
        <v>3279</v>
      </c>
      <c r="M1987" t="s">
        <v>29</v>
      </c>
      <c r="N1987" t="s">
        <v>53</v>
      </c>
      <c r="O1987" t="s">
        <v>3280</v>
      </c>
      <c r="P1987">
        <v>45.98</v>
      </c>
      <c r="Q1987">
        <v>1</v>
      </c>
      <c r="R1987">
        <v>7.8166000000000002</v>
      </c>
      <c r="S1987" t="s">
        <v>161</v>
      </c>
    </row>
    <row r="1988" spans="1:19" x14ac:dyDescent="0.35">
      <c r="A1988" t="s">
        <v>4249</v>
      </c>
      <c r="B1988" s="1">
        <v>42815</v>
      </c>
      <c r="C1988" s="1">
        <v>42819</v>
      </c>
      <c r="D1988" t="s">
        <v>37</v>
      </c>
      <c r="E1988" t="s">
        <v>123</v>
      </c>
      <c r="F1988" t="s">
        <v>124</v>
      </c>
      <c r="G1988" t="s">
        <v>94</v>
      </c>
      <c r="H1988" t="s">
        <v>24</v>
      </c>
      <c r="I1988" t="s">
        <v>183</v>
      </c>
      <c r="J1988" t="s">
        <v>184</v>
      </c>
      <c r="K1988" t="s">
        <v>51</v>
      </c>
      <c r="L1988" t="s">
        <v>1709</v>
      </c>
      <c r="M1988" t="s">
        <v>29</v>
      </c>
      <c r="N1988" t="s">
        <v>53</v>
      </c>
      <c r="O1988" t="s">
        <v>1710</v>
      </c>
      <c r="P1988">
        <v>22.14</v>
      </c>
      <c r="Q1988">
        <v>3</v>
      </c>
      <c r="R1988">
        <v>6.4206000000000003</v>
      </c>
      <c r="S1988" t="s">
        <v>187</v>
      </c>
    </row>
    <row r="1989" spans="1:19" x14ac:dyDescent="0.35">
      <c r="A1989" t="s">
        <v>4250</v>
      </c>
      <c r="B1989" s="1">
        <v>43046</v>
      </c>
      <c r="C1989" s="1">
        <v>43048</v>
      </c>
      <c r="D1989" t="s">
        <v>20</v>
      </c>
      <c r="E1989" t="s">
        <v>3479</v>
      </c>
      <c r="F1989" t="s">
        <v>3480</v>
      </c>
      <c r="G1989" t="s">
        <v>84</v>
      </c>
      <c r="H1989" t="s">
        <v>24</v>
      </c>
      <c r="I1989" t="s">
        <v>2513</v>
      </c>
      <c r="J1989" t="s">
        <v>1080</v>
      </c>
      <c r="K1989" t="s">
        <v>63</v>
      </c>
      <c r="L1989" t="s">
        <v>2171</v>
      </c>
      <c r="M1989" t="s">
        <v>29</v>
      </c>
      <c r="N1989" t="s">
        <v>34</v>
      </c>
      <c r="O1989" t="s">
        <v>2172</v>
      </c>
      <c r="P1989">
        <v>272.97000000000003</v>
      </c>
      <c r="Q1989">
        <v>3</v>
      </c>
      <c r="R1989">
        <v>43.675199999999997</v>
      </c>
      <c r="S1989" t="s">
        <v>32</v>
      </c>
    </row>
    <row r="1990" spans="1:19" x14ac:dyDescent="0.35">
      <c r="A1990" t="s">
        <v>4251</v>
      </c>
      <c r="B1990" s="1">
        <v>42153</v>
      </c>
      <c r="C1990" s="1">
        <v>42155</v>
      </c>
      <c r="D1990" t="s">
        <v>81</v>
      </c>
      <c r="E1990" t="s">
        <v>3518</v>
      </c>
      <c r="F1990" t="s">
        <v>3519</v>
      </c>
      <c r="G1990" t="s">
        <v>84</v>
      </c>
      <c r="H1990" t="s">
        <v>24</v>
      </c>
      <c r="I1990" t="s">
        <v>339</v>
      </c>
      <c r="J1990" t="s">
        <v>223</v>
      </c>
      <c r="K1990" t="s">
        <v>63</v>
      </c>
      <c r="L1990" t="s">
        <v>3816</v>
      </c>
      <c r="M1990" t="s">
        <v>29</v>
      </c>
      <c r="N1990" t="s">
        <v>53</v>
      </c>
      <c r="O1990" t="s">
        <v>3817</v>
      </c>
      <c r="P1990">
        <v>41.567999999999998</v>
      </c>
      <c r="Q1990">
        <v>4</v>
      </c>
      <c r="R1990">
        <v>-4.1567999999999996</v>
      </c>
      <c r="S1990" t="s">
        <v>153</v>
      </c>
    </row>
    <row r="1991" spans="1:19" x14ac:dyDescent="0.35">
      <c r="A1991" t="s">
        <v>4251</v>
      </c>
      <c r="B1991" s="1">
        <v>42153</v>
      </c>
      <c r="C1991" s="1">
        <v>42155</v>
      </c>
      <c r="D1991" t="s">
        <v>81</v>
      </c>
      <c r="E1991" t="s">
        <v>3518</v>
      </c>
      <c r="F1991" t="s">
        <v>3519</v>
      </c>
      <c r="G1991" t="s">
        <v>84</v>
      </c>
      <c r="H1991" t="s">
        <v>24</v>
      </c>
      <c r="I1991" t="s">
        <v>339</v>
      </c>
      <c r="J1991" t="s">
        <v>223</v>
      </c>
      <c r="K1991" t="s">
        <v>63</v>
      </c>
      <c r="L1991" t="s">
        <v>151</v>
      </c>
      <c r="M1991" t="s">
        <v>29</v>
      </c>
      <c r="N1991" t="s">
        <v>34</v>
      </c>
      <c r="O1991" t="s">
        <v>152</v>
      </c>
      <c r="P1991">
        <v>317.05799999999999</v>
      </c>
      <c r="Q1991">
        <v>3</v>
      </c>
      <c r="R1991">
        <v>-86.058599999999998</v>
      </c>
      <c r="S1991" t="s">
        <v>153</v>
      </c>
    </row>
    <row r="1992" spans="1:19" x14ac:dyDescent="0.35">
      <c r="A1992" t="s">
        <v>4252</v>
      </c>
      <c r="B1992" s="1">
        <v>41996</v>
      </c>
      <c r="C1992" s="1">
        <v>42000</v>
      </c>
      <c r="D1992" t="s">
        <v>20</v>
      </c>
      <c r="E1992" t="s">
        <v>2831</v>
      </c>
      <c r="F1992" t="s">
        <v>2832</v>
      </c>
      <c r="G1992" t="s">
        <v>23</v>
      </c>
      <c r="H1992" t="s">
        <v>24</v>
      </c>
      <c r="I1992" t="s">
        <v>295</v>
      </c>
      <c r="J1992" t="s">
        <v>41</v>
      </c>
      <c r="K1992" t="s">
        <v>27</v>
      </c>
      <c r="L1992" t="s">
        <v>247</v>
      </c>
      <c r="M1992" t="s">
        <v>29</v>
      </c>
      <c r="N1992" t="s">
        <v>34</v>
      </c>
      <c r="O1992" t="s">
        <v>248</v>
      </c>
      <c r="P1992">
        <v>64.784000000000006</v>
      </c>
      <c r="Q1992">
        <v>1</v>
      </c>
      <c r="R1992">
        <v>6.4783999999999997</v>
      </c>
      <c r="S1992" t="s">
        <v>90</v>
      </c>
    </row>
    <row r="1993" spans="1:19" x14ac:dyDescent="0.35">
      <c r="A1993" t="s">
        <v>4253</v>
      </c>
      <c r="B1993" s="1">
        <v>42974</v>
      </c>
      <c r="C1993" s="1">
        <v>42978</v>
      </c>
      <c r="D1993" t="s">
        <v>37</v>
      </c>
      <c r="E1993" t="s">
        <v>1961</v>
      </c>
      <c r="F1993" t="s">
        <v>1962</v>
      </c>
      <c r="G1993" t="s">
        <v>23</v>
      </c>
      <c r="H1993" t="s">
        <v>24</v>
      </c>
      <c r="I1993" t="s">
        <v>905</v>
      </c>
      <c r="J1993" t="s">
        <v>511</v>
      </c>
      <c r="K1993" t="s">
        <v>51</v>
      </c>
      <c r="L1993" t="s">
        <v>1533</v>
      </c>
      <c r="M1993" t="s">
        <v>29</v>
      </c>
      <c r="N1993" t="s">
        <v>53</v>
      </c>
      <c r="O1993" t="s">
        <v>1534</v>
      </c>
      <c r="P1993">
        <v>120.57599999999999</v>
      </c>
      <c r="Q1993">
        <v>8</v>
      </c>
      <c r="R1993">
        <v>33.1584</v>
      </c>
      <c r="S1993" t="s">
        <v>245</v>
      </c>
    </row>
    <row r="1994" spans="1:19" x14ac:dyDescent="0.35">
      <c r="A1994" t="s">
        <v>4254</v>
      </c>
      <c r="B1994" s="1">
        <v>42302</v>
      </c>
      <c r="C1994" s="1">
        <v>42302</v>
      </c>
      <c r="D1994" t="s">
        <v>417</v>
      </c>
      <c r="E1994" t="s">
        <v>999</v>
      </c>
      <c r="F1994" t="s">
        <v>1000</v>
      </c>
      <c r="G1994" t="s">
        <v>84</v>
      </c>
      <c r="H1994" t="s">
        <v>24</v>
      </c>
      <c r="I1994" t="s">
        <v>257</v>
      </c>
      <c r="J1994" t="s">
        <v>172</v>
      </c>
      <c r="K1994" t="s">
        <v>51</v>
      </c>
      <c r="L1994" t="s">
        <v>2171</v>
      </c>
      <c r="M1994" t="s">
        <v>29</v>
      </c>
      <c r="N1994" t="s">
        <v>34</v>
      </c>
      <c r="O1994" t="s">
        <v>2172</v>
      </c>
      <c r="P1994">
        <v>582.33600000000001</v>
      </c>
      <c r="Q1994">
        <v>8</v>
      </c>
      <c r="R1994">
        <v>-29.116800000000001</v>
      </c>
      <c r="S1994" t="s">
        <v>45</v>
      </c>
    </row>
    <row r="1995" spans="1:19" x14ac:dyDescent="0.35">
      <c r="A1995" t="s">
        <v>4255</v>
      </c>
      <c r="B1995" s="1">
        <v>41902</v>
      </c>
      <c r="C1995" s="1">
        <v>41905</v>
      </c>
      <c r="D1995" t="s">
        <v>81</v>
      </c>
      <c r="E1995" t="s">
        <v>4256</v>
      </c>
      <c r="F1995" t="s">
        <v>4257</v>
      </c>
      <c r="G1995" t="s">
        <v>23</v>
      </c>
      <c r="H1995" t="s">
        <v>24</v>
      </c>
      <c r="I1995" t="s">
        <v>165</v>
      </c>
      <c r="J1995" t="s">
        <v>114</v>
      </c>
      <c r="K1995" t="s">
        <v>63</v>
      </c>
      <c r="L1995" t="s">
        <v>842</v>
      </c>
      <c r="M1995" t="s">
        <v>29</v>
      </c>
      <c r="N1995" t="s">
        <v>34</v>
      </c>
      <c r="O1995" t="s">
        <v>843</v>
      </c>
      <c r="P1995">
        <v>631.78200000000004</v>
      </c>
      <c r="Q1995">
        <v>2</v>
      </c>
      <c r="R1995">
        <v>140.39599999999999</v>
      </c>
      <c r="S1995" t="s">
        <v>72</v>
      </c>
    </row>
    <row r="1996" spans="1:19" x14ac:dyDescent="0.35">
      <c r="A1996" t="s">
        <v>4255</v>
      </c>
      <c r="B1996" s="1">
        <v>41902</v>
      </c>
      <c r="C1996" s="1">
        <v>41905</v>
      </c>
      <c r="D1996" t="s">
        <v>81</v>
      </c>
      <c r="E1996" t="s">
        <v>4256</v>
      </c>
      <c r="F1996" t="s">
        <v>4257</v>
      </c>
      <c r="G1996" t="s">
        <v>23</v>
      </c>
      <c r="H1996" t="s">
        <v>24</v>
      </c>
      <c r="I1996" t="s">
        <v>165</v>
      </c>
      <c r="J1996" t="s">
        <v>114</v>
      </c>
      <c r="K1996" t="s">
        <v>63</v>
      </c>
      <c r="L1996" t="s">
        <v>1686</v>
      </c>
      <c r="M1996" t="s">
        <v>29</v>
      </c>
      <c r="N1996" t="s">
        <v>30</v>
      </c>
      <c r="O1996" t="s">
        <v>1687</v>
      </c>
      <c r="P1996">
        <v>801.56799999999998</v>
      </c>
      <c r="Q1996">
        <v>2</v>
      </c>
      <c r="R1996">
        <v>-10.019600000000001</v>
      </c>
      <c r="S1996" t="s">
        <v>72</v>
      </c>
    </row>
    <row r="1997" spans="1:19" x14ac:dyDescent="0.35">
      <c r="A1997" t="s">
        <v>4258</v>
      </c>
      <c r="B1997" s="1">
        <v>41814</v>
      </c>
      <c r="C1997" s="1">
        <v>41818</v>
      </c>
      <c r="D1997" t="s">
        <v>37</v>
      </c>
      <c r="E1997" t="s">
        <v>606</v>
      </c>
      <c r="F1997" t="s">
        <v>607</v>
      </c>
      <c r="G1997" t="s">
        <v>23</v>
      </c>
      <c r="H1997" t="s">
        <v>24</v>
      </c>
      <c r="I1997" t="s">
        <v>1213</v>
      </c>
      <c r="J1997" t="s">
        <v>511</v>
      </c>
      <c r="K1997" t="s">
        <v>51</v>
      </c>
      <c r="L1997" t="s">
        <v>2504</v>
      </c>
      <c r="M1997" t="s">
        <v>29</v>
      </c>
      <c r="N1997" t="s">
        <v>53</v>
      </c>
      <c r="O1997" t="s">
        <v>2505</v>
      </c>
      <c r="P1997">
        <v>4.2720000000000002</v>
      </c>
      <c r="Q1997">
        <v>2</v>
      </c>
      <c r="R1997">
        <v>0.96120000000000005</v>
      </c>
      <c r="S1997" t="s">
        <v>55</v>
      </c>
    </row>
    <row r="1998" spans="1:19" x14ac:dyDescent="0.35">
      <c r="A1998" t="s">
        <v>4259</v>
      </c>
      <c r="B1998" s="1">
        <v>42594</v>
      </c>
      <c r="C1998" s="1">
        <v>42599</v>
      </c>
      <c r="D1998" t="s">
        <v>20</v>
      </c>
      <c r="E1998" t="s">
        <v>1122</v>
      </c>
      <c r="F1998" t="s">
        <v>1123</v>
      </c>
      <c r="G1998" t="s">
        <v>23</v>
      </c>
      <c r="H1998" t="s">
        <v>24</v>
      </c>
      <c r="I1998" t="s">
        <v>165</v>
      </c>
      <c r="J1998" t="s">
        <v>114</v>
      </c>
      <c r="K1998" t="s">
        <v>63</v>
      </c>
      <c r="L1998" t="s">
        <v>775</v>
      </c>
      <c r="M1998" t="s">
        <v>29</v>
      </c>
      <c r="N1998" t="s">
        <v>43</v>
      </c>
      <c r="O1998" t="s">
        <v>776</v>
      </c>
      <c r="P1998">
        <v>209.148</v>
      </c>
      <c r="Q1998">
        <v>2</v>
      </c>
      <c r="R1998">
        <v>-66.230199999999996</v>
      </c>
      <c r="S1998" t="s">
        <v>245</v>
      </c>
    </row>
    <row r="1999" spans="1:19" x14ac:dyDescent="0.35">
      <c r="A1999" t="s">
        <v>4260</v>
      </c>
      <c r="B1999" s="1">
        <v>43000</v>
      </c>
      <c r="C1999" s="1">
        <v>43002</v>
      </c>
      <c r="D1999" t="s">
        <v>20</v>
      </c>
      <c r="E1999" t="s">
        <v>1161</v>
      </c>
      <c r="F1999" t="s">
        <v>1162</v>
      </c>
      <c r="G1999" t="s">
        <v>23</v>
      </c>
      <c r="H1999" t="s">
        <v>24</v>
      </c>
      <c r="I1999" t="s">
        <v>165</v>
      </c>
      <c r="J1999" t="s">
        <v>114</v>
      </c>
      <c r="K1999" t="s">
        <v>63</v>
      </c>
      <c r="L1999" t="s">
        <v>542</v>
      </c>
      <c r="M1999" t="s">
        <v>29</v>
      </c>
      <c r="N1999" t="s">
        <v>53</v>
      </c>
      <c r="O1999" t="s">
        <v>3116</v>
      </c>
      <c r="P1999">
        <v>12.07</v>
      </c>
      <c r="Q1999">
        <v>1</v>
      </c>
      <c r="R1999">
        <v>3.9830999999999999</v>
      </c>
      <c r="S1999" t="s">
        <v>72</v>
      </c>
    </row>
    <row r="2000" spans="1:19" x14ac:dyDescent="0.35">
      <c r="A2000" t="s">
        <v>4261</v>
      </c>
      <c r="B2000" s="1">
        <v>43079</v>
      </c>
      <c r="C2000" s="1">
        <v>43082</v>
      </c>
      <c r="D2000" t="s">
        <v>81</v>
      </c>
      <c r="E2000" t="s">
        <v>1721</v>
      </c>
      <c r="F2000" t="s">
        <v>1722</v>
      </c>
      <c r="G2000" t="s">
        <v>23</v>
      </c>
      <c r="H2000" t="s">
        <v>24</v>
      </c>
      <c r="I2000" t="s">
        <v>61</v>
      </c>
      <c r="J2000" t="s">
        <v>62</v>
      </c>
      <c r="K2000" t="s">
        <v>63</v>
      </c>
      <c r="L2000" t="s">
        <v>621</v>
      </c>
      <c r="M2000" t="s">
        <v>29</v>
      </c>
      <c r="N2000" t="s">
        <v>53</v>
      </c>
      <c r="O2000" t="s">
        <v>622</v>
      </c>
      <c r="P2000">
        <v>87.92</v>
      </c>
      <c r="Q2000">
        <v>5</v>
      </c>
      <c r="R2000">
        <v>15.385999999999999</v>
      </c>
      <c r="S2000" t="s">
        <v>90</v>
      </c>
    </row>
    <row r="2001" spans="1:19" x14ac:dyDescent="0.35">
      <c r="A2001" t="s">
        <v>4262</v>
      </c>
      <c r="B2001" s="1">
        <v>42031</v>
      </c>
      <c r="C2001" s="1">
        <v>42033</v>
      </c>
      <c r="D2001" t="s">
        <v>81</v>
      </c>
      <c r="E2001" t="s">
        <v>3674</v>
      </c>
      <c r="F2001" t="s">
        <v>3675</v>
      </c>
      <c r="G2001" t="s">
        <v>23</v>
      </c>
      <c r="H2001" t="s">
        <v>24</v>
      </c>
      <c r="I2001" t="s">
        <v>49</v>
      </c>
      <c r="J2001" t="s">
        <v>50</v>
      </c>
      <c r="K2001" t="s">
        <v>51</v>
      </c>
      <c r="L2001" t="s">
        <v>592</v>
      </c>
      <c r="M2001" t="s">
        <v>29</v>
      </c>
      <c r="N2001" t="s">
        <v>34</v>
      </c>
      <c r="O2001" t="s">
        <v>593</v>
      </c>
      <c r="P2001">
        <v>2803.92</v>
      </c>
      <c r="Q2001">
        <v>5</v>
      </c>
      <c r="R2001">
        <v>0</v>
      </c>
      <c r="S2001" t="s">
        <v>161</v>
      </c>
    </row>
    <row r="2002" spans="1:19" x14ac:dyDescent="0.35">
      <c r="A2002" t="s">
        <v>4263</v>
      </c>
      <c r="B2002" s="1">
        <v>42295</v>
      </c>
      <c r="C2002" s="1">
        <v>42299</v>
      </c>
      <c r="D2002" t="s">
        <v>37</v>
      </c>
      <c r="E2002" t="s">
        <v>2497</v>
      </c>
      <c r="F2002" t="s">
        <v>2498</v>
      </c>
      <c r="G2002" t="s">
        <v>23</v>
      </c>
      <c r="H2002" t="s">
        <v>24</v>
      </c>
      <c r="I2002" t="s">
        <v>183</v>
      </c>
      <c r="J2002" t="s">
        <v>184</v>
      </c>
      <c r="K2002" t="s">
        <v>51</v>
      </c>
      <c r="L2002" t="s">
        <v>311</v>
      </c>
      <c r="M2002" t="s">
        <v>29</v>
      </c>
      <c r="N2002" t="s">
        <v>53</v>
      </c>
      <c r="O2002" t="s">
        <v>312</v>
      </c>
      <c r="P2002">
        <v>10.11</v>
      </c>
      <c r="Q2002">
        <v>3</v>
      </c>
      <c r="R2002">
        <v>3.2351999999999999</v>
      </c>
      <c r="S2002" t="s">
        <v>45</v>
      </c>
    </row>
    <row r="2003" spans="1:19" x14ac:dyDescent="0.35">
      <c r="A2003" t="s">
        <v>4264</v>
      </c>
      <c r="B2003" s="1">
        <v>41894</v>
      </c>
      <c r="C2003" s="1">
        <v>41899</v>
      </c>
      <c r="D2003" t="s">
        <v>20</v>
      </c>
      <c r="E2003" t="s">
        <v>3835</v>
      </c>
      <c r="F2003" t="s">
        <v>3836</v>
      </c>
      <c r="G2003" t="s">
        <v>23</v>
      </c>
      <c r="H2003" t="s">
        <v>24</v>
      </c>
      <c r="I2003" t="s">
        <v>165</v>
      </c>
      <c r="J2003" t="s">
        <v>114</v>
      </c>
      <c r="K2003" t="s">
        <v>63</v>
      </c>
      <c r="L2003" t="s">
        <v>592</v>
      </c>
      <c r="M2003" t="s">
        <v>29</v>
      </c>
      <c r="N2003" t="s">
        <v>34</v>
      </c>
      <c r="O2003" t="s">
        <v>593</v>
      </c>
      <c r="P2003">
        <v>3785.2919999999999</v>
      </c>
      <c r="Q2003">
        <v>6</v>
      </c>
      <c r="R2003">
        <v>420.58800000000002</v>
      </c>
      <c r="S2003" t="s">
        <v>72</v>
      </c>
    </row>
    <row r="2004" spans="1:19" x14ac:dyDescent="0.35">
      <c r="A2004" t="s">
        <v>4265</v>
      </c>
      <c r="B2004" s="1">
        <v>41970</v>
      </c>
      <c r="C2004" s="1">
        <v>41974</v>
      </c>
      <c r="D2004" t="s">
        <v>37</v>
      </c>
      <c r="E2004" t="s">
        <v>2687</v>
      </c>
      <c r="F2004" t="s">
        <v>2688</v>
      </c>
      <c r="G2004" t="s">
        <v>84</v>
      </c>
      <c r="H2004" t="s">
        <v>24</v>
      </c>
      <c r="I2004" t="s">
        <v>2945</v>
      </c>
      <c r="J2004" t="s">
        <v>114</v>
      </c>
      <c r="K2004" t="s">
        <v>63</v>
      </c>
      <c r="L2004" t="s">
        <v>1114</v>
      </c>
      <c r="M2004" t="s">
        <v>29</v>
      </c>
      <c r="N2004" t="s">
        <v>53</v>
      </c>
      <c r="O2004" t="s">
        <v>1115</v>
      </c>
      <c r="P2004">
        <v>199.9</v>
      </c>
      <c r="Q2004">
        <v>5</v>
      </c>
      <c r="R2004">
        <v>39.979999999999997</v>
      </c>
      <c r="S2004" t="s">
        <v>32</v>
      </c>
    </row>
    <row r="2005" spans="1:19" x14ac:dyDescent="0.35">
      <c r="A2005" t="s">
        <v>4266</v>
      </c>
      <c r="B2005" s="1">
        <v>41770</v>
      </c>
      <c r="C2005" s="1">
        <v>41775</v>
      </c>
      <c r="D2005" t="s">
        <v>37</v>
      </c>
      <c r="E2005" t="s">
        <v>266</v>
      </c>
      <c r="F2005" t="s">
        <v>267</v>
      </c>
      <c r="G2005" t="s">
        <v>84</v>
      </c>
      <c r="H2005" t="s">
        <v>24</v>
      </c>
      <c r="I2005" t="s">
        <v>1859</v>
      </c>
      <c r="J2005" t="s">
        <v>86</v>
      </c>
      <c r="K2005" t="s">
        <v>87</v>
      </c>
      <c r="L2005" t="s">
        <v>470</v>
      </c>
      <c r="M2005" t="s">
        <v>29</v>
      </c>
      <c r="N2005" t="s">
        <v>34</v>
      </c>
      <c r="O2005" t="s">
        <v>471</v>
      </c>
      <c r="P2005">
        <v>1212.96</v>
      </c>
      <c r="Q2005">
        <v>8</v>
      </c>
      <c r="R2005">
        <v>-69.311999999999998</v>
      </c>
      <c r="S2005" t="s">
        <v>153</v>
      </c>
    </row>
    <row r="2006" spans="1:19" x14ac:dyDescent="0.35">
      <c r="A2006" t="s">
        <v>4267</v>
      </c>
      <c r="B2006" s="1">
        <v>42244</v>
      </c>
      <c r="C2006" s="1">
        <v>42248</v>
      </c>
      <c r="D2006" t="s">
        <v>37</v>
      </c>
      <c r="E2006" t="s">
        <v>368</v>
      </c>
      <c r="F2006" t="s">
        <v>369</v>
      </c>
      <c r="G2006" t="s">
        <v>84</v>
      </c>
      <c r="H2006" t="s">
        <v>24</v>
      </c>
      <c r="I2006" t="s">
        <v>1730</v>
      </c>
      <c r="J2006" t="s">
        <v>86</v>
      </c>
      <c r="K2006" t="s">
        <v>87</v>
      </c>
      <c r="L2006" t="s">
        <v>1456</v>
      </c>
      <c r="M2006" t="s">
        <v>29</v>
      </c>
      <c r="N2006" t="s">
        <v>43</v>
      </c>
      <c r="O2006" t="s">
        <v>1457</v>
      </c>
      <c r="P2006">
        <v>103.48099999999999</v>
      </c>
      <c r="Q2006">
        <v>1</v>
      </c>
      <c r="R2006">
        <v>-16.261299999999999</v>
      </c>
      <c r="S2006" t="s">
        <v>245</v>
      </c>
    </row>
    <row r="2007" spans="1:19" x14ac:dyDescent="0.35">
      <c r="A2007" t="s">
        <v>4268</v>
      </c>
      <c r="B2007" s="1">
        <v>42882</v>
      </c>
      <c r="C2007" s="1">
        <v>42889</v>
      </c>
      <c r="D2007" t="s">
        <v>37</v>
      </c>
      <c r="E2007" t="s">
        <v>2633</v>
      </c>
      <c r="F2007" t="s">
        <v>2634</v>
      </c>
      <c r="G2007" t="s">
        <v>23</v>
      </c>
      <c r="H2007" t="s">
        <v>24</v>
      </c>
      <c r="I2007" t="s">
        <v>2012</v>
      </c>
      <c r="J2007" t="s">
        <v>1513</v>
      </c>
      <c r="K2007" t="s">
        <v>87</v>
      </c>
      <c r="L2007" t="s">
        <v>88</v>
      </c>
      <c r="M2007" t="s">
        <v>29</v>
      </c>
      <c r="N2007" t="s">
        <v>53</v>
      </c>
      <c r="O2007" t="s">
        <v>89</v>
      </c>
      <c r="P2007">
        <v>477.3</v>
      </c>
      <c r="Q2007">
        <v>5</v>
      </c>
      <c r="R2007">
        <v>138.417</v>
      </c>
      <c r="S2007" t="s">
        <v>153</v>
      </c>
    </row>
    <row r="2008" spans="1:19" x14ac:dyDescent="0.35">
      <c r="A2008" t="s">
        <v>4269</v>
      </c>
      <c r="B2008" s="1">
        <v>43064</v>
      </c>
      <c r="C2008" s="1">
        <v>43069</v>
      </c>
      <c r="D2008" t="s">
        <v>20</v>
      </c>
      <c r="E2008" t="s">
        <v>3475</v>
      </c>
      <c r="F2008" t="s">
        <v>3476</v>
      </c>
      <c r="G2008" t="s">
        <v>84</v>
      </c>
      <c r="H2008" t="s">
        <v>24</v>
      </c>
      <c r="I2008" t="s">
        <v>856</v>
      </c>
      <c r="J2008" t="s">
        <v>26</v>
      </c>
      <c r="K2008" t="s">
        <v>27</v>
      </c>
      <c r="L2008" t="s">
        <v>1477</v>
      </c>
      <c r="M2008" t="s">
        <v>29</v>
      </c>
      <c r="N2008" t="s">
        <v>34</v>
      </c>
      <c r="O2008" t="s">
        <v>1478</v>
      </c>
      <c r="P2008">
        <v>701.96</v>
      </c>
      <c r="Q2008">
        <v>2</v>
      </c>
      <c r="R2008">
        <v>168.47040000000001</v>
      </c>
      <c r="S2008" t="s">
        <v>32</v>
      </c>
    </row>
    <row r="2009" spans="1:19" x14ac:dyDescent="0.35">
      <c r="A2009" t="s">
        <v>4270</v>
      </c>
      <c r="B2009" s="1">
        <v>42693</v>
      </c>
      <c r="C2009" s="1">
        <v>42697</v>
      </c>
      <c r="D2009" t="s">
        <v>37</v>
      </c>
      <c r="E2009" t="s">
        <v>473</v>
      </c>
      <c r="F2009" t="s">
        <v>474</v>
      </c>
      <c r="G2009" t="s">
        <v>84</v>
      </c>
      <c r="H2009" t="s">
        <v>24</v>
      </c>
      <c r="I2009" t="s">
        <v>183</v>
      </c>
      <c r="J2009" t="s">
        <v>184</v>
      </c>
      <c r="K2009" t="s">
        <v>51</v>
      </c>
      <c r="L2009" t="s">
        <v>576</v>
      </c>
      <c r="M2009" t="s">
        <v>29</v>
      </c>
      <c r="N2009" t="s">
        <v>53</v>
      </c>
      <c r="O2009" t="s">
        <v>577</v>
      </c>
      <c r="P2009">
        <v>31.96</v>
      </c>
      <c r="Q2009">
        <v>2</v>
      </c>
      <c r="R2009">
        <v>1.5980000000000001</v>
      </c>
      <c r="S2009" t="s">
        <v>32</v>
      </c>
    </row>
    <row r="2010" spans="1:19" x14ac:dyDescent="0.35">
      <c r="A2010" t="s">
        <v>4271</v>
      </c>
      <c r="B2010" s="1">
        <v>43044</v>
      </c>
      <c r="C2010" s="1">
        <v>43049</v>
      </c>
      <c r="D2010" t="s">
        <v>20</v>
      </c>
      <c r="E2010" t="s">
        <v>4272</v>
      </c>
      <c r="F2010" t="s">
        <v>4273</v>
      </c>
      <c r="G2010" t="s">
        <v>23</v>
      </c>
      <c r="H2010" t="s">
        <v>24</v>
      </c>
      <c r="I2010" t="s">
        <v>165</v>
      </c>
      <c r="J2010" t="s">
        <v>114</v>
      </c>
      <c r="K2010" t="s">
        <v>63</v>
      </c>
      <c r="L2010" t="s">
        <v>2557</v>
      </c>
      <c r="M2010" t="s">
        <v>29</v>
      </c>
      <c r="N2010" t="s">
        <v>43</v>
      </c>
      <c r="O2010" t="s">
        <v>2558</v>
      </c>
      <c r="P2010">
        <v>166.5</v>
      </c>
      <c r="Q2010">
        <v>2</v>
      </c>
      <c r="R2010">
        <v>-66.599999999999994</v>
      </c>
      <c r="S2010" t="s">
        <v>32</v>
      </c>
    </row>
    <row r="2011" spans="1:19" x14ac:dyDescent="0.35">
      <c r="A2011" t="s">
        <v>4271</v>
      </c>
      <c r="B2011" s="1">
        <v>43044</v>
      </c>
      <c r="C2011" s="1">
        <v>43049</v>
      </c>
      <c r="D2011" t="s">
        <v>20</v>
      </c>
      <c r="E2011" t="s">
        <v>4272</v>
      </c>
      <c r="F2011" t="s">
        <v>4273</v>
      </c>
      <c r="G2011" t="s">
        <v>23</v>
      </c>
      <c r="H2011" t="s">
        <v>24</v>
      </c>
      <c r="I2011" t="s">
        <v>165</v>
      </c>
      <c r="J2011" t="s">
        <v>114</v>
      </c>
      <c r="K2011" t="s">
        <v>63</v>
      </c>
      <c r="L2011" t="s">
        <v>2185</v>
      </c>
      <c r="M2011" t="s">
        <v>29</v>
      </c>
      <c r="N2011" t="s">
        <v>34</v>
      </c>
      <c r="O2011" t="s">
        <v>2186</v>
      </c>
      <c r="P2011">
        <v>128.124</v>
      </c>
      <c r="Q2011">
        <v>2</v>
      </c>
      <c r="R2011">
        <v>24.2012</v>
      </c>
      <c r="S2011" t="s">
        <v>32</v>
      </c>
    </row>
    <row r="2012" spans="1:19" x14ac:dyDescent="0.35">
      <c r="A2012" t="s">
        <v>4271</v>
      </c>
      <c r="B2012" s="1">
        <v>43044</v>
      </c>
      <c r="C2012" s="1">
        <v>43049</v>
      </c>
      <c r="D2012" t="s">
        <v>20</v>
      </c>
      <c r="E2012" t="s">
        <v>4272</v>
      </c>
      <c r="F2012" t="s">
        <v>4273</v>
      </c>
      <c r="G2012" t="s">
        <v>23</v>
      </c>
      <c r="H2012" t="s">
        <v>24</v>
      </c>
      <c r="I2012" t="s">
        <v>165</v>
      </c>
      <c r="J2012" t="s">
        <v>114</v>
      </c>
      <c r="K2012" t="s">
        <v>63</v>
      </c>
      <c r="L2012" t="s">
        <v>3214</v>
      </c>
      <c r="M2012" t="s">
        <v>29</v>
      </c>
      <c r="N2012" t="s">
        <v>53</v>
      </c>
      <c r="O2012" t="s">
        <v>3215</v>
      </c>
      <c r="P2012">
        <v>101.4</v>
      </c>
      <c r="Q2012">
        <v>5</v>
      </c>
      <c r="R2012">
        <v>38.531999999999996</v>
      </c>
      <c r="S2012" t="s">
        <v>32</v>
      </c>
    </row>
    <row r="2013" spans="1:19" x14ac:dyDescent="0.35">
      <c r="A2013" t="s">
        <v>4274</v>
      </c>
      <c r="B2013" s="1">
        <v>42155</v>
      </c>
      <c r="C2013" s="1">
        <v>42160</v>
      </c>
      <c r="D2013" t="s">
        <v>20</v>
      </c>
      <c r="E2013" t="s">
        <v>473</v>
      </c>
      <c r="F2013" t="s">
        <v>474</v>
      </c>
      <c r="G2013" t="s">
        <v>84</v>
      </c>
      <c r="H2013" t="s">
        <v>24</v>
      </c>
      <c r="I2013" t="s">
        <v>125</v>
      </c>
      <c r="J2013" t="s">
        <v>126</v>
      </c>
      <c r="K2013" t="s">
        <v>87</v>
      </c>
      <c r="L2013" t="s">
        <v>2440</v>
      </c>
      <c r="M2013" t="s">
        <v>29</v>
      </c>
      <c r="N2013" t="s">
        <v>53</v>
      </c>
      <c r="O2013" t="s">
        <v>2441</v>
      </c>
      <c r="P2013">
        <v>51.56</v>
      </c>
      <c r="Q2013">
        <v>2</v>
      </c>
      <c r="R2013">
        <v>-61.872</v>
      </c>
      <c r="S2013" t="s">
        <v>153</v>
      </c>
    </row>
    <row r="2014" spans="1:19" x14ac:dyDescent="0.35">
      <c r="A2014" t="s">
        <v>4275</v>
      </c>
      <c r="B2014" s="1">
        <v>42706</v>
      </c>
      <c r="C2014" s="1">
        <v>42708</v>
      </c>
      <c r="D2014" t="s">
        <v>20</v>
      </c>
      <c r="E2014" t="s">
        <v>2579</v>
      </c>
      <c r="F2014" t="s">
        <v>2580</v>
      </c>
      <c r="G2014" t="s">
        <v>84</v>
      </c>
      <c r="H2014" t="s">
        <v>24</v>
      </c>
      <c r="I2014" t="s">
        <v>95</v>
      </c>
      <c r="J2014" t="s">
        <v>86</v>
      </c>
      <c r="K2014" t="s">
        <v>87</v>
      </c>
      <c r="L2014" t="s">
        <v>2896</v>
      </c>
      <c r="M2014" t="s">
        <v>29</v>
      </c>
      <c r="N2014" t="s">
        <v>30</v>
      </c>
      <c r="O2014" t="s">
        <v>2897</v>
      </c>
      <c r="P2014">
        <v>781.86400000000003</v>
      </c>
      <c r="Q2014">
        <v>10</v>
      </c>
      <c r="R2014">
        <v>-137.976</v>
      </c>
      <c r="S2014" t="s">
        <v>90</v>
      </c>
    </row>
    <row r="2015" spans="1:19" x14ac:dyDescent="0.35">
      <c r="A2015" t="s">
        <v>4276</v>
      </c>
      <c r="B2015" s="1">
        <v>43020</v>
      </c>
      <c r="C2015" s="1">
        <v>43020</v>
      </c>
      <c r="D2015" t="s">
        <v>417</v>
      </c>
      <c r="E2015" t="s">
        <v>466</v>
      </c>
      <c r="F2015" t="s">
        <v>467</v>
      </c>
      <c r="G2015" t="s">
        <v>23</v>
      </c>
      <c r="H2015" t="s">
        <v>24</v>
      </c>
      <c r="I2015" t="s">
        <v>1979</v>
      </c>
      <c r="J2015" t="s">
        <v>4277</v>
      </c>
      <c r="K2015" t="s">
        <v>63</v>
      </c>
      <c r="L2015" t="s">
        <v>1068</v>
      </c>
      <c r="M2015" t="s">
        <v>29</v>
      </c>
      <c r="N2015" t="s">
        <v>43</v>
      </c>
      <c r="O2015" t="s">
        <v>1069</v>
      </c>
      <c r="P2015">
        <v>673.34400000000005</v>
      </c>
      <c r="Q2015">
        <v>3</v>
      </c>
      <c r="R2015">
        <v>-76.953599999999994</v>
      </c>
      <c r="S2015" t="s">
        <v>45</v>
      </c>
    </row>
    <row r="2016" spans="1:19" x14ac:dyDescent="0.35">
      <c r="A2016" t="s">
        <v>4278</v>
      </c>
      <c r="B2016" s="1">
        <v>42372</v>
      </c>
      <c r="C2016" s="1">
        <v>42377</v>
      </c>
      <c r="D2016" t="s">
        <v>37</v>
      </c>
      <c r="E2016" t="s">
        <v>1991</v>
      </c>
      <c r="F2016" t="s">
        <v>1992</v>
      </c>
      <c r="G2016" t="s">
        <v>84</v>
      </c>
      <c r="H2016" t="s">
        <v>24</v>
      </c>
      <c r="I2016" t="s">
        <v>4279</v>
      </c>
      <c r="J2016" t="s">
        <v>1513</v>
      </c>
      <c r="K2016" t="s">
        <v>87</v>
      </c>
      <c r="L2016" t="s">
        <v>432</v>
      </c>
      <c r="M2016" t="s">
        <v>29</v>
      </c>
      <c r="N2016" t="s">
        <v>43</v>
      </c>
      <c r="O2016" t="s">
        <v>433</v>
      </c>
      <c r="P2016">
        <v>1592.85</v>
      </c>
      <c r="Q2016">
        <v>7</v>
      </c>
      <c r="R2016">
        <v>350.42700000000002</v>
      </c>
      <c r="S2016" t="s">
        <v>161</v>
      </c>
    </row>
    <row r="2017" spans="1:19" x14ac:dyDescent="0.35">
      <c r="A2017" t="s">
        <v>4280</v>
      </c>
      <c r="B2017" s="1">
        <v>42516</v>
      </c>
      <c r="C2017" s="1">
        <v>42520</v>
      </c>
      <c r="D2017" t="s">
        <v>37</v>
      </c>
      <c r="E2017" t="s">
        <v>4281</v>
      </c>
      <c r="F2017" t="s">
        <v>4282</v>
      </c>
      <c r="G2017" t="s">
        <v>23</v>
      </c>
      <c r="H2017" t="s">
        <v>24</v>
      </c>
      <c r="I2017" t="s">
        <v>896</v>
      </c>
      <c r="J2017" t="s">
        <v>230</v>
      </c>
      <c r="K2017" t="s">
        <v>87</v>
      </c>
      <c r="L2017" t="s">
        <v>1442</v>
      </c>
      <c r="M2017" t="s">
        <v>29</v>
      </c>
      <c r="N2017" t="s">
        <v>53</v>
      </c>
      <c r="O2017" t="s">
        <v>1443</v>
      </c>
      <c r="P2017">
        <v>26.94</v>
      </c>
      <c r="Q2017">
        <v>3</v>
      </c>
      <c r="R2017">
        <v>11.3148</v>
      </c>
      <c r="S2017" t="s">
        <v>153</v>
      </c>
    </row>
    <row r="2018" spans="1:19" x14ac:dyDescent="0.35">
      <c r="A2018" t="s">
        <v>4283</v>
      </c>
      <c r="B2018" s="1">
        <v>42328</v>
      </c>
      <c r="C2018" s="1">
        <v>42332</v>
      </c>
      <c r="D2018" t="s">
        <v>37</v>
      </c>
      <c r="E2018" t="s">
        <v>3051</v>
      </c>
      <c r="F2018" t="s">
        <v>3052</v>
      </c>
      <c r="G2018" t="s">
        <v>23</v>
      </c>
      <c r="H2018" t="s">
        <v>24</v>
      </c>
      <c r="I2018" t="s">
        <v>320</v>
      </c>
      <c r="J2018" t="s">
        <v>50</v>
      </c>
      <c r="K2018" t="s">
        <v>51</v>
      </c>
      <c r="L2018" t="s">
        <v>2131</v>
      </c>
      <c r="M2018" t="s">
        <v>29</v>
      </c>
      <c r="N2018" t="s">
        <v>53</v>
      </c>
      <c r="O2018" t="s">
        <v>2132</v>
      </c>
      <c r="P2018">
        <v>32.04</v>
      </c>
      <c r="Q2018">
        <v>3</v>
      </c>
      <c r="R2018">
        <v>8.01</v>
      </c>
      <c r="S2018" t="s">
        <v>32</v>
      </c>
    </row>
    <row r="2019" spans="1:19" x14ac:dyDescent="0.35">
      <c r="A2019" t="s">
        <v>4284</v>
      </c>
      <c r="B2019" s="1">
        <v>42885</v>
      </c>
      <c r="C2019" s="1">
        <v>42889</v>
      </c>
      <c r="D2019" t="s">
        <v>20</v>
      </c>
      <c r="E2019" t="s">
        <v>1918</v>
      </c>
      <c r="F2019" t="s">
        <v>1919</v>
      </c>
      <c r="G2019" t="s">
        <v>23</v>
      </c>
      <c r="H2019" t="s">
        <v>24</v>
      </c>
      <c r="I2019" t="s">
        <v>1730</v>
      </c>
      <c r="J2019" t="s">
        <v>86</v>
      </c>
      <c r="K2019" t="s">
        <v>87</v>
      </c>
      <c r="L2019" t="s">
        <v>990</v>
      </c>
      <c r="M2019" t="s">
        <v>29</v>
      </c>
      <c r="N2019" t="s">
        <v>30</v>
      </c>
      <c r="O2019" t="s">
        <v>991</v>
      </c>
      <c r="P2019">
        <v>204.66640000000001</v>
      </c>
      <c r="Q2019">
        <v>1</v>
      </c>
      <c r="R2019">
        <v>-6.0195999999999996</v>
      </c>
      <c r="S2019" t="s">
        <v>153</v>
      </c>
    </row>
    <row r="2020" spans="1:19" x14ac:dyDescent="0.35">
      <c r="A2020" t="s">
        <v>4285</v>
      </c>
      <c r="B2020" s="1">
        <v>43074</v>
      </c>
      <c r="C2020" s="1">
        <v>43075</v>
      </c>
      <c r="D2020" t="s">
        <v>81</v>
      </c>
      <c r="E2020" t="s">
        <v>4286</v>
      </c>
      <c r="F2020" t="s">
        <v>4287</v>
      </c>
      <c r="G2020" t="s">
        <v>94</v>
      </c>
      <c r="H2020" t="s">
        <v>24</v>
      </c>
      <c r="I2020" t="s">
        <v>183</v>
      </c>
      <c r="J2020" t="s">
        <v>184</v>
      </c>
      <c r="K2020" t="s">
        <v>51</v>
      </c>
      <c r="L2020" t="s">
        <v>1114</v>
      </c>
      <c r="M2020" t="s">
        <v>29</v>
      </c>
      <c r="N2020" t="s">
        <v>53</v>
      </c>
      <c r="O2020" t="s">
        <v>1115</v>
      </c>
      <c r="P2020">
        <v>199.9</v>
      </c>
      <c r="Q2020">
        <v>5</v>
      </c>
      <c r="R2020">
        <v>39.979999999999997</v>
      </c>
      <c r="S2020" t="s">
        <v>90</v>
      </c>
    </row>
    <row r="2021" spans="1:19" x14ac:dyDescent="0.35">
      <c r="A2021" t="s">
        <v>4288</v>
      </c>
      <c r="B2021" s="1">
        <v>42670</v>
      </c>
      <c r="C2021" s="1">
        <v>42674</v>
      </c>
      <c r="D2021" t="s">
        <v>37</v>
      </c>
      <c r="E2021" t="s">
        <v>2839</v>
      </c>
      <c r="F2021" t="s">
        <v>2840</v>
      </c>
      <c r="G2021" t="s">
        <v>23</v>
      </c>
      <c r="H2021" t="s">
        <v>24</v>
      </c>
      <c r="I2021" t="s">
        <v>165</v>
      </c>
      <c r="J2021" t="s">
        <v>114</v>
      </c>
      <c r="K2021" t="s">
        <v>63</v>
      </c>
      <c r="L2021" t="s">
        <v>1756</v>
      </c>
      <c r="M2021" t="s">
        <v>29</v>
      </c>
      <c r="N2021" t="s">
        <v>34</v>
      </c>
      <c r="O2021" t="s">
        <v>1757</v>
      </c>
      <c r="P2021">
        <v>427.64400000000001</v>
      </c>
      <c r="Q2021">
        <v>14</v>
      </c>
      <c r="R2021">
        <v>80.777199999999993</v>
      </c>
      <c r="S2021" t="s">
        <v>45</v>
      </c>
    </row>
    <row r="2022" spans="1:19" x14ac:dyDescent="0.35">
      <c r="A2022" t="s">
        <v>4289</v>
      </c>
      <c r="B2022" s="1">
        <v>42898</v>
      </c>
      <c r="C2022" s="1">
        <v>42900</v>
      </c>
      <c r="D2022" t="s">
        <v>20</v>
      </c>
      <c r="E2022" t="s">
        <v>1419</v>
      </c>
      <c r="F2022" t="s">
        <v>1420</v>
      </c>
      <c r="G2022" t="s">
        <v>23</v>
      </c>
      <c r="H2022" t="s">
        <v>24</v>
      </c>
      <c r="I2022" t="s">
        <v>125</v>
      </c>
      <c r="J2022" t="s">
        <v>126</v>
      </c>
      <c r="K2022" t="s">
        <v>87</v>
      </c>
      <c r="L2022" t="s">
        <v>1709</v>
      </c>
      <c r="M2022" t="s">
        <v>29</v>
      </c>
      <c r="N2022" t="s">
        <v>53</v>
      </c>
      <c r="O2022" t="s">
        <v>1710</v>
      </c>
      <c r="P2022">
        <v>8.8559999999999999</v>
      </c>
      <c r="Q2022">
        <v>3</v>
      </c>
      <c r="R2022">
        <v>-6.8634000000000004</v>
      </c>
      <c r="S2022" t="s">
        <v>55</v>
      </c>
    </row>
    <row r="2023" spans="1:19" x14ac:dyDescent="0.35">
      <c r="A2023" t="s">
        <v>4290</v>
      </c>
      <c r="B2023" s="1">
        <v>42638</v>
      </c>
      <c r="C2023" s="1">
        <v>42640</v>
      </c>
      <c r="D2023" t="s">
        <v>81</v>
      </c>
      <c r="E2023" t="s">
        <v>2255</v>
      </c>
      <c r="F2023" t="s">
        <v>2256</v>
      </c>
      <c r="G2023" t="s">
        <v>84</v>
      </c>
      <c r="H2023" t="s">
        <v>24</v>
      </c>
      <c r="I2023" t="s">
        <v>320</v>
      </c>
      <c r="J2023" t="s">
        <v>50</v>
      </c>
      <c r="K2023" t="s">
        <v>51</v>
      </c>
      <c r="L2023" t="s">
        <v>252</v>
      </c>
      <c r="M2023" t="s">
        <v>29</v>
      </c>
      <c r="N2023" t="s">
        <v>30</v>
      </c>
      <c r="O2023" t="s">
        <v>253</v>
      </c>
      <c r="P2023">
        <v>477.666</v>
      </c>
      <c r="Q2023">
        <v>2</v>
      </c>
      <c r="R2023">
        <v>84.293999999999997</v>
      </c>
      <c r="S2023" t="s">
        <v>72</v>
      </c>
    </row>
    <row r="2024" spans="1:19" x14ac:dyDescent="0.35">
      <c r="A2024" t="s">
        <v>4291</v>
      </c>
      <c r="B2024" s="1">
        <v>42135</v>
      </c>
      <c r="C2024" s="1">
        <v>42140</v>
      </c>
      <c r="D2024" t="s">
        <v>20</v>
      </c>
      <c r="E2024" t="s">
        <v>123</v>
      </c>
      <c r="F2024" t="s">
        <v>124</v>
      </c>
      <c r="G2024" t="s">
        <v>94</v>
      </c>
      <c r="H2024" t="s">
        <v>24</v>
      </c>
      <c r="I2024" t="s">
        <v>510</v>
      </c>
      <c r="J2024" t="s">
        <v>511</v>
      </c>
      <c r="K2024" t="s">
        <v>51</v>
      </c>
      <c r="L2024" t="s">
        <v>1093</v>
      </c>
      <c r="M2024" t="s">
        <v>29</v>
      </c>
      <c r="N2024" t="s">
        <v>34</v>
      </c>
      <c r="O2024" t="s">
        <v>1094</v>
      </c>
      <c r="P2024">
        <v>191.96799999999999</v>
      </c>
      <c r="Q2024">
        <v>7</v>
      </c>
      <c r="R2024">
        <v>16.7972</v>
      </c>
      <c r="S2024" t="s">
        <v>153</v>
      </c>
    </row>
    <row r="2025" spans="1:19" x14ac:dyDescent="0.35">
      <c r="A2025" t="s">
        <v>4292</v>
      </c>
      <c r="B2025" s="1">
        <v>42222</v>
      </c>
      <c r="C2025" s="1">
        <v>42226</v>
      </c>
      <c r="D2025" t="s">
        <v>37</v>
      </c>
      <c r="E2025" t="s">
        <v>4293</v>
      </c>
      <c r="F2025" t="s">
        <v>4294</v>
      </c>
      <c r="G2025" t="s">
        <v>84</v>
      </c>
      <c r="H2025" t="s">
        <v>24</v>
      </c>
      <c r="I2025" t="s">
        <v>95</v>
      </c>
      <c r="J2025" t="s">
        <v>86</v>
      </c>
      <c r="K2025" t="s">
        <v>87</v>
      </c>
      <c r="L2025" t="s">
        <v>1437</v>
      </c>
      <c r="M2025" t="s">
        <v>29</v>
      </c>
      <c r="N2025" t="s">
        <v>30</v>
      </c>
      <c r="O2025" t="s">
        <v>1438</v>
      </c>
      <c r="P2025">
        <v>369.19920000000002</v>
      </c>
      <c r="Q2025">
        <v>3</v>
      </c>
      <c r="R2025">
        <v>-114.01739999999999</v>
      </c>
      <c r="S2025" t="s">
        <v>245</v>
      </c>
    </row>
    <row r="2026" spans="1:19" x14ac:dyDescent="0.35">
      <c r="A2026" t="s">
        <v>4295</v>
      </c>
      <c r="B2026" s="1">
        <v>42635</v>
      </c>
      <c r="C2026" s="1">
        <v>42640</v>
      </c>
      <c r="D2026" t="s">
        <v>37</v>
      </c>
      <c r="E2026" t="s">
        <v>2336</v>
      </c>
      <c r="F2026" t="s">
        <v>2337</v>
      </c>
      <c r="G2026" t="s">
        <v>84</v>
      </c>
      <c r="H2026" t="s">
        <v>24</v>
      </c>
      <c r="I2026" t="s">
        <v>1602</v>
      </c>
      <c r="J2026" t="s">
        <v>172</v>
      </c>
      <c r="K2026" t="s">
        <v>51</v>
      </c>
      <c r="L2026" t="s">
        <v>484</v>
      </c>
      <c r="M2026" t="s">
        <v>29</v>
      </c>
      <c r="N2026" t="s">
        <v>53</v>
      </c>
      <c r="O2026" t="s">
        <v>485</v>
      </c>
      <c r="P2026">
        <v>68.432000000000002</v>
      </c>
      <c r="Q2026">
        <v>7</v>
      </c>
      <c r="R2026">
        <v>8.5540000000000003</v>
      </c>
      <c r="S2026" t="s">
        <v>72</v>
      </c>
    </row>
    <row r="2027" spans="1:19" x14ac:dyDescent="0.35">
      <c r="A2027" t="s">
        <v>4296</v>
      </c>
      <c r="B2027" s="1">
        <v>42336</v>
      </c>
      <c r="C2027" s="1">
        <v>42340</v>
      </c>
      <c r="D2027" t="s">
        <v>37</v>
      </c>
      <c r="E2027" t="s">
        <v>2954</v>
      </c>
      <c r="F2027" t="s">
        <v>2955</v>
      </c>
      <c r="G2027" t="s">
        <v>23</v>
      </c>
      <c r="H2027" t="s">
        <v>24</v>
      </c>
      <c r="I2027" t="s">
        <v>339</v>
      </c>
      <c r="J2027" t="s">
        <v>223</v>
      </c>
      <c r="K2027" t="s">
        <v>63</v>
      </c>
      <c r="L2027" t="s">
        <v>159</v>
      </c>
      <c r="M2027" t="s">
        <v>29</v>
      </c>
      <c r="N2027" t="s">
        <v>53</v>
      </c>
      <c r="O2027" t="s">
        <v>160</v>
      </c>
      <c r="P2027">
        <v>71.12</v>
      </c>
      <c r="Q2027">
        <v>5</v>
      </c>
      <c r="R2027">
        <v>9.7789999999999999</v>
      </c>
      <c r="S2027" t="s">
        <v>32</v>
      </c>
    </row>
    <row r="2028" spans="1:19" x14ac:dyDescent="0.35">
      <c r="A2028" t="s">
        <v>4297</v>
      </c>
      <c r="B2028" s="1">
        <v>41929</v>
      </c>
      <c r="C2028" s="1">
        <v>41931</v>
      </c>
      <c r="D2028" t="s">
        <v>20</v>
      </c>
      <c r="E2028" t="s">
        <v>4298</v>
      </c>
      <c r="F2028" t="s">
        <v>4299</v>
      </c>
      <c r="G2028" t="s">
        <v>23</v>
      </c>
      <c r="H2028" t="s">
        <v>24</v>
      </c>
      <c r="I2028" t="s">
        <v>95</v>
      </c>
      <c r="J2028" t="s">
        <v>86</v>
      </c>
      <c r="K2028" t="s">
        <v>87</v>
      </c>
      <c r="L2028" t="s">
        <v>2317</v>
      </c>
      <c r="M2028" t="s">
        <v>29</v>
      </c>
      <c r="N2028" t="s">
        <v>53</v>
      </c>
      <c r="O2028" t="s">
        <v>2318</v>
      </c>
      <c r="P2028">
        <v>5.3120000000000003</v>
      </c>
      <c r="Q2028">
        <v>2</v>
      </c>
      <c r="R2028">
        <v>-1.5935999999999999</v>
      </c>
      <c r="S2028" t="s">
        <v>45</v>
      </c>
    </row>
    <row r="2029" spans="1:19" x14ac:dyDescent="0.35">
      <c r="A2029" t="s">
        <v>4300</v>
      </c>
      <c r="B2029" s="1">
        <v>42493</v>
      </c>
      <c r="C2029" s="1">
        <v>42495</v>
      </c>
      <c r="D2029" t="s">
        <v>81</v>
      </c>
      <c r="E2029" t="s">
        <v>4301</v>
      </c>
      <c r="F2029" t="s">
        <v>4302</v>
      </c>
      <c r="G2029" t="s">
        <v>23</v>
      </c>
      <c r="H2029" t="s">
        <v>24</v>
      </c>
      <c r="I2029" t="s">
        <v>222</v>
      </c>
      <c r="J2029" t="s">
        <v>223</v>
      </c>
      <c r="K2029" t="s">
        <v>63</v>
      </c>
      <c r="L2029" t="s">
        <v>2046</v>
      </c>
      <c r="M2029" t="s">
        <v>29</v>
      </c>
      <c r="N2029" t="s">
        <v>53</v>
      </c>
      <c r="O2029" t="s">
        <v>2047</v>
      </c>
      <c r="P2029">
        <v>51.968000000000004</v>
      </c>
      <c r="Q2029">
        <v>2</v>
      </c>
      <c r="R2029">
        <v>10.393599999999999</v>
      </c>
      <c r="S2029" t="s">
        <v>153</v>
      </c>
    </row>
    <row r="2030" spans="1:19" x14ac:dyDescent="0.35">
      <c r="A2030" t="s">
        <v>4303</v>
      </c>
      <c r="B2030" s="1">
        <v>41729</v>
      </c>
      <c r="C2030" s="1">
        <v>41729</v>
      </c>
      <c r="D2030" t="s">
        <v>417</v>
      </c>
      <c r="E2030" t="s">
        <v>3227</v>
      </c>
      <c r="F2030" t="s">
        <v>3228</v>
      </c>
      <c r="G2030" t="s">
        <v>23</v>
      </c>
      <c r="H2030" t="s">
        <v>24</v>
      </c>
      <c r="I2030" t="s">
        <v>295</v>
      </c>
      <c r="J2030" t="s">
        <v>41</v>
      </c>
      <c r="K2030" t="s">
        <v>27</v>
      </c>
      <c r="L2030" t="s">
        <v>321</v>
      </c>
      <c r="M2030" t="s">
        <v>29</v>
      </c>
      <c r="N2030" t="s">
        <v>34</v>
      </c>
      <c r="O2030" t="s">
        <v>322</v>
      </c>
      <c r="P2030">
        <v>1125.4880000000001</v>
      </c>
      <c r="Q2030">
        <v>7</v>
      </c>
      <c r="R2030">
        <v>98.480199999999996</v>
      </c>
      <c r="S2030" t="s">
        <v>187</v>
      </c>
    </row>
    <row r="2031" spans="1:19" x14ac:dyDescent="0.35">
      <c r="A2031" t="s">
        <v>4304</v>
      </c>
      <c r="B2031" s="1">
        <v>42229</v>
      </c>
      <c r="C2031" s="1">
        <v>42229</v>
      </c>
      <c r="D2031" t="s">
        <v>417</v>
      </c>
      <c r="E2031" t="s">
        <v>59</v>
      </c>
      <c r="F2031" t="s">
        <v>60</v>
      </c>
      <c r="G2031" t="s">
        <v>23</v>
      </c>
      <c r="H2031" t="s">
        <v>24</v>
      </c>
      <c r="I2031" t="s">
        <v>1661</v>
      </c>
      <c r="J2031" t="s">
        <v>50</v>
      </c>
      <c r="K2031" t="s">
        <v>51</v>
      </c>
      <c r="L2031" t="s">
        <v>1568</v>
      </c>
      <c r="M2031" t="s">
        <v>29</v>
      </c>
      <c r="N2031" t="s">
        <v>53</v>
      </c>
      <c r="O2031" t="s">
        <v>1569</v>
      </c>
      <c r="P2031">
        <v>31.56</v>
      </c>
      <c r="Q2031">
        <v>3</v>
      </c>
      <c r="R2031">
        <v>10.4148</v>
      </c>
      <c r="S2031" t="s">
        <v>245</v>
      </c>
    </row>
    <row r="2032" spans="1:19" x14ac:dyDescent="0.35">
      <c r="A2032" t="s">
        <v>4305</v>
      </c>
      <c r="B2032" s="1">
        <v>42150</v>
      </c>
      <c r="C2032" s="1">
        <v>42152</v>
      </c>
      <c r="D2032" t="s">
        <v>20</v>
      </c>
      <c r="E2032" t="s">
        <v>3571</v>
      </c>
      <c r="F2032" t="s">
        <v>3572</v>
      </c>
      <c r="G2032" t="s">
        <v>23</v>
      </c>
      <c r="H2032" t="s">
        <v>24</v>
      </c>
      <c r="I2032" t="s">
        <v>237</v>
      </c>
      <c r="J2032" t="s">
        <v>86</v>
      </c>
      <c r="K2032" t="s">
        <v>87</v>
      </c>
      <c r="L2032" t="s">
        <v>151</v>
      </c>
      <c r="M2032" t="s">
        <v>29</v>
      </c>
      <c r="N2032" t="s">
        <v>34</v>
      </c>
      <c r="O2032" t="s">
        <v>152</v>
      </c>
      <c r="P2032">
        <v>105.68600000000001</v>
      </c>
      <c r="Q2032">
        <v>1</v>
      </c>
      <c r="R2032">
        <v>-28.686199999999999</v>
      </c>
      <c r="S2032" t="s">
        <v>153</v>
      </c>
    </row>
    <row r="2033" spans="1:19" x14ac:dyDescent="0.35">
      <c r="A2033" t="s">
        <v>4305</v>
      </c>
      <c r="B2033" s="1">
        <v>42150</v>
      </c>
      <c r="C2033" s="1">
        <v>42152</v>
      </c>
      <c r="D2033" t="s">
        <v>20</v>
      </c>
      <c r="E2033" t="s">
        <v>3571</v>
      </c>
      <c r="F2033" t="s">
        <v>3572</v>
      </c>
      <c r="G2033" t="s">
        <v>23</v>
      </c>
      <c r="H2033" t="s">
        <v>24</v>
      </c>
      <c r="I2033" t="s">
        <v>237</v>
      </c>
      <c r="J2033" t="s">
        <v>86</v>
      </c>
      <c r="K2033" t="s">
        <v>87</v>
      </c>
      <c r="L2033" t="s">
        <v>1504</v>
      </c>
      <c r="M2033" t="s">
        <v>29</v>
      </c>
      <c r="N2033" t="s">
        <v>34</v>
      </c>
      <c r="O2033" t="s">
        <v>1505</v>
      </c>
      <c r="P2033">
        <v>104.93</v>
      </c>
      <c r="Q2033">
        <v>5</v>
      </c>
      <c r="R2033">
        <v>-4.4969999999999999</v>
      </c>
      <c r="S2033" t="s">
        <v>153</v>
      </c>
    </row>
    <row r="2034" spans="1:19" x14ac:dyDescent="0.35">
      <c r="A2034" t="s">
        <v>4306</v>
      </c>
      <c r="B2034" s="1">
        <v>42992</v>
      </c>
      <c r="C2034" s="1">
        <v>42994</v>
      </c>
      <c r="D2034" t="s">
        <v>81</v>
      </c>
      <c r="E2034" t="s">
        <v>3234</v>
      </c>
      <c r="F2034" t="s">
        <v>3235</v>
      </c>
      <c r="G2034" t="s">
        <v>94</v>
      </c>
      <c r="H2034" t="s">
        <v>24</v>
      </c>
      <c r="I2034" t="s">
        <v>165</v>
      </c>
      <c r="J2034" t="s">
        <v>114</v>
      </c>
      <c r="K2034" t="s">
        <v>63</v>
      </c>
      <c r="L2034" t="s">
        <v>2569</v>
      </c>
      <c r="M2034" t="s">
        <v>29</v>
      </c>
      <c r="N2034" t="s">
        <v>34</v>
      </c>
      <c r="O2034" t="s">
        <v>2570</v>
      </c>
      <c r="P2034">
        <v>589.41</v>
      </c>
      <c r="Q2034">
        <v>5</v>
      </c>
      <c r="R2034">
        <v>-6.5490000000000004</v>
      </c>
      <c r="S2034" t="s">
        <v>72</v>
      </c>
    </row>
    <row r="2035" spans="1:19" x14ac:dyDescent="0.35">
      <c r="A2035" t="s">
        <v>4307</v>
      </c>
      <c r="B2035" s="1">
        <v>42911</v>
      </c>
      <c r="C2035" s="1">
        <v>42913</v>
      </c>
      <c r="D2035" t="s">
        <v>20</v>
      </c>
      <c r="E2035" t="s">
        <v>4117</v>
      </c>
      <c r="F2035" t="s">
        <v>4118</v>
      </c>
      <c r="G2035" t="s">
        <v>23</v>
      </c>
      <c r="H2035" t="s">
        <v>24</v>
      </c>
      <c r="I2035" t="s">
        <v>165</v>
      </c>
      <c r="J2035" t="s">
        <v>114</v>
      </c>
      <c r="K2035" t="s">
        <v>63</v>
      </c>
      <c r="L2035" t="s">
        <v>1686</v>
      </c>
      <c r="M2035" t="s">
        <v>29</v>
      </c>
      <c r="N2035" t="s">
        <v>30</v>
      </c>
      <c r="O2035" t="s">
        <v>1687</v>
      </c>
      <c r="P2035">
        <v>400.78399999999999</v>
      </c>
      <c r="Q2035">
        <v>1</v>
      </c>
      <c r="R2035">
        <v>-5.0098000000000003</v>
      </c>
      <c r="S2035" t="s">
        <v>55</v>
      </c>
    </row>
    <row r="2036" spans="1:19" x14ac:dyDescent="0.35">
      <c r="A2036" t="s">
        <v>4308</v>
      </c>
      <c r="B2036" s="1">
        <v>42579</v>
      </c>
      <c r="C2036" s="1">
        <v>42583</v>
      </c>
      <c r="D2036" t="s">
        <v>37</v>
      </c>
      <c r="E2036" t="s">
        <v>4309</v>
      </c>
      <c r="F2036" t="s">
        <v>4310</v>
      </c>
      <c r="G2036" t="s">
        <v>94</v>
      </c>
      <c r="H2036" t="s">
        <v>24</v>
      </c>
      <c r="I2036" t="s">
        <v>1176</v>
      </c>
      <c r="J2036" t="s">
        <v>86</v>
      </c>
      <c r="K2036" t="s">
        <v>87</v>
      </c>
      <c r="L2036" t="s">
        <v>1119</v>
      </c>
      <c r="M2036" t="s">
        <v>29</v>
      </c>
      <c r="N2036" t="s">
        <v>53</v>
      </c>
      <c r="O2036" t="s">
        <v>1120</v>
      </c>
      <c r="P2036">
        <v>24.7</v>
      </c>
      <c r="Q2036">
        <v>5</v>
      </c>
      <c r="R2036">
        <v>-9.8800000000000008</v>
      </c>
      <c r="S2036" t="s">
        <v>66</v>
      </c>
    </row>
    <row r="2037" spans="1:19" x14ac:dyDescent="0.35">
      <c r="A2037" t="s">
        <v>4308</v>
      </c>
      <c r="B2037" s="1">
        <v>42579</v>
      </c>
      <c r="C2037" s="1">
        <v>42583</v>
      </c>
      <c r="D2037" t="s">
        <v>37</v>
      </c>
      <c r="E2037" t="s">
        <v>4309</v>
      </c>
      <c r="F2037" t="s">
        <v>4310</v>
      </c>
      <c r="G2037" t="s">
        <v>94</v>
      </c>
      <c r="H2037" t="s">
        <v>24</v>
      </c>
      <c r="I2037" t="s">
        <v>1176</v>
      </c>
      <c r="J2037" t="s">
        <v>86</v>
      </c>
      <c r="K2037" t="s">
        <v>87</v>
      </c>
      <c r="L2037" t="s">
        <v>3667</v>
      </c>
      <c r="M2037" t="s">
        <v>29</v>
      </c>
      <c r="N2037" t="s">
        <v>53</v>
      </c>
      <c r="O2037" t="s">
        <v>3668</v>
      </c>
      <c r="P2037">
        <v>302.72000000000003</v>
      </c>
      <c r="Q2037">
        <v>5</v>
      </c>
      <c r="R2037">
        <v>-378.4</v>
      </c>
      <c r="S2037" t="s">
        <v>66</v>
      </c>
    </row>
    <row r="2038" spans="1:19" x14ac:dyDescent="0.35">
      <c r="A2038" t="s">
        <v>4311</v>
      </c>
      <c r="B2038" s="1">
        <v>42266</v>
      </c>
      <c r="C2038" s="1">
        <v>42270</v>
      </c>
      <c r="D2038" t="s">
        <v>37</v>
      </c>
      <c r="E2038" t="s">
        <v>4312</v>
      </c>
      <c r="F2038" t="s">
        <v>4313</v>
      </c>
      <c r="G2038" t="s">
        <v>94</v>
      </c>
      <c r="H2038" t="s">
        <v>24</v>
      </c>
      <c r="I2038" t="s">
        <v>1840</v>
      </c>
      <c r="J2038" t="s">
        <v>50</v>
      </c>
      <c r="K2038" t="s">
        <v>51</v>
      </c>
      <c r="L2038" t="s">
        <v>2309</v>
      </c>
      <c r="M2038" t="s">
        <v>29</v>
      </c>
      <c r="N2038" t="s">
        <v>53</v>
      </c>
      <c r="O2038" t="s">
        <v>2310</v>
      </c>
      <c r="P2038">
        <v>60.84</v>
      </c>
      <c r="Q2038">
        <v>3</v>
      </c>
      <c r="R2038">
        <v>19.468800000000002</v>
      </c>
      <c r="S2038" t="s">
        <v>72</v>
      </c>
    </row>
    <row r="2039" spans="1:19" x14ac:dyDescent="0.35">
      <c r="A2039" t="s">
        <v>4314</v>
      </c>
      <c r="B2039" s="1">
        <v>42538</v>
      </c>
      <c r="C2039" s="1">
        <v>42544</v>
      </c>
      <c r="D2039" t="s">
        <v>37</v>
      </c>
      <c r="E2039" t="s">
        <v>2115</v>
      </c>
      <c r="F2039" t="s">
        <v>2116</v>
      </c>
      <c r="G2039" t="s">
        <v>84</v>
      </c>
      <c r="H2039" t="s">
        <v>24</v>
      </c>
      <c r="I2039" t="s">
        <v>885</v>
      </c>
      <c r="J2039" t="s">
        <v>114</v>
      </c>
      <c r="K2039" t="s">
        <v>63</v>
      </c>
      <c r="L2039" t="s">
        <v>1319</v>
      </c>
      <c r="M2039" t="s">
        <v>29</v>
      </c>
      <c r="N2039" t="s">
        <v>43</v>
      </c>
      <c r="O2039" t="s">
        <v>1320</v>
      </c>
      <c r="P2039">
        <v>376.86599999999999</v>
      </c>
      <c r="Q2039">
        <v>3</v>
      </c>
      <c r="R2039">
        <v>-213.5574</v>
      </c>
      <c r="S2039" t="s">
        <v>55</v>
      </c>
    </row>
    <row r="2040" spans="1:19" x14ac:dyDescent="0.35">
      <c r="A2040" t="s">
        <v>4315</v>
      </c>
      <c r="B2040" s="1">
        <v>42506</v>
      </c>
      <c r="C2040" s="1">
        <v>42509</v>
      </c>
      <c r="D2040" t="s">
        <v>20</v>
      </c>
      <c r="E2040" t="s">
        <v>498</v>
      </c>
      <c r="F2040" t="s">
        <v>499</v>
      </c>
      <c r="G2040" t="s">
        <v>23</v>
      </c>
      <c r="H2040" t="s">
        <v>24</v>
      </c>
      <c r="I2040" t="s">
        <v>49</v>
      </c>
      <c r="J2040" t="s">
        <v>50</v>
      </c>
      <c r="K2040" t="s">
        <v>51</v>
      </c>
      <c r="L2040" t="s">
        <v>2160</v>
      </c>
      <c r="M2040" t="s">
        <v>29</v>
      </c>
      <c r="N2040" t="s">
        <v>53</v>
      </c>
      <c r="O2040" t="s">
        <v>2161</v>
      </c>
      <c r="P2040">
        <v>282.83999999999997</v>
      </c>
      <c r="Q2040">
        <v>4</v>
      </c>
      <c r="R2040">
        <v>19.7988</v>
      </c>
      <c r="S2040" t="s">
        <v>153</v>
      </c>
    </row>
    <row r="2041" spans="1:19" x14ac:dyDescent="0.35">
      <c r="A2041" t="s">
        <v>4316</v>
      </c>
      <c r="B2041" s="1">
        <v>42915</v>
      </c>
      <c r="C2041" s="1">
        <v>42916</v>
      </c>
      <c r="D2041" t="s">
        <v>81</v>
      </c>
      <c r="E2041" t="s">
        <v>3424</v>
      </c>
      <c r="F2041" t="s">
        <v>3425</v>
      </c>
      <c r="G2041" t="s">
        <v>23</v>
      </c>
      <c r="H2041" t="s">
        <v>24</v>
      </c>
      <c r="I2041" t="s">
        <v>1730</v>
      </c>
      <c r="J2041" t="s">
        <v>86</v>
      </c>
      <c r="K2041" t="s">
        <v>87</v>
      </c>
      <c r="L2041" t="s">
        <v>1618</v>
      </c>
      <c r="M2041" t="s">
        <v>29</v>
      </c>
      <c r="N2041" t="s">
        <v>43</v>
      </c>
      <c r="O2041" t="s">
        <v>1619</v>
      </c>
      <c r="P2041">
        <v>307.31400000000002</v>
      </c>
      <c r="Q2041">
        <v>3</v>
      </c>
      <c r="R2041">
        <v>-39.511800000000001</v>
      </c>
      <c r="S2041" t="s">
        <v>55</v>
      </c>
    </row>
    <row r="2042" spans="1:19" x14ac:dyDescent="0.35">
      <c r="A2042" t="s">
        <v>4316</v>
      </c>
      <c r="B2042" s="1">
        <v>42915</v>
      </c>
      <c r="C2042" s="1">
        <v>42916</v>
      </c>
      <c r="D2042" t="s">
        <v>81</v>
      </c>
      <c r="E2042" t="s">
        <v>3424</v>
      </c>
      <c r="F2042" t="s">
        <v>3425</v>
      </c>
      <c r="G2042" t="s">
        <v>23</v>
      </c>
      <c r="H2042" t="s">
        <v>24</v>
      </c>
      <c r="I2042" t="s">
        <v>1730</v>
      </c>
      <c r="J2042" t="s">
        <v>86</v>
      </c>
      <c r="K2042" t="s">
        <v>87</v>
      </c>
      <c r="L2042" t="s">
        <v>1860</v>
      </c>
      <c r="M2042" t="s">
        <v>29</v>
      </c>
      <c r="N2042" t="s">
        <v>30</v>
      </c>
      <c r="O2042" t="s">
        <v>1861</v>
      </c>
      <c r="P2042">
        <v>409.99919999999997</v>
      </c>
      <c r="Q2042">
        <v>3</v>
      </c>
      <c r="R2042">
        <v>-96.470399999999998</v>
      </c>
      <c r="S2042" t="s">
        <v>55</v>
      </c>
    </row>
    <row r="2043" spans="1:19" x14ac:dyDescent="0.35">
      <c r="A2043" t="s">
        <v>4317</v>
      </c>
      <c r="B2043" s="1">
        <v>41926</v>
      </c>
      <c r="C2043" s="1">
        <v>41929</v>
      </c>
      <c r="D2043" t="s">
        <v>81</v>
      </c>
      <c r="E2043" t="s">
        <v>3760</v>
      </c>
      <c r="F2043" t="s">
        <v>3761</v>
      </c>
      <c r="G2043" t="s">
        <v>23</v>
      </c>
      <c r="H2043" t="s">
        <v>24</v>
      </c>
      <c r="I2043" t="s">
        <v>1348</v>
      </c>
      <c r="J2043" t="s">
        <v>425</v>
      </c>
      <c r="K2043" t="s">
        <v>63</v>
      </c>
      <c r="L2043" t="s">
        <v>2901</v>
      </c>
      <c r="M2043" t="s">
        <v>29</v>
      </c>
      <c r="N2043" t="s">
        <v>34</v>
      </c>
      <c r="O2043" t="s">
        <v>2902</v>
      </c>
      <c r="P2043">
        <v>1628.82</v>
      </c>
      <c r="Q2043">
        <v>9</v>
      </c>
      <c r="R2043">
        <v>260.6112</v>
      </c>
      <c r="S2043" t="s">
        <v>45</v>
      </c>
    </row>
    <row r="2044" spans="1:19" x14ac:dyDescent="0.35">
      <c r="A2044" t="s">
        <v>4318</v>
      </c>
      <c r="B2044" s="1">
        <v>41961</v>
      </c>
      <c r="C2044" s="1">
        <v>41968</v>
      </c>
      <c r="D2044" t="s">
        <v>37</v>
      </c>
      <c r="E2044" t="s">
        <v>761</v>
      </c>
      <c r="F2044" t="s">
        <v>762</v>
      </c>
      <c r="G2044" t="s">
        <v>84</v>
      </c>
      <c r="H2044" t="s">
        <v>24</v>
      </c>
      <c r="I2044" t="s">
        <v>183</v>
      </c>
      <c r="J2044" t="s">
        <v>184</v>
      </c>
      <c r="K2044" t="s">
        <v>51</v>
      </c>
      <c r="L2044" t="s">
        <v>696</v>
      </c>
      <c r="M2044" t="s">
        <v>29</v>
      </c>
      <c r="N2044" t="s">
        <v>53</v>
      </c>
      <c r="O2044" t="s">
        <v>697</v>
      </c>
      <c r="P2044">
        <v>137.54</v>
      </c>
      <c r="Q2044">
        <v>2</v>
      </c>
      <c r="R2044">
        <v>55.015999999999998</v>
      </c>
      <c r="S2044" t="s">
        <v>32</v>
      </c>
    </row>
    <row r="2045" spans="1:19" x14ac:dyDescent="0.35">
      <c r="A2045" t="s">
        <v>4318</v>
      </c>
      <c r="B2045" s="1">
        <v>41961</v>
      </c>
      <c r="C2045" s="1">
        <v>41968</v>
      </c>
      <c r="D2045" t="s">
        <v>37</v>
      </c>
      <c r="E2045" t="s">
        <v>761</v>
      </c>
      <c r="F2045" t="s">
        <v>762</v>
      </c>
      <c r="G2045" t="s">
        <v>84</v>
      </c>
      <c r="H2045" t="s">
        <v>24</v>
      </c>
      <c r="I2045" t="s">
        <v>183</v>
      </c>
      <c r="J2045" t="s">
        <v>184</v>
      </c>
      <c r="K2045" t="s">
        <v>51</v>
      </c>
      <c r="L2045" t="s">
        <v>1225</v>
      </c>
      <c r="M2045" t="s">
        <v>29</v>
      </c>
      <c r="N2045" t="s">
        <v>43</v>
      </c>
      <c r="O2045" t="s">
        <v>1226</v>
      </c>
      <c r="P2045">
        <v>730.2</v>
      </c>
      <c r="Q2045">
        <v>4</v>
      </c>
      <c r="R2045">
        <v>94.926000000000002</v>
      </c>
      <c r="S2045" t="s">
        <v>32</v>
      </c>
    </row>
    <row r="2046" spans="1:19" x14ac:dyDescent="0.35">
      <c r="A2046" t="s">
        <v>4319</v>
      </c>
      <c r="B2046" s="1">
        <v>42032</v>
      </c>
      <c r="C2046" s="1">
        <v>42035</v>
      </c>
      <c r="D2046" t="s">
        <v>20</v>
      </c>
      <c r="E2046" t="s">
        <v>4320</v>
      </c>
      <c r="F2046" t="s">
        <v>4321</v>
      </c>
      <c r="G2046" t="s">
        <v>23</v>
      </c>
      <c r="H2046" t="s">
        <v>24</v>
      </c>
      <c r="I2046" t="s">
        <v>500</v>
      </c>
      <c r="J2046" t="s">
        <v>1027</v>
      </c>
      <c r="K2046" t="s">
        <v>27</v>
      </c>
      <c r="L2046" t="s">
        <v>742</v>
      </c>
      <c r="M2046" t="s">
        <v>29</v>
      </c>
      <c r="N2046" t="s">
        <v>43</v>
      </c>
      <c r="O2046" t="s">
        <v>743</v>
      </c>
      <c r="P2046">
        <v>4297.6440000000002</v>
      </c>
      <c r="Q2046">
        <v>13</v>
      </c>
      <c r="R2046">
        <v>-1862.3124</v>
      </c>
      <c r="S2046" t="s">
        <v>161</v>
      </c>
    </row>
    <row r="2047" spans="1:19" x14ac:dyDescent="0.35">
      <c r="A2047" t="s">
        <v>4322</v>
      </c>
      <c r="B2047" s="1">
        <v>41705</v>
      </c>
      <c r="C2047" s="1">
        <v>41710</v>
      </c>
      <c r="D2047" t="s">
        <v>37</v>
      </c>
      <c r="E2047" t="s">
        <v>3913</v>
      </c>
      <c r="F2047" t="s">
        <v>3914</v>
      </c>
      <c r="G2047" t="s">
        <v>84</v>
      </c>
      <c r="H2047" t="s">
        <v>24</v>
      </c>
      <c r="I2047" t="s">
        <v>183</v>
      </c>
      <c r="J2047" t="s">
        <v>184</v>
      </c>
      <c r="K2047" t="s">
        <v>51</v>
      </c>
      <c r="L2047" t="s">
        <v>4233</v>
      </c>
      <c r="M2047" t="s">
        <v>29</v>
      </c>
      <c r="N2047" t="s">
        <v>34</v>
      </c>
      <c r="O2047" t="s">
        <v>4234</v>
      </c>
      <c r="P2047">
        <v>436.70400000000001</v>
      </c>
      <c r="Q2047">
        <v>6</v>
      </c>
      <c r="R2047">
        <v>21.8352</v>
      </c>
      <c r="S2047" t="s">
        <v>187</v>
      </c>
    </row>
    <row r="2048" spans="1:19" x14ac:dyDescent="0.35">
      <c r="A2048" t="s">
        <v>4322</v>
      </c>
      <c r="B2048" s="1">
        <v>41705</v>
      </c>
      <c r="C2048" s="1">
        <v>41710</v>
      </c>
      <c r="D2048" t="s">
        <v>37</v>
      </c>
      <c r="E2048" t="s">
        <v>3913</v>
      </c>
      <c r="F2048" t="s">
        <v>3914</v>
      </c>
      <c r="G2048" t="s">
        <v>84</v>
      </c>
      <c r="H2048" t="s">
        <v>24</v>
      </c>
      <c r="I2048" t="s">
        <v>183</v>
      </c>
      <c r="J2048" t="s">
        <v>184</v>
      </c>
      <c r="K2048" t="s">
        <v>51</v>
      </c>
      <c r="L2048" t="s">
        <v>2325</v>
      </c>
      <c r="M2048" t="s">
        <v>29</v>
      </c>
      <c r="N2048" t="s">
        <v>34</v>
      </c>
      <c r="O2048" t="s">
        <v>2326</v>
      </c>
      <c r="P2048">
        <v>481.56799999999998</v>
      </c>
      <c r="Q2048">
        <v>2</v>
      </c>
      <c r="R2048">
        <v>54.176400000000001</v>
      </c>
      <c r="S2048" t="s">
        <v>187</v>
      </c>
    </row>
    <row r="2049" spans="1:19" x14ac:dyDescent="0.35">
      <c r="A2049" t="s">
        <v>4323</v>
      </c>
      <c r="B2049" s="1">
        <v>42700</v>
      </c>
      <c r="C2049" s="1">
        <v>42704</v>
      </c>
      <c r="D2049" t="s">
        <v>37</v>
      </c>
      <c r="E2049" t="s">
        <v>1672</v>
      </c>
      <c r="F2049" t="s">
        <v>1673</v>
      </c>
      <c r="G2049" t="s">
        <v>23</v>
      </c>
      <c r="H2049" t="s">
        <v>24</v>
      </c>
      <c r="I2049" t="s">
        <v>49</v>
      </c>
      <c r="J2049" t="s">
        <v>50</v>
      </c>
      <c r="K2049" t="s">
        <v>51</v>
      </c>
      <c r="L2049" t="s">
        <v>1686</v>
      </c>
      <c r="M2049" t="s">
        <v>29</v>
      </c>
      <c r="N2049" t="s">
        <v>30</v>
      </c>
      <c r="O2049" t="s">
        <v>1687</v>
      </c>
      <c r="P2049">
        <v>3406.6640000000002</v>
      </c>
      <c r="Q2049">
        <v>8</v>
      </c>
      <c r="R2049">
        <v>160.31360000000001</v>
      </c>
      <c r="S2049" t="s">
        <v>32</v>
      </c>
    </row>
    <row r="2050" spans="1:19" x14ac:dyDescent="0.35">
      <c r="A2050" t="s">
        <v>4323</v>
      </c>
      <c r="B2050" s="1">
        <v>42700</v>
      </c>
      <c r="C2050" s="1">
        <v>42704</v>
      </c>
      <c r="D2050" t="s">
        <v>37</v>
      </c>
      <c r="E2050" t="s">
        <v>1672</v>
      </c>
      <c r="F2050" t="s">
        <v>1673</v>
      </c>
      <c r="G2050" t="s">
        <v>23</v>
      </c>
      <c r="H2050" t="s">
        <v>24</v>
      </c>
      <c r="I2050" t="s">
        <v>49</v>
      </c>
      <c r="J2050" t="s">
        <v>50</v>
      </c>
      <c r="K2050" t="s">
        <v>51</v>
      </c>
      <c r="L2050" t="s">
        <v>1391</v>
      </c>
      <c r="M2050" t="s">
        <v>29</v>
      </c>
      <c r="N2050" t="s">
        <v>53</v>
      </c>
      <c r="O2050" t="s">
        <v>1392</v>
      </c>
      <c r="P2050">
        <v>595.38</v>
      </c>
      <c r="Q2050">
        <v>6</v>
      </c>
      <c r="R2050">
        <v>297.69</v>
      </c>
      <c r="S2050" t="s">
        <v>32</v>
      </c>
    </row>
    <row r="2051" spans="1:19" x14ac:dyDescent="0.35">
      <c r="A2051" t="s">
        <v>4324</v>
      </c>
      <c r="B2051" s="1">
        <v>41904</v>
      </c>
      <c r="C2051" s="1">
        <v>41911</v>
      </c>
      <c r="D2051" t="s">
        <v>37</v>
      </c>
      <c r="E2051" t="s">
        <v>1616</v>
      </c>
      <c r="F2051" t="s">
        <v>1617</v>
      </c>
      <c r="G2051" t="s">
        <v>23</v>
      </c>
      <c r="H2051" t="s">
        <v>24</v>
      </c>
      <c r="I2051" t="s">
        <v>165</v>
      </c>
      <c r="J2051" t="s">
        <v>114</v>
      </c>
      <c r="K2051" t="s">
        <v>63</v>
      </c>
      <c r="L2051" t="s">
        <v>2046</v>
      </c>
      <c r="M2051" t="s">
        <v>29</v>
      </c>
      <c r="N2051" t="s">
        <v>53</v>
      </c>
      <c r="O2051" t="s">
        <v>2047</v>
      </c>
      <c r="P2051">
        <v>97.44</v>
      </c>
      <c r="Q2051">
        <v>3</v>
      </c>
      <c r="R2051">
        <v>35.078400000000002</v>
      </c>
      <c r="S2051" t="s">
        <v>72</v>
      </c>
    </row>
    <row r="2052" spans="1:19" x14ac:dyDescent="0.35">
      <c r="A2052" t="s">
        <v>4324</v>
      </c>
      <c r="B2052" s="1">
        <v>41904</v>
      </c>
      <c r="C2052" s="1">
        <v>41911</v>
      </c>
      <c r="D2052" t="s">
        <v>37</v>
      </c>
      <c r="E2052" t="s">
        <v>1616</v>
      </c>
      <c r="F2052" t="s">
        <v>1617</v>
      </c>
      <c r="G2052" t="s">
        <v>23</v>
      </c>
      <c r="H2052" t="s">
        <v>24</v>
      </c>
      <c r="I2052" t="s">
        <v>165</v>
      </c>
      <c r="J2052" t="s">
        <v>114</v>
      </c>
      <c r="K2052" t="s">
        <v>63</v>
      </c>
      <c r="L2052" t="s">
        <v>2540</v>
      </c>
      <c r="M2052" t="s">
        <v>29</v>
      </c>
      <c r="N2052" t="s">
        <v>34</v>
      </c>
      <c r="O2052" t="s">
        <v>2541</v>
      </c>
      <c r="P2052">
        <v>579.52800000000002</v>
      </c>
      <c r="Q2052">
        <v>4</v>
      </c>
      <c r="R2052">
        <v>83.709599999999995</v>
      </c>
      <c r="S2052" t="s">
        <v>72</v>
      </c>
    </row>
    <row r="2053" spans="1:19" x14ac:dyDescent="0.35">
      <c r="A2053" t="s">
        <v>4325</v>
      </c>
      <c r="B2053" s="1">
        <v>43055</v>
      </c>
      <c r="C2053" s="1">
        <v>43059</v>
      </c>
      <c r="D2053" t="s">
        <v>37</v>
      </c>
      <c r="E2053" t="s">
        <v>213</v>
      </c>
      <c r="F2053" t="s">
        <v>214</v>
      </c>
      <c r="G2053" t="s">
        <v>23</v>
      </c>
      <c r="H2053" t="s">
        <v>24</v>
      </c>
      <c r="I2053" t="s">
        <v>49</v>
      </c>
      <c r="J2053" t="s">
        <v>50</v>
      </c>
      <c r="K2053" t="s">
        <v>51</v>
      </c>
      <c r="L2053" t="s">
        <v>1114</v>
      </c>
      <c r="M2053" t="s">
        <v>29</v>
      </c>
      <c r="N2053" t="s">
        <v>53</v>
      </c>
      <c r="O2053" t="s">
        <v>1115</v>
      </c>
      <c r="P2053">
        <v>119.94</v>
      </c>
      <c r="Q2053">
        <v>3</v>
      </c>
      <c r="R2053">
        <v>23.988</v>
      </c>
      <c r="S2053" t="s">
        <v>32</v>
      </c>
    </row>
    <row r="2054" spans="1:19" x14ac:dyDescent="0.35">
      <c r="A2054" t="s">
        <v>4325</v>
      </c>
      <c r="B2054" s="1">
        <v>43055</v>
      </c>
      <c r="C2054" s="1">
        <v>43059</v>
      </c>
      <c r="D2054" t="s">
        <v>37</v>
      </c>
      <c r="E2054" t="s">
        <v>213</v>
      </c>
      <c r="F2054" t="s">
        <v>214</v>
      </c>
      <c r="G2054" t="s">
        <v>23</v>
      </c>
      <c r="H2054" t="s">
        <v>24</v>
      </c>
      <c r="I2054" t="s">
        <v>49</v>
      </c>
      <c r="J2054" t="s">
        <v>50</v>
      </c>
      <c r="K2054" t="s">
        <v>51</v>
      </c>
      <c r="L2054" t="s">
        <v>1971</v>
      </c>
      <c r="M2054" t="s">
        <v>29</v>
      </c>
      <c r="N2054" t="s">
        <v>53</v>
      </c>
      <c r="O2054" t="s">
        <v>1972</v>
      </c>
      <c r="P2054">
        <v>12.42</v>
      </c>
      <c r="Q2054">
        <v>3</v>
      </c>
      <c r="R2054">
        <v>4.4711999999999996</v>
      </c>
      <c r="S2054" t="s">
        <v>32</v>
      </c>
    </row>
    <row r="2055" spans="1:19" x14ac:dyDescent="0.35">
      <c r="A2055" t="s">
        <v>4326</v>
      </c>
      <c r="B2055" s="1">
        <v>42496</v>
      </c>
      <c r="C2055" s="1">
        <v>42500</v>
      </c>
      <c r="D2055" t="s">
        <v>37</v>
      </c>
      <c r="E2055" t="s">
        <v>3850</v>
      </c>
      <c r="F2055" t="s">
        <v>3851</v>
      </c>
      <c r="G2055" t="s">
        <v>23</v>
      </c>
      <c r="H2055" t="s">
        <v>24</v>
      </c>
      <c r="I2055" t="s">
        <v>2076</v>
      </c>
      <c r="J2055" t="s">
        <v>50</v>
      </c>
      <c r="K2055" t="s">
        <v>51</v>
      </c>
      <c r="L2055" t="s">
        <v>1544</v>
      </c>
      <c r="M2055" t="s">
        <v>29</v>
      </c>
      <c r="N2055" t="s">
        <v>53</v>
      </c>
      <c r="O2055" t="s">
        <v>1545</v>
      </c>
      <c r="P2055">
        <v>41.6</v>
      </c>
      <c r="Q2055">
        <v>4</v>
      </c>
      <c r="R2055">
        <v>14.144</v>
      </c>
      <c r="S2055" t="s">
        <v>153</v>
      </c>
    </row>
    <row r="2056" spans="1:19" x14ac:dyDescent="0.35">
      <c r="A2056" t="s">
        <v>4327</v>
      </c>
      <c r="B2056" s="1">
        <v>43082</v>
      </c>
      <c r="C2056" s="1">
        <v>43087</v>
      </c>
      <c r="D2056" t="s">
        <v>37</v>
      </c>
      <c r="E2056" t="s">
        <v>2054</v>
      </c>
      <c r="F2056" t="s">
        <v>2055</v>
      </c>
      <c r="G2056" t="s">
        <v>23</v>
      </c>
      <c r="H2056" t="s">
        <v>24</v>
      </c>
      <c r="I2056" t="s">
        <v>320</v>
      </c>
      <c r="J2056" t="s">
        <v>50</v>
      </c>
      <c r="K2056" t="s">
        <v>51</v>
      </c>
      <c r="L2056" t="s">
        <v>1281</v>
      </c>
      <c r="M2056" t="s">
        <v>29</v>
      </c>
      <c r="N2056" t="s">
        <v>53</v>
      </c>
      <c r="O2056" t="s">
        <v>1749</v>
      </c>
      <c r="P2056">
        <v>201.04</v>
      </c>
      <c r="Q2056">
        <v>8</v>
      </c>
      <c r="R2056">
        <v>54.280799999999999</v>
      </c>
      <c r="S2056" t="s">
        <v>90</v>
      </c>
    </row>
    <row r="2057" spans="1:19" x14ac:dyDescent="0.35">
      <c r="A2057" t="s">
        <v>4328</v>
      </c>
      <c r="B2057" s="1">
        <v>42321</v>
      </c>
      <c r="C2057" s="1">
        <v>42325</v>
      </c>
      <c r="D2057" t="s">
        <v>37</v>
      </c>
      <c r="E2057" t="s">
        <v>395</v>
      </c>
      <c r="F2057" t="s">
        <v>396</v>
      </c>
      <c r="G2057" t="s">
        <v>23</v>
      </c>
      <c r="H2057" t="s">
        <v>24</v>
      </c>
      <c r="I2057" t="s">
        <v>95</v>
      </c>
      <c r="J2057" t="s">
        <v>86</v>
      </c>
      <c r="K2057" t="s">
        <v>87</v>
      </c>
      <c r="L2057" t="s">
        <v>990</v>
      </c>
      <c r="M2057" t="s">
        <v>29</v>
      </c>
      <c r="N2057" t="s">
        <v>30</v>
      </c>
      <c r="O2057" t="s">
        <v>991</v>
      </c>
      <c r="P2057">
        <v>613.99919999999997</v>
      </c>
      <c r="Q2057">
        <v>3</v>
      </c>
      <c r="R2057">
        <v>-18.058800000000002</v>
      </c>
      <c r="S2057" t="s">
        <v>32</v>
      </c>
    </row>
    <row r="2058" spans="1:19" x14ac:dyDescent="0.35">
      <c r="A2058" t="s">
        <v>4329</v>
      </c>
      <c r="B2058" s="1">
        <v>42440</v>
      </c>
      <c r="C2058" s="1">
        <v>42440</v>
      </c>
      <c r="D2058" t="s">
        <v>417</v>
      </c>
      <c r="E2058" t="s">
        <v>4330</v>
      </c>
      <c r="F2058" t="s">
        <v>4331</v>
      </c>
      <c r="G2058" t="s">
        <v>94</v>
      </c>
      <c r="H2058" t="s">
        <v>24</v>
      </c>
      <c r="I2058" t="s">
        <v>61</v>
      </c>
      <c r="J2058" t="s">
        <v>62</v>
      </c>
      <c r="K2058" t="s">
        <v>63</v>
      </c>
      <c r="L2058" t="s">
        <v>1586</v>
      </c>
      <c r="M2058" t="s">
        <v>29</v>
      </c>
      <c r="N2058" t="s">
        <v>53</v>
      </c>
      <c r="O2058" t="s">
        <v>1587</v>
      </c>
      <c r="P2058">
        <v>30.335999999999999</v>
      </c>
      <c r="Q2058">
        <v>4</v>
      </c>
      <c r="R2058">
        <v>9.48</v>
      </c>
      <c r="S2058" t="s">
        <v>187</v>
      </c>
    </row>
    <row r="2059" spans="1:19" x14ac:dyDescent="0.35">
      <c r="A2059" t="s">
        <v>4332</v>
      </c>
      <c r="B2059" s="1">
        <v>42664</v>
      </c>
      <c r="C2059" s="1">
        <v>42670</v>
      </c>
      <c r="D2059" t="s">
        <v>37</v>
      </c>
      <c r="E2059" t="s">
        <v>619</v>
      </c>
      <c r="F2059" t="s">
        <v>620</v>
      </c>
      <c r="G2059" t="s">
        <v>23</v>
      </c>
      <c r="H2059" t="s">
        <v>24</v>
      </c>
      <c r="I2059" t="s">
        <v>49</v>
      </c>
      <c r="J2059" t="s">
        <v>50</v>
      </c>
      <c r="K2059" t="s">
        <v>51</v>
      </c>
      <c r="L2059" t="s">
        <v>3008</v>
      </c>
      <c r="M2059" t="s">
        <v>29</v>
      </c>
      <c r="N2059" t="s">
        <v>34</v>
      </c>
      <c r="O2059" t="s">
        <v>3009</v>
      </c>
      <c r="P2059">
        <v>242.136</v>
      </c>
      <c r="Q2059">
        <v>3</v>
      </c>
      <c r="R2059">
        <v>12.1068</v>
      </c>
      <c r="S2059" t="s">
        <v>45</v>
      </c>
    </row>
    <row r="2060" spans="1:19" x14ac:dyDescent="0.35">
      <c r="A2060" t="s">
        <v>4332</v>
      </c>
      <c r="B2060" s="1">
        <v>42664</v>
      </c>
      <c r="C2060" s="1">
        <v>42670</v>
      </c>
      <c r="D2060" t="s">
        <v>37</v>
      </c>
      <c r="E2060" t="s">
        <v>619</v>
      </c>
      <c r="F2060" t="s">
        <v>620</v>
      </c>
      <c r="G2060" t="s">
        <v>23</v>
      </c>
      <c r="H2060" t="s">
        <v>24</v>
      </c>
      <c r="I2060" t="s">
        <v>49</v>
      </c>
      <c r="J2060" t="s">
        <v>50</v>
      </c>
      <c r="K2060" t="s">
        <v>51</v>
      </c>
      <c r="L2060" t="s">
        <v>2650</v>
      </c>
      <c r="M2060" t="s">
        <v>29</v>
      </c>
      <c r="N2060" t="s">
        <v>53</v>
      </c>
      <c r="O2060" t="s">
        <v>2651</v>
      </c>
      <c r="P2060">
        <v>19.96</v>
      </c>
      <c r="Q2060">
        <v>2</v>
      </c>
      <c r="R2060">
        <v>5.5888</v>
      </c>
      <c r="S2060" t="s">
        <v>45</v>
      </c>
    </row>
    <row r="2061" spans="1:19" x14ac:dyDescent="0.35">
      <c r="A2061" t="s">
        <v>4333</v>
      </c>
      <c r="B2061" s="1">
        <v>41948</v>
      </c>
      <c r="C2061" s="1">
        <v>41953</v>
      </c>
      <c r="D2061" t="s">
        <v>37</v>
      </c>
      <c r="E2061" t="s">
        <v>1374</v>
      </c>
      <c r="F2061" t="s">
        <v>1375</v>
      </c>
      <c r="G2061" t="s">
        <v>23</v>
      </c>
      <c r="H2061" t="s">
        <v>24</v>
      </c>
      <c r="I2061" t="s">
        <v>61</v>
      </c>
      <c r="J2061" t="s">
        <v>62</v>
      </c>
      <c r="K2061" t="s">
        <v>63</v>
      </c>
      <c r="L2061" t="s">
        <v>1822</v>
      </c>
      <c r="M2061" t="s">
        <v>29</v>
      </c>
      <c r="N2061" t="s">
        <v>53</v>
      </c>
      <c r="O2061" t="s">
        <v>1823</v>
      </c>
      <c r="P2061">
        <v>273.56799999999998</v>
      </c>
      <c r="Q2061">
        <v>2</v>
      </c>
      <c r="R2061">
        <v>-34.195999999999998</v>
      </c>
      <c r="S2061" t="s">
        <v>32</v>
      </c>
    </row>
    <row r="2062" spans="1:19" x14ac:dyDescent="0.35">
      <c r="A2062" t="s">
        <v>4334</v>
      </c>
      <c r="B2062" s="1">
        <v>42635</v>
      </c>
      <c r="C2062" s="1">
        <v>42639</v>
      </c>
      <c r="D2062" t="s">
        <v>37</v>
      </c>
      <c r="E2062" t="s">
        <v>3069</v>
      </c>
      <c r="F2062" t="s">
        <v>3070</v>
      </c>
      <c r="G2062" t="s">
        <v>84</v>
      </c>
      <c r="H2062" t="s">
        <v>24</v>
      </c>
      <c r="I2062" t="s">
        <v>4138</v>
      </c>
      <c r="J2062" t="s">
        <v>230</v>
      </c>
      <c r="K2062" t="s">
        <v>87</v>
      </c>
      <c r="L2062" t="s">
        <v>2195</v>
      </c>
      <c r="M2062" t="s">
        <v>29</v>
      </c>
      <c r="N2062" t="s">
        <v>53</v>
      </c>
      <c r="O2062" t="s">
        <v>2196</v>
      </c>
      <c r="P2062">
        <v>18.96</v>
      </c>
      <c r="Q2062">
        <v>2</v>
      </c>
      <c r="R2062">
        <v>7.5839999999999996</v>
      </c>
      <c r="S2062" t="s">
        <v>72</v>
      </c>
    </row>
    <row r="2063" spans="1:19" x14ac:dyDescent="0.35">
      <c r="A2063" t="s">
        <v>4335</v>
      </c>
      <c r="B2063" s="1">
        <v>42416</v>
      </c>
      <c r="C2063" s="1">
        <v>42420</v>
      </c>
      <c r="D2063" t="s">
        <v>37</v>
      </c>
      <c r="E2063" t="s">
        <v>2202</v>
      </c>
      <c r="F2063" t="s">
        <v>2203</v>
      </c>
      <c r="G2063" t="s">
        <v>23</v>
      </c>
      <c r="H2063" t="s">
        <v>24</v>
      </c>
      <c r="I2063" t="s">
        <v>165</v>
      </c>
      <c r="J2063" t="s">
        <v>114</v>
      </c>
      <c r="K2063" t="s">
        <v>63</v>
      </c>
      <c r="L2063" t="s">
        <v>2979</v>
      </c>
      <c r="M2063" t="s">
        <v>29</v>
      </c>
      <c r="N2063" t="s">
        <v>34</v>
      </c>
      <c r="O2063" t="s">
        <v>2980</v>
      </c>
      <c r="P2063">
        <v>326.64600000000002</v>
      </c>
      <c r="Q2063">
        <v>3</v>
      </c>
      <c r="R2063">
        <v>39.923400000000001</v>
      </c>
      <c r="S2063" t="s">
        <v>289</v>
      </c>
    </row>
    <row r="2064" spans="1:19" x14ac:dyDescent="0.35">
      <c r="A2064" t="s">
        <v>4336</v>
      </c>
      <c r="B2064" s="1">
        <v>41871</v>
      </c>
      <c r="C2064" s="1">
        <v>41876</v>
      </c>
      <c r="D2064" t="s">
        <v>37</v>
      </c>
      <c r="E2064" t="s">
        <v>2732</v>
      </c>
      <c r="F2064" t="s">
        <v>2733</v>
      </c>
      <c r="G2064" t="s">
        <v>84</v>
      </c>
      <c r="H2064" t="s">
        <v>24</v>
      </c>
      <c r="I2064" t="s">
        <v>2841</v>
      </c>
      <c r="J2064" t="s">
        <v>707</v>
      </c>
      <c r="K2064" t="s">
        <v>27</v>
      </c>
      <c r="L2064" t="s">
        <v>2209</v>
      </c>
      <c r="M2064" t="s">
        <v>29</v>
      </c>
      <c r="N2064" t="s">
        <v>34</v>
      </c>
      <c r="O2064" t="s">
        <v>2210</v>
      </c>
      <c r="P2064">
        <v>500.24</v>
      </c>
      <c r="Q2064">
        <v>13</v>
      </c>
      <c r="R2064">
        <v>145.06960000000001</v>
      </c>
      <c r="S2064" t="s">
        <v>245</v>
      </c>
    </row>
    <row r="2065" spans="1:19" x14ac:dyDescent="0.35">
      <c r="A2065" t="s">
        <v>4337</v>
      </c>
      <c r="B2065" s="1">
        <v>42316</v>
      </c>
      <c r="C2065" s="1">
        <v>42320</v>
      </c>
      <c r="D2065" t="s">
        <v>37</v>
      </c>
      <c r="E2065" t="s">
        <v>4338</v>
      </c>
      <c r="F2065" t="s">
        <v>4339</v>
      </c>
      <c r="G2065" t="s">
        <v>84</v>
      </c>
      <c r="H2065" t="s">
        <v>24</v>
      </c>
      <c r="I2065" t="s">
        <v>3022</v>
      </c>
      <c r="J2065" t="s">
        <v>3097</v>
      </c>
      <c r="K2065" t="s">
        <v>63</v>
      </c>
      <c r="L2065" t="s">
        <v>76</v>
      </c>
      <c r="M2065" t="s">
        <v>29</v>
      </c>
      <c r="N2065" t="s">
        <v>30</v>
      </c>
      <c r="O2065" t="s">
        <v>77</v>
      </c>
      <c r="P2065">
        <v>4404.8999999999996</v>
      </c>
      <c r="Q2065">
        <v>5</v>
      </c>
      <c r="R2065">
        <v>1013.127</v>
      </c>
      <c r="S2065" t="s">
        <v>32</v>
      </c>
    </row>
    <row r="2066" spans="1:19" x14ac:dyDescent="0.35">
      <c r="A2066" t="s">
        <v>4340</v>
      </c>
      <c r="B2066" s="1">
        <v>43063</v>
      </c>
      <c r="C2066" s="1">
        <v>43063</v>
      </c>
      <c r="D2066" t="s">
        <v>417</v>
      </c>
      <c r="E2066" t="s">
        <v>1198</v>
      </c>
      <c r="F2066" t="s">
        <v>1199</v>
      </c>
      <c r="G2066" t="s">
        <v>23</v>
      </c>
      <c r="H2066" t="s">
        <v>24</v>
      </c>
      <c r="I2066" t="s">
        <v>49</v>
      </c>
      <c r="J2066" t="s">
        <v>50</v>
      </c>
      <c r="K2066" t="s">
        <v>51</v>
      </c>
      <c r="L2066" t="s">
        <v>432</v>
      </c>
      <c r="M2066" t="s">
        <v>29</v>
      </c>
      <c r="N2066" t="s">
        <v>43</v>
      </c>
      <c r="O2066" t="s">
        <v>433</v>
      </c>
      <c r="P2066">
        <v>364.08</v>
      </c>
      <c r="Q2066">
        <v>2</v>
      </c>
      <c r="R2066">
        <v>9.1020000000000003</v>
      </c>
      <c r="S2066" t="s">
        <v>32</v>
      </c>
    </row>
    <row r="2067" spans="1:19" x14ac:dyDescent="0.35">
      <c r="A2067" t="s">
        <v>4340</v>
      </c>
      <c r="B2067" s="1">
        <v>43063</v>
      </c>
      <c r="C2067" s="1">
        <v>43063</v>
      </c>
      <c r="D2067" t="s">
        <v>417</v>
      </c>
      <c r="E2067" t="s">
        <v>1198</v>
      </c>
      <c r="F2067" t="s">
        <v>1199</v>
      </c>
      <c r="G2067" t="s">
        <v>23</v>
      </c>
      <c r="H2067" t="s">
        <v>24</v>
      </c>
      <c r="I2067" t="s">
        <v>49</v>
      </c>
      <c r="J2067" t="s">
        <v>50</v>
      </c>
      <c r="K2067" t="s">
        <v>51</v>
      </c>
      <c r="L2067" t="s">
        <v>1240</v>
      </c>
      <c r="M2067" t="s">
        <v>29</v>
      </c>
      <c r="N2067" t="s">
        <v>43</v>
      </c>
      <c r="O2067" t="s">
        <v>1241</v>
      </c>
      <c r="P2067">
        <v>71.087999999999994</v>
      </c>
      <c r="Q2067">
        <v>2</v>
      </c>
      <c r="R2067">
        <v>-1.7771999999999999</v>
      </c>
      <c r="S2067" t="s">
        <v>32</v>
      </c>
    </row>
    <row r="2068" spans="1:19" x14ac:dyDescent="0.35">
      <c r="A2068" t="s">
        <v>4341</v>
      </c>
      <c r="B2068" s="1">
        <v>41954</v>
      </c>
      <c r="C2068" s="1">
        <v>41958</v>
      </c>
      <c r="D2068" t="s">
        <v>37</v>
      </c>
      <c r="E2068" t="s">
        <v>47</v>
      </c>
      <c r="F2068" t="s">
        <v>48</v>
      </c>
      <c r="G2068" t="s">
        <v>23</v>
      </c>
      <c r="H2068" t="s">
        <v>24</v>
      </c>
      <c r="I2068" t="s">
        <v>125</v>
      </c>
      <c r="J2068" t="s">
        <v>126</v>
      </c>
      <c r="K2068" t="s">
        <v>87</v>
      </c>
      <c r="L2068" t="s">
        <v>2778</v>
      </c>
      <c r="M2068" t="s">
        <v>29</v>
      </c>
      <c r="N2068" t="s">
        <v>53</v>
      </c>
      <c r="O2068" t="s">
        <v>2779</v>
      </c>
      <c r="P2068">
        <v>10.984</v>
      </c>
      <c r="Q2068">
        <v>2</v>
      </c>
      <c r="R2068">
        <v>-7.9634</v>
      </c>
      <c r="S2068" t="s">
        <v>32</v>
      </c>
    </row>
    <row r="2069" spans="1:19" x14ac:dyDescent="0.35">
      <c r="A2069" t="s">
        <v>4341</v>
      </c>
      <c r="B2069" s="1">
        <v>41954</v>
      </c>
      <c r="C2069" s="1">
        <v>41958</v>
      </c>
      <c r="D2069" t="s">
        <v>37</v>
      </c>
      <c r="E2069" t="s">
        <v>47</v>
      </c>
      <c r="F2069" t="s">
        <v>48</v>
      </c>
      <c r="G2069" t="s">
        <v>23</v>
      </c>
      <c r="H2069" t="s">
        <v>24</v>
      </c>
      <c r="I2069" t="s">
        <v>125</v>
      </c>
      <c r="J2069" t="s">
        <v>126</v>
      </c>
      <c r="K2069" t="s">
        <v>87</v>
      </c>
      <c r="L2069" t="s">
        <v>566</v>
      </c>
      <c r="M2069" t="s">
        <v>29</v>
      </c>
      <c r="N2069" t="s">
        <v>34</v>
      </c>
      <c r="O2069" t="s">
        <v>567</v>
      </c>
      <c r="P2069">
        <v>797.94399999999996</v>
      </c>
      <c r="Q2069">
        <v>4</v>
      </c>
      <c r="R2069">
        <v>-56.996000000000002</v>
      </c>
      <c r="S2069" t="s">
        <v>32</v>
      </c>
    </row>
    <row r="2070" spans="1:19" x14ac:dyDescent="0.35">
      <c r="A2070" t="s">
        <v>4342</v>
      </c>
      <c r="B2070" s="1">
        <v>42821</v>
      </c>
      <c r="C2070" s="1">
        <v>42823</v>
      </c>
      <c r="D2070" t="s">
        <v>20</v>
      </c>
      <c r="E2070" t="s">
        <v>169</v>
      </c>
      <c r="F2070" t="s">
        <v>170</v>
      </c>
      <c r="G2070" t="s">
        <v>23</v>
      </c>
      <c r="H2070" t="s">
        <v>24</v>
      </c>
      <c r="I2070" t="s">
        <v>626</v>
      </c>
      <c r="J2070" t="s">
        <v>707</v>
      </c>
      <c r="K2070" t="s">
        <v>27</v>
      </c>
      <c r="L2070" t="s">
        <v>360</v>
      </c>
      <c r="M2070" t="s">
        <v>29</v>
      </c>
      <c r="N2070" t="s">
        <v>43</v>
      </c>
      <c r="O2070" t="s">
        <v>361</v>
      </c>
      <c r="P2070">
        <v>292.10000000000002</v>
      </c>
      <c r="Q2070">
        <v>2</v>
      </c>
      <c r="R2070">
        <v>58.42</v>
      </c>
      <c r="S2070" t="s">
        <v>187</v>
      </c>
    </row>
    <row r="2071" spans="1:19" x14ac:dyDescent="0.35">
      <c r="A2071" t="s">
        <v>4343</v>
      </c>
      <c r="B2071" s="1">
        <v>42674</v>
      </c>
      <c r="C2071" s="1">
        <v>42679</v>
      </c>
      <c r="D2071" t="s">
        <v>37</v>
      </c>
      <c r="E2071" t="s">
        <v>644</v>
      </c>
      <c r="F2071" t="s">
        <v>645</v>
      </c>
      <c r="G2071" t="s">
        <v>84</v>
      </c>
      <c r="H2071" t="s">
        <v>24</v>
      </c>
      <c r="I2071" t="s">
        <v>320</v>
      </c>
      <c r="J2071" t="s">
        <v>50</v>
      </c>
      <c r="K2071" t="s">
        <v>51</v>
      </c>
      <c r="L2071" t="s">
        <v>1477</v>
      </c>
      <c r="M2071" t="s">
        <v>29</v>
      </c>
      <c r="N2071" t="s">
        <v>34</v>
      </c>
      <c r="O2071" t="s">
        <v>1478</v>
      </c>
      <c r="P2071">
        <v>1403.92</v>
      </c>
      <c r="Q2071">
        <v>5</v>
      </c>
      <c r="R2071">
        <v>70.195999999999998</v>
      </c>
      <c r="S2071" t="s">
        <v>45</v>
      </c>
    </row>
    <row r="2072" spans="1:19" x14ac:dyDescent="0.35">
      <c r="A2072" t="s">
        <v>4344</v>
      </c>
      <c r="B2072" s="1">
        <v>42698</v>
      </c>
      <c r="C2072" s="1">
        <v>42704</v>
      </c>
      <c r="D2072" t="s">
        <v>37</v>
      </c>
      <c r="E2072" t="s">
        <v>892</v>
      </c>
      <c r="F2072" t="s">
        <v>893</v>
      </c>
      <c r="G2072" t="s">
        <v>94</v>
      </c>
      <c r="H2072" t="s">
        <v>24</v>
      </c>
      <c r="I2072" t="s">
        <v>2041</v>
      </c>
      <c r="J2072" t="s">
        <v>41</v>
      </c>
      <c r="K2072" t="s">
        <v>27</v>
      </c>
      <c r="L2072" t="s">
        <v>758</v>
      </c>
      <c r="M2072" t="s">
        <v>29</v>
      </c>
      <c r="N2072" t="s">
        <v>30</v>
      </c>
      <c r="O2072" t="s">
        <v>759</v>
      </c>
      <c r="P2072">
        <v>339.92</v>
      </c>
      <c r="Q2072">
        <v>5</v>
      </c>
      <c r="R2072">
        <v>8.4979999999999993</v>
      </c>
      <c r="S2072" t="s">
        <v>32</v>
      </c>
    </row>
    <row r="2073" spans="1:19" x14ac:dyDescent="0.35">
      <c r="A2073" t="s">
        <v>4345</v>
      </c>
      <c r="B2073" s="1">
        <v>41846</v>
      </c>
      <c r="C2073" s="1">
        <v>41850</v>
      </c>
      <c r="D2073" t="s">
        <v>37</v>
      </c>
      <c r="E2073" t="s">
        <v>1565</v>
      </c>
      <c r="F2073" t="s">
        <v>1566</v>
      </c>
      <c r="G2073" t="s">
        <v>23</v>
      </c>
      <c r="H2073" t="s">
        <v>24</v>
      </c>
      <c r="I2073" t="s">
        <v>237</v>
      </c>
      <c r="J2073" t="s">
        <v>86</v>
      </c>
      <c r="K2073" t="s">
        <v>87</v>
      </c>
      <c r="L2073" t="s">
        <v>2252</v>
      </c>
      <c r="M2073" t="s">
        <v>29</v>
      </c>
      <c r="N2073" t="s">
        <v>53</v>
      </c>
      <c r="O2073" t="s">
        <v>2253</v>
      </c>
      <c r="P2073">
        <v>17.495999999999999</v>
      </c>
      <c r="Q2073">
        <v>3</v>
      </c>
      <c r="R2073">
        <v>-10.0602</v>
      </c>
      <c r="S2073" t="s">
        <v>66</v>
      </c>
    </row>
    <row r="2074" spans="1:19" x14ac:dyDescent="0.35">
      <c r="A2074" t="s">
        <v>4346</v>
      </c>
      <c r="B2074" s="1">
        <v>42155</v>
      </c>
      <c r="C2074" s="1">
        <v>42157</v>
      </c>
      <c r="D2074" t="s">
        <v>20</v>
      </c>
      <c r="E2074" t="s">
        <v>1814</v>
      </c>
      <c r="F2074" t="s">
        <v>1815</v>
      </c>
      <c r="G2074" t="s">
        <v>84</v>
      </c>
      <c r="H2074" t="s">
        <v>24</v>
      </c>
      <c r="I2074" t="s">
        <v>3554</v>
      </c>
      <c r="J2074" t="s">
        <v>354</v>
      </c>
      <c r="K2074" t="s">
        <v>63</v>
      </c>
      <c r="L2074" t="s">
        <v>1971</v>
      </c>
      <c r="M2074" t="s">
        <v>29</v>
      </c>
      <c r="N2074" t="s">
        <v>53</v>
      </c>
      <c r="O2074" t="s">
        <v>1972</v>
      </c>
      <c r="P2074">
        <v>8.2799999999999994</v>
      </c>
      <c r="Q2074">
        <v>2</v>
      </c>
      <c r="R2074">
        <v>2.9807999999999999</v>
      </c>
      <c r="S2074" t="s">
        <v>153</v>
      </c>
    </row>
    <row r="2075" spans="1:19" x14ac:dyDescent="0.35">
      <c r="A2075" t="s">
        <v>4347</v>
      </c>
      <c r="B2075" s="1">
        <v>41948</v>
      </c>
      <c r="C2075" s="1">
        <v>41948</v>
      </c>
      <c r="D2075" t="s">
        <v>417</v>
      </c>
      <c r="E2075" t="s">
        <v>4348</v>
      </c>
      <c r="F2075" t="s">
        <v>4349</v>
      </c>
      <c r="G2075" t="s">
        <v>23</v>
      </c>
      <c r="H2075" t="s">
        <v>24</v>
      </c>
      <c r="I2075" t="s">
        <v>2841</v>
      </c>
      <c r="J2075" t="s">
        <v>707</v>
      </c>
      <c r="K2075" t="s">
        <v>27</v>
      </c>
      <c r="L2075" t="s">
        <v>1504</v>
      </c>
      <c r="M2075" t="s">
        <v>29</v>
      </c>
      <c r="N2075" t="s">
        <v>34</v>
      </c>
      <c r="O2075" t="s">
        <v>1505</v>
      </c>
      <c r="P2075">
        <v>149.9</v>
      </c>
      <c r="Q2075">
        <v>5</v>
      </c>
      <c r="R2075">
        <v>40.472999999999999</v>
      </c>
      <c r="S2075" t="s">
        <v>32</v>
      </c>
    </row>
    <row r="2076" spans="1:19" x14ac:dyDescent="0.35">
      <c r="A2076" t="s">
        <v>4350</v>
      </c>
      <c r="B2076" s="1">
        <v>42821</v>
      </c>
      <c r="C2076" s="1">
        <v>42826</v>
      </c>
      <c r="D2076" t="s">
        <v>37</v>
      </c>
      <c r="E2076" t="s">
        <v>1336</v>
      </c>
      <c r="F2076" t="s">
        <v>1337</v>
      </c>
      <c r="G2076" t="s">
        <v>23</v>
      </c>
      <c r="H2076" t="s">
        <v>24</v>
      </c>
      <c r="I2076" t="s">
        <v>95</v>
      </c>
      <c r="J2076" t="s">
        <v>86</v>
      </c>
      <c r="K2076" t="s">
        <v>87</v>
      </c>
      <c r="L2076" t="s">
        <v>990</v>
      </c>
      <c r="M2076" t="s">
        <v>29</v>
      </c>
      <c r="N2076" t="s">
        <v>30</v>
      </c>
      <c r="O2076" t="s">
        <v>991</v>
      </c>
      <c r="P2076">
        <v>1023.332</v>
      </c>
      <c r="Q2076">
        <v>5</v>
      </c>
      <c r="R2076">
        <v>-30.097999999999999</v>
      </c>
      <c r="S2076" t="s">
        <v>187</v>
      </c>
    </row>
    <row r="2077" spans="1:19" x14ac:dyDescent="0.35">
      <c r="A2077" t="s">
        <v>4350</v>
      </c>
      <c r="B2077" s="1">
        <v>42821</v>
      </c>
      <c r="C2077" s="1">
        <v>42826</v>
      </c>
      <c r="D2077" t="s">
        <v>37</v>
      </c>
      <c r="E2077" t="s">
        <v>1336</v>
      </c>
      <c r="F2077" t="s">
        <v>1337</v>
      </c>
      <c r="G2077" t="s">
        <v>23</v>
      </c>
      <c r="H2077" t="s">
        <v>24</v>
      </c>
      <c r="I2077" t="s">
        <v>95</v>
      </c>
      <c r="J2077" t="s">
        <v>86</v>
      </c>
      <c r="K2077" t="s">
        <v>87</v>
      </c>
      <c r="L2077" t="s">
        <v>198</v>
      </c>
      <c r="M2077" t="s">
        <v>29</v>
      </c>
      <c r="N2077" t="s">
        <v>34</v>
      </c>
      <c r="O2077" t="s">
        <v>199</v>
      </c>
      <c r="P2077">
        <v>600.55799999999999</v>
      </c>
      <c r="Q2077">
        <v>3</v>
      </c>
      <c r="R2077">
        <v>-8.5793999999999997</v>
      </c>
      <c r="S2077" t="s">
        <v>187</v>
      </c>
    </row>
    <row r="2078" spans="1:19" x14ac:dyDescent="0.35">
      <c r="A2078" t="s">
        <v>4350</v>
      </c>
      <c r="B2078" s="1">
        <v>42821</v>
      </c>
      <c r="C2078" s="1">
        <v>42826</v>
      </c>
      <c r="D2078" t="s">
        <v>37</v>
      </c>
      <c r="E2078" t="s">
        <v>1336</v>
      </c>
      <c r="F2078" t="s">
        <v>1337</v>
      </c>
      <c r="G2078" t="s">
        <v>23</v>
      </c>
      <c r="H2078" t="s">
        <v>24</v>
      </c>
      <c r="I2078" t="s">
        <v>95</v>
      </c>
      <c r="J2078" t="s">
        <v>86</v>
      </c>
      <c r="K2078" t="s">
        <v>87</v>
      </c>
      <c r="L2078" t="s">
        <v>1841</v>
      </c>
      <c r="M2078" t="s">
        <v>29</v>
      </c>
      <c r="N2078" t="s">
        <v>34</v>
      </c>
      <c r="O2078" t="s">
        <v>1842</v>
      </c>
      <c r="P2078">
        <v>211.24600000000001</v>
      </c>
      <c r="Q2078">
        <v>2</v>
      </c>
      <c r="R2078">
        <v>-66.391599999999997</v>
      </c>
      <c r="S2078" t="s">
        <v>187</v>
      </c>
    </row>
    <row r="2079" spans="1:19" x14ac:dyDescent="0.35">
      <c r="A2079" t="s">
        <v>4351</v>
      </c>
      <c r="B2079" s="1">
        <v>41780</v>
      </c>
      <c r="C2079" s="1">
        <v>41782</v>
      </c>
      <c r="D2079" t="s">
        <v>20</v>
      </c>
      <c r="E2079" t="s">
        <v>916</v>
      </c>
      <c r="F2079" t="s">
        <v>917</v>
      </c>
      <c r="G2079" t="s">
        <v>23</v>
      </c>
      <c r="H2079" t="s">
        <v>24</v>
      </c>
      <c r="I2079" t="s">
        <v>95</v>
      </c>
      <c r="J2079" t="s">
        <v>86</v>
      </c>
      <c r="K2079" t="s">
        <v>87</v>
      </c>
      <c r="L2079" t="s">
        <v>479</v>
      </c>
      <c r="M2079" t="s">
        <v>29</v>
      </c>
      <c r="N2079" t="s">
        <v>34</v>
      </c>
      <c r="O2079" t="s">
        <v>480</v>
      </c>
      <c r="P2079">
        <v>107.77200000000001</v>
      </c>
      <c r="Q2079">
        <v>2</v>
      </c>
      <c r="R2079">
        <v>-29.252400000000002</v>
      </c>
      <c r="S2079" t="s">
        <v>153</v>
      </c>
    </row>
    <row r="2080" spans="1:19" x14ac:dyDescent="0.35">
      <c r="A2080" t="s">
        <v>4352</v>
      </c>
      <c r="B2080" s="1">
        <v>42203</v>
      </c>
      <c r="C2080" s="1">
        <v>42205</v>
      </c>
      <c r="D2080" t="s">
        <v>20</v>
      </c>
      <c r="E2080" t="s">
        <v>838</v>
      </c>
      <c r="F2080" t="s">
        <v>839</v>
      </c>
      <c r="G2080" t="s">
        <v>23</v>
      </c>
      <c r="H2080" t="s">
        <v>24</v>
      </c>
      <c r="I2080" t="s">
        <v>165</v>
      </c>
      <c r="J2080" t="s">
        <v>114</v>
      </c>
      <c r="K2080" t="s">
        <v>63</v>
      </c>
      <c r="L2080" t="s">
        <v>1709</v>
      </c>
      <c r="M2080" t="s">
        <v>29</v>
      </c>
      <c r="N2080" t="s">
        <v>53</v>
      </c>
      <c r="O2080" t="s">
        <v>1710</v>
      </c>
      <c r="P2080">
        <v>7.38</v>
      </c>
      <c r="Q2080">
        <v>1</v>
      </c>
      <c r="R2080">
        <v>2.1402000000000001</v>
      </c>
      <c r="S2080" t="s">
        <v>66</v>
      </c>
    </row>
    <row r="2081" spans="1:19" x14ac:dyDescent="0.35">
      <c r="A2081" t="s">
        <v>4353</v>
      </c>
      <c r="B2081" s="1">
        <v>42664</v>
      </c>
      <c r="C2081" s="1">
        <v>42669</v>
      </c>
      <c r="D2081" t="s">
        <v>37</v>
      </c>
      <c r="E2081" t="s">
        <v>1941</v>
      </c>
      <c r="F2081" t="s">
        <v>1942</v>
      </c>
      <c r="G2081" t="s">
        <v>94</v>
      </c>
      <c r="H2081" t="s">
        <v>24</v>
      </c>
      <c r="I2081" t="s">
        <v>40</v>
      </c>
      <c r="J2081" t="s">
        <v>41</v>
      </c>
      <c r="K2081" t="s">
        <v>27</v>
      </c>
      <c r="L2081" t="s">
        <v>1509</v>
      </c>
      <c r="M2081" t="s">
        <v>29</v>
      </c>
      <c r="N2081" t="s">
        <v>53</v>
      </c>
      <c r="O2081" t="s">
        <v>1510</v>
      </c>
      <c r="P2081">
        <v>45.567999999999998</v>
      </c>
      <c r="Q2081">
        <v>2</v>
      </c>
      <c r="R2081">
        <v>9.6831999999999994</v>
      </c>
      <c r="S2081" t="s">
        <v>45</v>
      </c>
    </row>
    <row r="2082" spans="1:19" x14ac:dyDescent="0.35">
      <c r="A2082" t="s">
        <v>4354</v>
      </c>
      <c r="B2082" s="1">
        <v>42943</v>
      </c>
      <c r="C2082" s="1">
        <v>42948</v>
      </c>
      <c r="D2082" t="s">
        <v>20</v>
      </c>
      <c r="E2082" t="s">
        <v>1459</v>
      </c>
      <c r="F2082" t="s">
        <v>1460</v>
      </c>
      <c r="G2082" t="s">
        <v>23</v>
      </c>
      <c r="H2082" t="s">
        <v>24</v>
      </c>
      <c r="I2082" t="s">
        <v>2008</v>
      </c>
      <c r="J2082" t="s">
        <v>1027</v>
      </c>
      <c r="K2082" t="s">
        <v>27</v>
      </c>
      <c r="L2082" t="s">
        <v>127</v>
      </c>
      <c r="M2082" t="s">
        <v>29</v>
      </c>
      <c r="N2082" t="s">
        <v>34</v>
      </c>
      <c r="O2082" t="s">
        <v>128</v>
      </c>
      <c r="P2082">
        <v>194.84800000000001</v>
      </c>
      <c r="Q2082">
        <v>4</v>
      </c>
      <c r="R2082">
        <v>12.178000000000001</v>
      </c>
      <c r="S2082" t="s">
        <v>66</v>
      </c>
    </row>
    <row r="2083" spans="1:19" x14ac:dyDescent="0.35">
      <c r="A2083" t="s">
        <v>4355</v>
      </c>
      <c r="B2083" s="1">
        <v>42163</v>
      </c>
      <c r="C2083" s="1">
        <v>42167</v>
      </c>
      <c r="D2083" t="s">
        <v>37</v>
      </c>
      <c r="E2083" t="s">
        <v>3132</v>
      </c>
      <c r="F2083" t="s">
        <v>3133</v>
      </c>
      <c r="G2083" t="s">
        <v>84</v>
      </c>
      <c r="H2083" t="s">
        <v>24</v>
      </c>
      <c r="I2083" t="s">
        <v>780</v>
      </c>
      <c r="J2083" t="s">
        <v>41</v>
      </c>
      <c r="K2083" t="s">
        <v>27</v>
      </c>
      <c r="L2083" t="s">
        <v>2101</v>
      </c>
      <c r="M2083" t="s">
        <v>29</v>
      </c>
      <c r="N2083" t="s">
        <v>53</v>
      </c>
      <c r="O2083" t="s">
        <v>2102</v>
      </c>
      <c r="P2083">
        <v>173.208</v>
      </c>
      <c r="Q2083">
        <v>7</v>
      </c>
      <c r="R2083">
        <v>45.467100000000002</v>
      </c>
      <c r="S2083" t="s">
        <v>55</v>
      </c>
    </row>
    <row r="2084" spans="1:19" x14ac:dyDescent="0.35">
      <c r="A2084" t="s">
        <v>4356</v>
      </c>
      <c r="B2084" s="1">
        <v>41866</v>
      </c>
      <c r="C2084" s="1">
        <v>41870</v>
      </c>
      <c r="D2084" t="s">
        <v>37</v>
      </c>
      <c r="E2084" t="s">
        <v>1051</v>
      </c>
      <c r="F2084" t="s">
        <v>1052</v>
      </c>
      <c r="G2084" t="s">
        <v>23</v>
      </c>
      <c r="H2084" t="s">
        <v>24</v>
      </c>
      <c r="I2084" t="s">
        <v>320</v>
      </c>
      <c r="J2084" t="s">
        <v>50</v>
      </c>
      <c r="K2084" t="s">
        <v>51</v>
      </c>
      <c r="L2084" t="s">
        <v>1647</v>
      </c>
      <c r="M2084" t="s">
        <v>29</v>
      </c>
      <c r="N2084" t="s">
        <v>34</v>
      </c>
      <c r="O2084" t="s">
        <v>1648</v>
      </c>
      <c r="P2084">
        <v>195.136</v>
      </c>
      <c r="Q2084">
        <v>4</v>
      </c>
      <c r="R2084">
        <v>-12.196</v>
      </c>
      <c r="S2084" t="s">
        <v>245</v>
      </c>
    </row>
    <row r="2085" spans="1:19" x14ac:dyDescent="0.35">
      <c r="A2085" t="s">
        <v>4357</v>
      </c>
      <c r="B2085" s="1">
        <v>42932</v>
      </c>
      <c r="C2085" s="1">
        <v>42939</v>
      </c>
      <c r="D2085" t="s">
        <v>37</v>
      </c>
      <c r="E2085" t="s">
        <v>466</v>
      </c>
      <c r="F2085" t="s">
        <v>467</v>
      </c>
      <c r="G2085" t="s">
        <v>23</v>
      </c>
      <c r="H2085" t="s">
        <v>24</v>
      </c>
      <c r="I2085" t="s">
        <v>1518</v>
      </c>
      <c r="J2085" t="s">
        <v>1027</v>
      </c>
      <c r="K2085" t="s">
        <v>27</v>
      </c>
      <c r="L2085" t="s">
        <v>98</v>
      </c>
      <c r="M2085" t="s">
        <v>29</v>
      </c>
      <c r="N2085" t="s">
        <v>34</v>
      </c>
      <c r="O2085" t="s">
        <v>99</v>
      </c>
      <c r="P2085">
        <v>242.352</v>
      </c>
      <c r="Q2085">
        <v>3</v>
      </c>
      <c r="R2085">
        <v>15.147</v>
      </c>
      <c r="S2085" t="s">
        <v>66</v>
      </c>
    </row>
    <row r="2086" spans="1:19" x14ac:dyDescent="0.35">
      <c r="A2086" t="s">
        <v>4358</v>
      </c>
      <c r="B2086" s="1">
        <v>41989</v>
      </c>
      <c r="C2086" s="1">
        <v>41991</v>
      </c>
      <c r="D2086" t="s">
        <v>20</v>
      </c>
      <c r="E2086" t="s">
        <v>3674</v>
      </c>
      <c r="F2086" t="s">
        <v>3675</v>
      </c>
      <c r="G2086" t="s">
        <v>23</v>
      </c>
      <c r="H2086" t="s">
        <v>24</v>
      </c>
      <c r="I2086" t="s">
        <v>4359</v>
      </c>
      <c r="J2086" t="s">
        <v>86</v>
      </c>
      <c r="K2086" t="s">
        <v>87</v>
      </c>
      <c r="L2086" t="s">
        <v>105</v>
      </c>
      <c r="M2086" t="s">
        <v>29</v>
      </c>
      <c r="N2086" t="s">
        <v>53</v>
      </c>
      <c r="O2086" t="s">
        <v>106</v>
      </c>
      <c r="P2086">
        <v>8.6240000000000006</v>
      </c>
      <c r="Q2086">
        <v>7</v>
      </c>
      <c r="R2086">
        <v>-2.5872000000000002</v>
      </c>
      <c r="S2086" t="s">
        <v>90</v>
      </c>
    </row>
    <row r="2087" spans="1:19" x14ac:dyDescent="0.35">
      <c r="A2087" t="s">
        <v>4360</v>
      </c>
      <c r="B2087" s="1">
        <v>42653</v>
      </c>
      <c r="C2087" s="1">
        <v>42655</v>
      </c>
      <c r="D2087" t="s">
        <v>81</v>
      </c>
      <c r="E2087" t="s">
        <v>1721</v>
      </c>
      <c r="F2087" t="s">
        <v>1722</v>
      </c>
      <c r="G2087" t="s">
        <v>23</v>
      </c>
      <c r="H2087" t="s">
        <v>24</v>
      </c>
      <c r="I2087" t="s">
        <v>1145</v>
      </c>
      <c r="J2087" t="s">
        <v>86</v>
      </c>
      <c r="K2087" t="s">
        <v>87</v>
      </c>
      <c r="L2087" t="s">
        <v>2180</v>
      </c>
      <c r="M2087" t="s">
        <v>29</v>
      </c>
      <c r="N2087" t="s">
        <v>53</v>
      </c>
      <c r="O2087" t="s">
        <v>2181</v>
      </c>
      <c r="P2087">
        <v>14</v>
      </c>
      <c r="Q2087">
        <v>4</v>
      </c>
      <c r="R2087">
        <v>-6.3</v>
      </c>
      <c r="S2087" t="s">
        <v>45</v>
      </c>
    </row>
    <row r="2088" spans="1:19" x14ac:dyDescent="0.35">
      <c r="A2088" t="s">
        <v>4361</v>
      </c>
      <c r="B2088" s="1">
        <v>42638</v>
      </c>
      <c r="C2088" s="1">
        <v>42644</v>
      </c>
      <c r="D2088" t="s">
        <v>37</v>
      </c>
      <c r="E2088" t="s">
        <v>2039</v>
      </c>
      <c r="F2088" t="s">
        <v>2040</v>
      </c>
      <c r="G2088" t="s">
        <v>23</v>
      </c>
      <c r="H2088" t="s">
        <v>24</v>
      </c>
      <c r="I2088" t="s">
        <v>721</v>
      </c>
      <c r="J2088" t="s">
        <v>50</v>
      </c>
      <c r="K2088" t="s">
        <v>51</v>
      </c>
      <c r="L2088" t="s">
        <v>846</v>
      </c>
      <c r="M2088" t="s">
        <v>29</v>
      </c>
      <c r="N2088" t="s">
        <v>34</v>
      </c>
      <c r="O2088" t="s">
        <v>847</v>
      </c>
      <c r="P2088">
        <v>483.13600000000002</v>
      </c>
      <c r="Q2088">
        <v>4</v>
      </c>
      <c r="R2088">
        <v>60.392000000000003</v>
      </c>
      <c r="S2088" t="s">
        <v>72</v>
      </c>
    </row>
    <row r="2089" spans="1:19" x14ac:dyDescent="0.35">
      <c r="A2089" t="s">
        <v>4362</v>
      </c>
      <c r="B2089" s="1">
        <v>41793</v>
      </c>
      <c r="C2089" s="1">
        <v>41796</v>
      </c>
      <c r="D2089" t="s">
        <v>81</v>
      </c>
      <c r="E2089" t="s">
        <v>3072</v>
      </c>
      <c r="F2089" t="s">
        <v>3073</v>
      </c>
      <c r="G2089" t="s">
        <v>23</v>
      </c>
      <c r="H2089" t="s">
        <v>24</v>
      </c>
      <c r="I2089" t="s">
        <v>504</v>
      </c>
      <c r="J2089" t="s">
        <v>126</v>
      </c>
      <c r="K2089" t="s">
        <v>87</v>
      </c>
      <c r="L2089" t="s">
        <v>621</v>
      </c>
      <c r="M2089" t="s">
        <v>29</v>
      </c>
      <c r="N2089" t="s">
        <v>53</v>
      </c>
      <c r="O2089" t="s">
        <v>622</v>
      </c>
      <c r="P2089">
        <v>61.543999999999997</v>
      </c>
      <c r="Q2089">
        <v>7</v>
      </c>
      <c r="R2089">
        <v>-40.003599999999999</v>
      </c>
      <c r="S2089" t="s">
        <v>55</v>
      </c>
    </row>
    <row r="2090" spans="1:19" x14ac:dyDescent="0.35">
      <c r="A2090" t="s">
        <v>4363</v>
      </c>
      <c r="B2090" s="1">
        <v>42980</v>
      </c>
      <c r="C2090" s="1">
        <v>42982</v>
      </c>
      <c r="D2090" t="s">
        <v>20</v>
      </c>
      <c r="E2090" t="s">
        <v>3141</v>
      </c>
      <c r="F2090" t="s">
        <v>3142</v>
      </c>
      <c r="G2090" t="s">
        <v>94</v>
      </c>
      <c r="H2090" t="s">
        <v>24</v>
      </c>
      <c r="I2090" t="s">
        <v>49</v>
      </c>
      <c r="J2090" t="s">
        <v>50</v>
      </c>
      <c r="K2090" t="s">
        <v>51</v>
      </c>
      <c r="L2090" t="s">
        <v>926</v>
      </c>
      <c r="M2090" t="s">
        <v>29</v>
      </c>
      <c r="N2090" t="s">
        <v>53</v>
      </c>
      <c r="O2090" t="s">
        <v>927</v>
      </c>
      <c r="P2090">
        <v>511.5</v>
      </c>
      <c r="Q2090">
        <v>5</v>
      </c>
      <c r="R2090">
        <v>132.99</v>
      </c>
      <c r="S2090" t="s">
        <v>72</v>
      </c>
    </row>
    <row r="2091" spans="1:19" x14ac:dyDescent="0.35">
      <c r="A2091" t="s">
        <v>4364</v>
      </c>
      <c r="B2091" s="1">
        <v>42492</v>
      </c>
      <c r="C2091" s="1">
        <v>42496</v>
      </c>
      <c r="D2091" t="s">
        <v>37</v>
      </c>
      <c r="E2091" t="s">
        <v>1589</v>
      </c>
      <c r="F2091" t="s">
        <v>1590</v>
      </c>
      <c r="G2091" t="s">
        <v>84</v>
      </c>
      <c r="H2091" t="s">
        <v>24</v>
      </c>
      <c r="I2091" t="s">
        <v>165</v>
      </c>
      <c r="J2091" t="s">
        <v>114</v>
      </c>
      <c r="K2091" t="s">
        <v>63</v>
      </c>
      <c r="L2091" t="s">
        <v>668</v>
      </c>
      <c r="M2091" t="s">
        <v>29</v>
      </c>
      <c r="N2091" t="s">
        <v>53</v>
      </c>
      <c r="O2091" t="s">
        <v>669</v>
      </c>
      <c r="P2091">
        <v>12.56</v>
      </c>
      <c r="Q2091">
        <v>2</v>
      </c>
      <c r="R2091">
        <v>4.0191999999999997</v>
      </c>
      <c r="S2091" t="s">
        <v>153</v>
      </c>
    </row>
    <row r="2092" spans="1:19" x14ac:dyDescent="0.35">
      <c r="A2092" t="s">
        <v>4364</v>
      </c>
      <c r="B2092" s="1">
        <v>42492</v>
      </c>
      <c r="C2092" s="1">
        <v>42496</v>
      </c>
      <c r="D2092" t="s">
        <v>37</v>
      </c>
      <c r="E2092" t="s">
        <v>1589</v>
      </c>
      <c r="F2092" t="s">
        <v>1590</v>
      </c>
      <c r="G2092" t="s">
        <v>84</v>
      </c>
      <c r="H2092" t="s">
        <v>24</v>
      </c>
      <c r="I2092" t="s">
        <v>165</v>
      </c>
      <c r="J2092" t="s">
        <v>114</v>
      </c>
      <c r="K2092" t="s">
        <v>63</v>
      </c>
      <c r="L2092" t="s">
        <v>736</v>
      </c>
      <c r="M2092" t="s">
        <v>29</v>
      </c>
      <c r="N2092" t="s">
        <v>53</v>
      </c>
      <c r="O2092" t="s">
        <v>737</v>
      </c>
      <c r="P2092">
        <v>214.7</v>
      </c>
      <c r="Q2092">
        <v>5</v>
      </c>
      <c r="R2092">
        <v>83.733000000000004</v>
      </c>
      <c r="S2092" t="s">
        <v>153</v>
      </c>
    </row>
    <row r="2093" spans="1:19" x14ac:dyDescent="0.35">
      <c r="A2093" t="s">
        <v>4365</v>
      </c>
      <c r="B2093" s="1">
        <v>42905</v>
      </c>
      <c r="C2093" s="1">
        <v>42909</v>
      </c>
      <c r="D2093" t="s">
        <v>37</v>
      </c>
      <c r="E2093" t="s">
        <v>2693</v>
      </c>
      <c r="F2093" t="s">
        <v>2694</v>
      </c>
      <c r="G2093" t="s">
        <v>23</v>
      </c>
      <c r="H2093" t="s">
        <v>24</v>
      </c>
      <c r="I2093" t="s">
        <v>320</v>
      </c>
      <c r="J2093" t="s">
        <v>50</v>
      </c>
      <c r="K2093" t="s">
        <v>51</v>
      </c>
      <c r="L2093" t="s">
        <v>2605</v>
      </c>
      <c r="M2093" t="s">
        <v>29</v>
      </c>
      <c r="N2093" t="s">
        <v>53</v>
      </c>
      <c r="O2093" t="s">
        <v>2606</v>
      </c>
      <c r="P2093">
        <v>50.32</v>
      </c>
      <c r="Q2093">
        <v>4</v>
      </c>
      <c r="R2093">
        <v>21.134399999999999</v>
      </c>
      <c r="S2093" t="s">
        <v>55</v>
      </c>
    </row>
    <row r="2094" spans="1:19" x14ac:dyDescent="0.35">
      <c r="A2094" t="s">
        <v>4366</v>
      </c>
      <c r="B2094" s="1">
        <v>42089</v>
      </c>
      <c r="C2094" s="1">
        <v>42093</v>
      </c>
      <c r="D2094" t="s">
        <v>37</v>
      </c>
      <c r="E2094" t="s">
        <v>614</v>
      </c>
      <c r="F2094" t="s">
        <v>615</v>
      </c>
      <c r="G2094" t="s">
        <v>84</v>
      </c>
      <c r="H2094" t="s">
        <v>24</v>
      </c>
      <c r="I2094" t="s">
        <v>183</v>
      </c>
      <c r="J2094" t="s">
        <v>184</v>
      </c>
      <c r="K2094" t="s">
        <v>51</v>
      </c>
      <c r="L2094" t="s">
        <v>512</v>
      </c>
      <c r="M2094" t="s">
        <v>29</v>
      </c>
      <c r="N2094" t="s">
        <v>43</v>
      </c>
      <c r="O2094" t="s">
        <v>513</v>
      </c>
      <c r="P2094">
        <v>3393.68</v>
      </c>
      <c r="Q2094">
        <v>8</v>
      </c>
      <c r="R2094">
        <v>610.86239999999998</v>
      </c>
      <c r="S2094" t="s">
        <v>187</v>
      </c>
    </row>
    <row r="2095" spans="1:19" x14ac:dyDescent="0.35">
      <c r="A2095" t="s">
        <v>4367</v>
      </c>
      <c r="B2095" s="1">
        <v>42749</v>
      </c>
      <c r="C2095" s="1">
        <v>42755</v>
      </c>
      <c r="D2095" t="s">
        <v>37</v>
      </c>
      <c r="E2095" t="s">
        <v>3012</v>
      </c>
      <c r="F2095" t="s">
        <v>3013</v>
      </c>
      <c r="G2095" t="s">
        <v>94</v>
      </c>
      <c r="H2095" t="s">
        <v>24</v>
      </c>
      <c r="I2095" t="s">
        <v>626</v>
      </c>
      <c r="J2095" t="s">
        <v>104</v>
      </c>
      <c r="K2095" t="s">
        <v>87</v>
      </c>
      <c r="L2095" t="s">
        <v>1586</v>
      </c>
      <c r="M2095" t="s">
        <v>29</v>
      </c>
      <c r="N2095" t="s">
        <v>53</v>
      </c>
      <c r="O2095" t="s">
        <v>1587</v>
      </c>
      <c r="P2095">
        <v>18.96</v>
      </c>
      <c r="Q2095">
        <v>2</v>
      </c>
      <c r="R2095">
        <v>8.532</v>
      </c>
      <c r="S2095" t="s">
        <v>161</v>
      </c>
    </row>
    <row r="2096" spans="1:19" x14ac:dyDescent="0.35">
      <c r="A2096" t="s">
        <v>4368</v>
      </c>
      <c r="B2096" s="1">
        <v>41944</v>
      </c>
      <c r="C2096" s="1">
        <v>41946</v>
      </c>
      <c r="D2096" t="s">
        <v>81</v>
      </c>
      <c r="E2096" t="s">
        <v>1502</v>
      </c>
      <c r="F2096" t="s">
        <v>1503</v>
      </c>
      <c r="G2096" t="s">
        <v>84</v>
      </c>
      <c r="H2096" t="s">
        <v>24</v>
      </c>
      <c r="I2096" t="s">
        <v>4369</v>
      </c>
      <c r="J2096" t="s">
        <v>223</v>
      </c>
      <c r="K2096" t="s">
        <v>63</v>
      </c>
      <c r="L2096" t="s">
        <v>736</v>
      </c>
      <c r="M2096" t="s">
        <v>29</v>
      </c>
      <c r="N2096" t="s">
        <v>53</v>
      </c>
      <c r="O2096" t="s">
        <v>737</v>
      </c>
      <c r="P2096">
        <v>68.703999999999994</v>
      </c>
      <c r="Q2096">
        <v>2</v>
      </c>
      <c r="R2096">
        <v>16.3172</v>
      </c>
      <c r="S2096" t="s">
        <v>32</v>
      </c>
    </row>
    <row r="2097" spans="1:19" x14ac:dyDescent="0.35">
      <c r="A2097" t="s">
        <v>4370</v>
      </c>
      <c r="B2097" s="1">
        <v>42603</v>
      </c>
      <c r="C2097" s="1">
        <v>42607</v>
      </c>
      <c r="D2097" t="s">
        <v>37</v>
      </c>
      <c r="E2097" t="s">
        <v>719</v>
      </c>
      <c r="F2097" t="s">
        <v>720</v>
      </c>
      <c r="G2097" t="s">
        <v>23</v>
      </c>
      <c r="H2097" t="s">
        <v>24</v>
      </c>
      <c r="I2097" t="s">
        <v>165</v>
      </c>
      <c r="J2097" t="s">
        <v>114</v>
      </c>
      <c r="K2097" t="s">
        <v>63</v>
      </c>
      <c r="L2097" t="s">
        <v>1208</v>
      </c>
      <c r="M2097" t="s">
        <v>29</v>
      </c>
      <c r="N2097" t="s">
        <v>34</v>
      </c>
      <c r="O2097" t="s">
        <v>1209</v>
      </c>
      <c r="P2097">
        <v>573.17399999999998</v>
      </c>
      <c r="Q2097">
        <v>7</v>
      </c>
      <c r="R2097">
        <v>63.686</v>
      </c>
      <c r="S2097" t="s">
        <v>245</v>
      </c>
    </row>
    <row r="2098" spans="1:19" x14ac:dyDescent="0.35">
      <c r="A2098" t="s">
        <v>4371</v>
      </c>
      <c r="B2098" s="1">
        <v>42576</v>
      </c>
      <c r="C2098" s="1">
        <v>42579</v>
      </c>
      <c r="D2098" t="s">
        <v>20</v>
      </c>
      <c r="E2098" t="s">
        <v>2015</v>
      </c>
      <c r="F2098" t="s">
        <v>2016</v>
      </c>
      <c r="G2098" t="s">
        <v>84</v>
      </c>
      <c r="H2098" t="s">
        <v>24</v>
      </c>
      <c r="I2098" t="s">
        <v>896</v>
      </c>
      <c r="J2098" t="s">
        <v>230</v>
      </c>
      <c r="K2098" t="s">
        <v>87</v>
      </c>
      <c r="L2098" t="s">
        <v>3008</v>
      </c>
      <c r="M2098" t="s">
        <v>29</v>
      </c>
      <c r="N2098" t="s">
        <v>34</v>
      </c>
      <c r="O2098" t="s">
        <v>3009</v>
      </c>
      <c r="P2098">
        <v>403.56</v>
      </c>
      <c r="Q2098">
        <v>4</v>
      </c>
      <c r="R2098">
        <v>96.854399999999998</v>
      </c>
      <c r="S2098" t="s">
        <v>66</v>
      </c>
    </row>
    <row r="2099" spans="1:19" x14ac:dyDescent="0.35">
      <c r="A2099" t="s">
        <v>4371</v>
      </c>
      <c r="B2099" s="1">
        <v>42576</v>
      </c>
      <c r="C2099" s="1">
        <v>42579</v>
      </c>
      <c r="D2099" t="s">
        <v>20</v>
      </c>
      <c r="E2099" t="s">
        <v>2015</v>
      </c>
      <c r="F2099" t="s">
        <v>2016</v>
      </c>
      <c r="G2099" t="s">
        <v>84</v>
      </c>
      <c r="H2099" t="s">
        <v>24</v>
      </c>
      <c r="I2099" t="s">
        <v>896</v>
      </c>
      <c r="J2099" t="s">
        <v>230</v>
      </c>
      <c r="K2099" t="s">
        <v>87</v>
      </c>
      <c r="L2099" t="s">
        <v>375</v>
      </c>
      <c r="M2099" t="s">
        <v>29</v>
      </c>
      <c r="N2099" t="s">
        <v>53</v>
      </c>
      <c r="O2099" t="s">
        <v>376</v>
      </c>
      <c r="P2099">
        <v>95.2</v>
      </c>
      <c r="Q2099">
        <v>5</v>
      </c>
      <c r="R2099">
        <v>27.608000000000001</v>
      </c>
      <c r="S2099" t="s">
        <v>66</v>
      </c>
    </row>
    <row r="2100" spans="1:19" x14ac:dyDescent="0.35">
      <c r="A2100" t="s">
        <v>4372</v>
      </c>
      <c r="B2100" s="1">
        <v>42527</v>
      </c>
      <c r="C2100" s="1">
        <v>42531</v>
      </c>
      <c r="D2100" t="s">
        <v>37</v>
      </c>
      <c r="E2100" t="s">
        <v>3976</v>
      </c>
      <c r="F2100" t="s">
        <v>3977</v>
      </c>
      <c r="G2100" t="s">
        <v>23</v>
      </c>
      <c r="H2100" t="s">
        <v>24</v>
      </c>
      <c r="I2100" t="s">
        <v>1571</v>
      </c>
      <c r="J2100" t="s">
        <v>223</v>
      </c>
      <c r="K2100" t="s">
        <v>63</v>
      </c>
      <c r="L2100" t="s">
        <v>781</v>
      </c>
      <c r="M2100" t="s">
        <v>29</v>
      </c>
      <c r="N2100" t="s">
        <v>53</v>
      </c>
      <c r="O2100" t="s">
        <v>782</v>
      </c>
      <c r="P2100">
        <v>466.32</v>
      </c>
      <c r="Q2100">
        <v>3</v>
      </c>
      <c r="R2100">
        <v>34.973999999999997</v>
      </c>
      <c r="S2100" t="s">
        <v>55</v>
      </c>
    </row>
    <row r="2101" spans="1:19" x14ac:dyDescent="0.35">
      <c r="A2101" t="s">
        <v>4372</v>
      </c>
      <c r="B2101" s="1">
        <v>42527</v>
      </c>
      <c r="C2101" s="1">
        <v>42531</v>
      </c>
      <c r="D2101" t="s">
        <v>37</v>
      </c>
      <c r="E2101" t="s">
        <v>3976</v>
      </c>
      <c r="F2101" t="s">
        <v>3977</v>
      </c>
      <c r="G2101" t="s">
        <v>23</v>
      </c>
      <c r="H2101" t="s">
        <v>24</v>
      </c>
      <c r="I2101" t="s">
        <v>1571</v>
      </c>
      <c r="J2101" t="s">
        <v>223</v>
      </c>
      <c r="K2101" t="s">
        <v>63</v>
      </c>
      <c r="L2101" t="s">
        <v>2964</v>
      </c>
      <c r="M2101" t="s">
        <v>29</v>
      </c>
      <c r="N2101" t="s">
        <v>53</v>
      </c>
      <c r="O2101" t="s">
        <v>2965</v>
      </c>
      <c r="P2101">
        <v>82.64</v>
      </c>
      <c r="Q2101">
        <v>2</v>
      </c>
      <c r="R2101">
        <v>0</v>
      </c>
      <c r="S2101" t="s">
        <v>55</v>
      </c>
    </row>
    <row r="2102" spans="1:19" x14ac:dyDescent="0.35">
      <c r="A2102" t="s">
        <v>4373</v>
      </c>
      <c r="B2102" s="1">
        <v>41726</v>
      </c>
      <c r="C2102" s="1">
        <v>41732</v>
      </c>
      <c r="D2102" t="s">
        <v>37</v>
      </c>
      <c r="E2102" t="s">
        <v>1342</v>
      </c>
      <c r="F2102" t="s">
        <v>1343</v>
      </c>
      <c r="G2102" t="s">
        <v>94</v>
      </c>
      <c r="H2102" t="s">
        <v>24</v>
      </c>
      <c r="I2102" t="s">
        <v>869</v>
      </c>
      <c r="J2102" t="s">
        <v>223</v>
      </c>
      <c r="K2102" t="s">
        <v>63</v>
      </c>
      <c r="L2102" t="s">
        <v>742</v>
      </c>
      <c r="M2102" t="s">
        <v>29</v>
      </c>
      <c r="N2102" t="s">
        <v>43</v>
      </c>
      <c r="O2102" t="s">
        <v>743</v>
      </c>
      <c r="P2102">
        <v>330.58800000000002</v>
      </c>
      <c r="Q2102">
        <v>1</v>
      </c>
      <c r="R2102">
        <v>-143.25479999999999</v>
      </c>
      <c r="S2102" t="s">
        <v>187</v>
      </c>
    </row>
    <row r="2103" spans="1:19" x14ac:dyDescent="0.35">
      <c r="A2103" t="s">
        <v>4374</v>
      </c>
      <c r="B2103" s="1">
        <v>42968</v>
      </c>
      <c r="C2103" s="1">
        <v>42972</v>
      </c>
      <c r="D2103" t="s">
        <v>37</v>
      </c>
      <c r="E2103" t="s">
        <v>4375</v>
      </c>
      <c r="F2103" t="s">
        <v>4376</v>
      </c>
      <c r="G2103" t="s">
        <v>23</v>
      </c>
      <c r="H2103" t="s">
        <v>24</v>
      </c>
      <c r="I2103" t="s">
        <v>856</v>
      </c>
      <c r="J2103" t="s">
        <v>172</v>
      </c>
      <c r="K2103" t="s">
        <v>51</v>
      </c>
      <c r="L2103" t="s">
        <v>1586</v>
      </c>
      <c r="M2103" t="s">
        <v>29</v>
      </c>
      <c r="N2103" t="s">
        <v>53</v>
      </c>
      <c r="O2103" t="s">
        <v>1587</v>
      </c>
      <c r="P2103">
        <v>22.751999999999999</v>
      </c>
      <c r="Q2103">
        <v>3</v>
      </c>
      <c r="R2103">
        <v>7.11</v>
      </c>
      <c r="S2103" t="s">
        <v>245</v>
      </c>
    </row>
    <row r="2104" spans="1:19" x14ac:dyDescent="0.35">
      <c r="A2104" t="s">
        <v>4377</v>
      </c>
      <c r="B2104" s="1">
        <v>41955</v>
      </c>
      <c r="C2104" s="1">
        <v>41961</v>
      </c>
      <c r="D2104" t="s">
        <v>37</v>
      </c>
      <c r="E2104" t="s">
        <v>101</v>
      </c>
      <c r="F2104" t="s">
        <v>102</v>
      </c>
      <c r="G2104" t="s">
        <v>23</v>
      </c>
      <c r="H2104" t="s">
        <v>24</v>
      </c>
      <c r="I2104" t="s">
        <v>1380</v>
      </c>
      <c r="J2104" t="s">
        <v>86</v>
      </c>
      <c r="K2104" t="s">
        <v>87</v>
      </c>
      <c r="L2104" t="s">
        <v>1969</v>
      </c>
      <c r="M2104" t="s">
        <v>29</v>
      </c>
      <c r="N2104" t="s">
        <v>53</v>
      </c>
      <c r="O2104" t="s">
        <v>1970</v>
      </c>
      <c r="P2104">
        <v>25.128</v>
      </c>
      <c r="Q2104">
        <v>3</v>
      </c>
      <c r="R2104">
        <v>-6.9101999999999997</v>
      </c>
      <c r="S2104" t="s">
        <v>32</v>
      </c>
    </row>
    <row r="2105" spans="1:19" x14ac:dyDescent="0.35">
      <c r="A2105" t="s">
        <v>4378</v>
      </c>
      <c r="B2105" s="1">
        <v>42260</v>
      </c>
      <c r="C2105" s="1">
        <v>42262</v>
      </c>
      <c r="D2105" t="s">
        <v>81</v>
      </c>
      <c r="E2105" t="s">
        <v>1937</v>
      </c>
      <c r="F2105" t="s">
        <v>1938</v>
      </c>
      <c r="G2105" t="s">
        <v>84</v>
      </c>
      <c r="H2105" t="s">
        <v>24</v>
      </c>
      <c r="I2105" t="s">
        <v>3038</v>
      </c>
      <c r="J2105" t="s">
        <v>50</v>
      </c>
      <c r="K2105" t="s">
        <v>51</v>
      </c>
      <c r="L2105" t="s">
        <v>1533</v>
      </c>
      <c r="M2105" t="s">
        <v>29</v>
      </c>
      <c r="N2105" t="s">
        <v>53</v>
      </c>
      <c r="O2105" t="s">
        <v>1534</v>
      </c>
      <c r="P2105">
        <v>131.88</v>
      </c>
      <c r="Q2105">
        <v>7</v>
      </c>
      <c r="R2105">
        <v>55.389600000000002</v>
      </c>
      <c r="S2105" t="s">
        <v>72</v>
      </c>
    </row>
    <row r="2106" spans="1:19" x14ac:dyDescent="0.35">
      <c r="A2106" t="s">
        <v>4378</v>
      </c>
      <c r="B2106" s="1">
        <v>42260</v>
      </c>
      <c r="C2106" s="1">
        <v>42262</v>
      </c>
      <c r="D2106" t="s">
        <v>81</v>
      </c>
      <c r="E2106" t="s">
        <v>1937</v>
      </c>
      <c r="F2106" t="s">
        <v>1938</v>
      </c>
      <c r="G2106" t="s">
        <v>84</v>
      </c>
      <c r="H2106" t="s">
        <v>24</v>
      </c>
      <c r="I2106" t="s">
        <v>3038</v>
      </c>
      <c r="J2106" t="s">
        <v>50</v>
      </c>
      <c r="K2106" t="s">
        <v>51</v>
      </c>
      <c r="L2106" t="s">
        <v>1576</v>
      </c>
      <c r="M2106" t="s">
        <v>29</v>
      </c>
      <c r="N2106" t="s">
        <v>34</v>
      </c>
      <c r="O2106" t="s">
        <v>1577</v>
      </c>
      <c r="P2106">
        <v>717.72</v>
      </c>
      <c r="Q2106">
        <v>3</v>
      </c>
      <c r="R2106">
        <v>71.772000000000006</v>
      </c>
      <c r="S2106" t="s">
        <v>72</v>
      </c>
    </row>
    <row r="2107" spans="1:19" x14ac:dyDescent="0.35">
      <c r="A2107" t="s">
        <v>4378</v>
      </c>
      <c r="B2107" s="1">
        <v>42260</v>
      </c>
      <c r="C2107" s="1">
        <v>42262</v>
      </c>
      <c r="D2107" t="s">
        <v>81</v>
      </c>
      <c r="E2107" t="s">
        <v>1937</v>
      </c>
      <c r="F2107" t="s">
        <v>1938</v>
      </c>
      <c r="G2107" t="s">
        <v>84</v>
      </c>
      <c r="H2107" t="s">
        <v>24</v>
      </c>
      <c r="I2107" t="s">
        <v>3038</v>
      </c>
      <c r="J2107" t="s">
        <v>50</v>
      </c>
      <c r="K2107" t="s">
        <v>51</v>
      </c>
      <c r="L2107" t="s">
        <v>2282</v>
      </c>
      <c r="M2107" t="s">
        <v>29</v>
      </c>
      <c r="N2107" t="s">
        <v>53</v>
      </c>
      <c r="O2107" t="s">
        <v>2283</v>
      </c>
      <c r="P2107">
        <v>207.35</v>
      </c>
      <c r="Q2107">
        <v>5</v>
      </c>
      <c r="R2107">
        <v>24.882000000000001</v>
      </c>
      <c r="S2107" t="s">
        <v>72</v>
      </c>
    </row>
    <row r="2108" spans="1:19" x14ac:dyDescent="0.35">
      <c r="A2108" t="s">
        <v>4378</v>
      </c>
      <c r="B2108" s="1">
        <v>42260</v>
      </c>
      <c r="C2108" s="1">
        <v>42262</v>
      </c>
      <c r="D2108" t="s">
        <v>81</v>
      </c>
      <c r="E2108" t="s">
        <v>1937</v>
      </c>
      <c r="F2108" t="s">
        <v>1938</v>
      </c>
      <c r="G2108" t="s">
        <v>84</v>
      </c>
      <c r="H2108" t="s">
        <v>24</v>
      </c>
      <c r="I2108" t="s">
        <v>3038</v>
      </c>
      <c r="J2108" t="s">
        <v>50</v>
      </c>
      <c r="K2108" t="s">
        <v>51</v>
      </c>
      <c r="L2108" t="s">
        <v>1195</v>
      </c>
      <c r="M2108" t="s">
        <v>29</v>
      </c>
      <c r="N2108" t="s">
        <v>53</v>
      </c>
      <c r="O2108" t="s">
        <v>1196</v>
      </c>
      <c r="P2108">
        <v>44.67</v>
      </c>
      <c r="Q2108">
        <v>3</v>
      </c>
      <c r="R2108">
        <v>12.0609</v>
      </c>
      <c r="S2108" t="s">
        <v>72</v>
      </c>
    </row>
    <row r="2109" spans="1:19" x14ac:dyDescent="0.35">
      <c r="A2109" t="s">
        <v>4379</v>
      </c>
      <c r="B2109" s="1">
        <v>42287</v>
      </c>
      <c r="C2109" s="1">
        <v>42289</v>
      </c>
      <c r="D2109" t="s">
        <v>81</v>
      </c>
      <c r="E2109" t="s">
        <v>3479</v>
      </c>
      <c r="F2109" t="s">
        <v>3480</v>
      </c>
      <c r="G2109" t="s">
        <v>84</v>
      </c>
      <c r="H2109" t="s">
        <v>24</v>
      </c>
      <c r="I2109" t="s">
        <v>4380</v>
      </c>
      <c r="J2109" t="s">
        <v>50</v>
      </c>
      <c r="K2109" t="s">
        <v>51</v>
      </c>
      <c r="L2109" t="s">
        <v>1841</v>
      </c>
      <c r="M2109" t="s">
        <v>29</v>
      </c>
      <c r="N2109" t="s">
        <v>34</v>
      </c>
      <c r="O2109" t="s">
        <v>1842</v>
      </c>
      <c r="P2109">
        <v>362.13600000000002</v>
      </c>
      <c r="Q2109">
        <v>3</v>
      </c>
      <c r="R2109">
        <v>-54.320399999999999</v>
      </c>
      <c r="S2109" t="s">
        <v>45</v>
      </c>
    </row>
    <row r="2110" spans="1:19" x14ac:dyDescent="0.35">
      <c r="A2110" t="s">
        <v>4381</v>
      </c>
      <c r="B2110" s="1">
        <v>42764</v>
      </c>
      <c r="C2110" s="1">
        <v>42766</v>
      </c>
      <c r="D2110" t="s">
        <v>20</v>
      </c>
      <c r="E2110" t="s">
        <v>1956</v>
      </c>
      <c r="F2110" t="s">
        <v>1957</v>
      </c>
      <c r="G2110" t="s">
        <v>23</v>
      </c>
      <c r="H2110" t="s">
        <v>24</v>
      </c>
      <c r="I2110" t="s">
        <v>1761</v>
      </c>
      <c r="J2110" t="s">
        <v>792</v>
      </c>
      <c r="K2110" t="s">
        <v>87</v>
      </c>
      <c r="L2110" t="s">
        <v>641</v>
      </c>
      <c r="M2110" t="s">
        <v>29</v>
      </c>
      <c r="N2110" t="s">
        <v>53</v>
      </c>
      <c r="O2110" t="s">
        <v>642</v>
      </c>
      <c r="P2110">
        <v>14.91</v>
      </c>
      <c r="Q2110">
        <v>3</v>
      </c>
      <c r="R2110">
        <v>4.6220999999999997</v>
      </c>
      <c r="S2110" t="s">
        <v>161</v>
      </c>
    </row>
    <row r="2111" spans="1:19" x14ac:dyDescent="0.35">
      <c r="A2111" t="s">
        <v>4382</v>
      </c>
      <c r="B2111" s="1">
        <v>42444</v>
      </c>
      <c r="C2111" s="1">
        <v>42448</v>
      </c>
      <c r="D2111" t="s">
        <v>37</v>
      </c>
      <c r="E2111" t="s">
        <v>2579</v>
      </c>
      <c r="F2111" t="s">
        <v>2580</v>
      </c>
      <c r="G2111" t="s">
        <v>84</v>
      </c>
      <c r="H2111" t="s">
        <v>24</v>
      </c>
      <c r="I2111" t="s">
        <v>4383</v>
      </c>
      <c r="J2111" t="s">
        <v>86</v>
      </c>
      <c r="K2111" t="s">
        <v>87</v>
      </c>
      <c r="L2111" t="s">
        <v>151</v>
      </c>
      <c r="M2111" t="s">
        <v>29</v>
      </c>
      <c r="N2111" t="s">
        <v>34</v>
      </c>
      <c r="O2111" t="s">
        <v>152</v>
      </c>
      <c r="P2111">
        <v>528.42999999999995</v>
      </c>
      <c r="Q2111">
        <v>5</v>
      </c>
      <c r="R2111">
        <v>-143.43100000000001</v>
      </c>
      <c r="S2111" t="s">
        <v>187</v>
      </c>
    </row>
    <row r="2112" spans="1:19" x14ac:dyDescent="0.35">
      <c r="A2112" t="s">
        <v>4384</v>
      </c>
      <c r="B2112" s="1">
        <v>42617</v>
      </c>
      <c r="C2112" s="1">
        <v>42617</v>
      </c>
      <c r="D2112" t="s">
        <v>417</v>
      </c>
      <c r="E2112" t="s">
        <v>4385</v>
      </c>
      <c r="F2112" t="s">
        <v>4386</v>
      </c>
      <c r="G2112" t="s">
        <v>23</v>
      </c>
      <c r="H2112" t="s">
        <v>24</v>
      </c>
      <c r="I2112" t="s">
        <v>320</v>
      </c>
      <c r="J2112" t="s">
        <v>50</v>
      </c>
      <c r="K2112" t="s">
        <v>51</v>
      </c>
      <c r="L2112" t="s">
        <v>141</v>
      </c>
      <c r="M2112" t="s">
        <v>29</v>
      </c>
      <c r="N2112" t="s">
        <v>53</v>
      </c>
      <c r="O2112" t="s">
        <v>142</v>
      </c>
      <c r="P2112">
        <v>24.27</v>
      </c>
      <c r="Q2112">
        <v>3</v>
      </c>
      <c r="R2112">
        <v>8.7371999999999996</v>
      </c>
      <c r="S2112" t="s">
        <v>72</v>
      </c>
    </row>
    <row r="2113" spans="1:19" x14ac:dyDescent="0.35">
      <c r="A2113" t="s">
        <v>4387</v>
      </c>
      <c r="B2113" s="1">
        <v>42321</v>
      </c>
      <c r="C2113" s="1">
        <v>42325</v>
      </c>
      <c r="D2113" t="s">
        <v>37</v>
      </c>
      <c r="E2113" t="s">
        <v>443</v>
      </c>
      <c r="F2113" t="s">
        <v>444</v>
      </c>
      <c r="G2113" t="s">
        <v>23</v>
      </c>
      <c r="H2113" t="s">
        <v>24</v>
      </c>
      <c r="I2113" t="s">
        <v>4388</v>
      </c>
      <c r="J2113" t="s">
        <v>50</v>
      </c>
      <c r="K2113" t="s">
        <v>51</v>
      </c>
      <c r="L2113" t="s">
        <v>1958</v>
      </c>
      <c r="M2113" t="s">
        <v>29</v>
      </c>
      <c r="N2113" t="s">
        <v>30</v>
      </c>
      <c r="O2113" t="s">
        <v>1959</v>
      </c>
      <c r="P2113">
        <v>683.33199999999999</v>
      </c>
      <c r="Q2113">
        <v>4</v>
      </c>
      <c r="R2113">
        <v>-40.195999999999998</v>
      </c>
      <c r="S2113" t="s">
        <v>32</v>
      </c>
    </row>
    <row r="2114" spans="1:19" x14ac:dyDescent="0.35">
      <c r="A2114" t="s">
        <v>4389</v>
      </c>
      <c r="B2114" s="1">
        <v>42524</v>
      </c>
      <c r="C2114" s="1">
        <v>42527</v>
      </c>
      <c r="D2114" t="s">
        <v>20</v>
      </c>
      <c r="E2114" t="s">
        <v>1832</v>
      </c>
      <c r="F2114" t="s">
        <v>1833</v>
      </c>
      <c r="G2114" t="s">
        <v>84</v>
      </c>
      <c r="H2114" t="s">
        <v>24</v>
      </c>
      <c r="I2114" t="s">
        <v>49</v>
      </c>
      <c r="J2114" t="s">
        <v>50</v>
      </c>
      <c r="K2114" t="s">
        <v>51</v>
      </c>
      <c r="L2114" t="s">
        <v>1240</v>
      </c>
      <c r="M2114" t="s">
        <v>29</v>
      </c>
      <c r="N2114" t="s">
        <v>43</v>
      </c>
      <c r="O2114" t="s">
        <v>1241</v>
      </c>
      <c r="P2114">
        <v>71.087999999999994</v>
      </c>
      <c r="Q2114">
        <v>2</v>
      </c>
      <c r="R2114">
        <v>-1.7771999999999999</v>
      </c>
      <c r="S2114" t="s">
        <v>55</v>
      </c>
    </row>
    <row r="2115" spans="1:19" x14ac:dyDescent="0.35">
      <c r="A2115" t="s">
        <v>4390</v>
      </c>
      <c r="B2115" s="1">
        <v>42716</v>
      </c>
      <c r="C2115" s="1">
        <v>42721</v>
      </c>
      <c r="D2115" t="s">
        <v>37</v>
      </c>
      <c r="E2115" t="s">
        <v>1029</v>
      </c>
      <c r="F2115" t="s">
        <v>1030</v>
      </c>
      <c r="G2115" t="s">
        <v>84</v>
      </c>
      <c r="H2115" t="s">
        <v>24</v>
      </c>
      <c r="I2115" t="s">
        <v>165</v>
      </c>
      <c r="J2115" t="s">
        <v>114</v>
      </c>
      <c r="K2115" t="s">
        <v>63</v>
      </c>
      <c r="L2115" t="s">
        <v>542</v>
      </c>
      <c r="M2115" t="s">
        <v>29</v>
      </c>
      <c r="N2115" t="s">
        <v>53</v>
      </c>
      <c r="O2115" t="s">
        <v>3116</v>
      </c>
      <c r="P2115">
        <v>60.35</v>
      </c>
      <c r="Q2115">
        <v>5</v>
      </c>
      <c r="R2115">
        <v>19.915500000000002</v>
      </c>
      <c r="S2115" t="s">
        <v>90</v>
      </c>
    </row>
    <row r="2116" spans="1:19" x14ac:dyDescent="0.35">
      <c r="A2116" t="s">
        <v>4391</v>
      </c>
      <c r="B2116" s="1">
        <v>42887</v>
      </c>
      <c r="C2116" s="1">
        <v>42889</v>
      </c>
      <c r="D2116" t="s">
        <v>20</v>
      </c>
      <c r="E2116" t="s">
        <v>819</v>
      </c>
      <c r="F2116" t="s">
        <v>820</v>
      </c>
      <c r="G2116" t="s">
        <v>84</v>
      </c>
      <c r="H2116" t="s">
        <v>24</v>
      </c>
      <c r="I2116" t="s">
        <v>4392</v>
      </c>
      <c r="J2116" t="s">
        <v>104</v>
      </c>
      <c r="K2116" t="s">
        <v>87</v>
      </c>
      <c r="L2116" t="s">
        <v>786</v>
      </c>
      <c r="M2116" t="s">
        <v>29</v>
      </c>
      <c r="N2116" t="s">
        <v>34</v>
      </c>
      <c r="O2116" t="s">
        <v>787</v>
      </c>
      <c r="P2116">
        <v>1925.88</v>
      </c>
      <c r="Q2116">
        <v>6</v>
      </c>
      <c r="R2116">
        <v>539.24639999999999</v>
      </c>
      <c r="S2116" t="s">
        <v>55</v>
      </c>
    </row>
    <row r="2117" spans="1:19" x14ac:dyDescent="0.35">
      <c r="A2117" t="s">
        <v>4393</v>
      </c>
      <c r="B2117" s="1">
        <v>42352</v>
      </c>
      <c r="C2117" s="1">
        <v>42354</v>
      </c>
      <c r="D2117" t="s">
        <v>20</v>
      </c>
      <c r="E2117" t="s">
        <v>3185</v>
      </c>
      <c r="F2117" t="s">
        <v>3186</v>
      </c>
      <c r="G2117" t="s">
        <v>84</v>
      </c>
      <c r="H2117" t="s">
        <v>24</v>
      </c>
      <c r="I2117" t="s">
        <v>49</v>
      </c>
      <c r="J2117" t="s">
        <v>50</v>
      </c>
      <c r="K2117" t="s">
        <v>51</v>
      </c>
      <c r="L2117" t="s">
        <v>1245</v>
      </c>
      <c r="M2117" t="s">
        <v>29</v>
      </c>
      <c r="N2117" t="s">
        <v>43</v>
      </c>
      <c r="O2117" t="s">
        <v>1246</v>
      </c>
      <c r="P2117">
        <v>273.56799999999998</v>
      </c>
      <c r="Q2117">
        <v>2</v>
      </c>
      <c r="R2117">
        <v>10.258800000000001</v>
      </c>
      <c r="S2117" t="s">
        <v>90</v>
      </c>
    </row>
    <row r="2118" spans="1:19" x14ac:dyDescent="0.35">
      <c r="A2118" t="s">
        <v>4394</v>
      </c>
      <c r="B2118" s="1">
        <v>42082</v>
      </c>
      <c r="C2118" s="1">
        <v>42085</v>
      </c>
      <c r="D2118" t="s">
        <v>81</v>
      </c>
      <c r="E2118" t="s">
        <v>1305</v>
      </c>
      <c r="F2118" t="s">
        <v>1306</v>
      </c>
      <c r="G2118" t="s">
        <v>94</v>
      </c>
      <c r="H2118" t="s">
        <v>24</v>
      </c>
      <c r="I2118" t="s">
        <v>95</v>
      </c>
      <c r="J2118" t="s">
        <v>86</v>
      </c>
      <c r="K2118" t="s">
        <v>87</v>
      </c>
      <c r="L2118" t="s">
        <v>2613</v>
      </c>
      <c r="M2118" t="s">
        <v>29</v>
      </c>
      <c r="N2118" t="s">
        <v>30</v>
      </c>
      <c r="O2118" t="s">
        <v>2614</v>
      </c>
      <c r="P2118">
        <v>383.46559999999999</v>
      </c>
      <c r="Q2118">
        <v>4</v>
      </c>
      <c r="R2118">
        <v>-67.670400000000001</v>
      </c>
      <c r="S2118" t="s">
        <v>187</v>
      </c>
    </row>
    <row r="2119" spans="1:19" x14ac:dyDescent="0.35">
      <c r="A2119" t="s">
        <v>4395</v>
      </c>
      <c r="B2119" s="1">
        <v>42709</v>
      </c>
      <c r="C2119" s="1">
        <v>42714</v>
      </c>
      <c r="D2119" t="s">
        <v>20</v>
      </c>
      <c r="E2119" t="s">
        <v>4019</v>
      </c>
      <c r="F2119" t="s">
        <v>4020</v>
      </c>
      <c r="G2119" t="s">
        <v>84</v>
      </c>
      <c r="H2119" t="s">
        <v>24</v>
      </c>
      <c r="I2119" t="s">
        <v>222</v>
      </c>
      <c r="J2119" t="s">
        <v>192</v>
      </c>
      <c r="K2119" t="s">
        <v>63</v>
      </c>
      <c r="L2119" t="s">
        <v>365</v>
      </c>
      <c r="M2119" t="s">
        <v>29</v>
      </c>
      <c r="N2119" t="s">
        <v>53</v>
      </c>
      <c r="O2119" t="s">
        <v>366</v>
      </c>
      <c r="P2119">
        <v>13.4</v>
      </c>
      <c r="Q2119">
        <v>1</v>
      </c>
      <c r="R2119">
        <v>6.4320000000000004</v>
      </c>
      <c r="S2119" t="s">
        <v>90</v>
      </c>
    </row>
    <row r="2120" spans="1:19" x14ac:dyDescent="0.35">
      <c r="A2120" t="s">
        <v>4396</v>
      </c>
      <c r="B2120" s="1">
        <v>42253</v>
      </c>
      <c r="C2120" s="1">
        <v>42256</v>
      </c>
      <c r="D2120" t="s">
        <v>20</v>
      </c>
      <c r="E2120" t="s">
        <v>1894</v>
      </c>
      <c r="F2120" t="s">
        <v>1895</v>
      </c>
      <c r="G2120" t="s">
        <v>23</v>
      </c>
      <c r="H2120" t="s">
        <v>24</v>
      </c>
      <c r="I2120" t="s">
        <v>1396</v>
      </c>
      <c r="J2120" t="s">
        <v>1397</v>
      </c>
      <c r="K2120" t="s">
        <v>27</v>
      </c>
      <c r="L2120" t="s">
        <v>1250</v>
      </c>
      <c r="M2120" t="s">
        <v>29</v>
      </c>
      <c r="N2120" t="s">
        <v>43</v>
      </c>
      <c r="O2120" t="s">
        <v>1054</v>
      </c>
      <c r="P2120">
        <v>85.98</v>
      </c>
      <c r="Q2120">
        <v>1</v>
      </c>
      <c r="R2120">
        <v>22.354800000000001</v>
      </c>
      <c r="S2120" t="s">
        <v>72</v>
      </c>
    </row>
    <row r="2121" spans="1:19" x14ac:dyDescent="0.35">
      <c r="A2121" t="s">
        <v>4397</v>
      </c>
      <c r="B2121" s="1">
        <v>41660</v>
      </c>
      <c r="C2121" s="1">
        <v>41662</v>
      </c>
      <c r="D2121" t="s">
        <v>20</v>
      </c>
      <c r="E2121" t="s">
        <v>2010</v>
      </c>
      <c r="F2121" t="s">
        <v>2011</v>
      </c>
      <c r="G2121" t="s">
        <v>23</v>
      </c>
      <c r="H2121" t="s">
        <v>24</v>
      </c>
      <c r="I2121" t="s">
        <v>997</v>
      </c>
      <c r="J2121" t="s">
        <v>41</v>
      </c>
      <c r="K2121" t="s">
        <v>27</v>
      </c>
      <c r="L2121" t="s">
        <v>1568</v>
      </c>
      <c r="M2121" t="s">
        <v>29</v>
      </c>
      <c r="N2121" t="s">
        <v>53</v>
      </c>
      <c r="O2121" t="s">
        <v>1569</v>
      </c>
      <c r="P2121">
        <v>25.248000000000001</v>
      </c>
      <c r="Q2121">
        <v>3</v>
      </c>
      <c r="R2121">
        <v>4.1028000000000002</v>
      </c>
      <c r="S2121" t="s">
        <v>161</v>
      </c>
    </row>
    <row r="2122" spans="1:19" x14ac:dyDescent="0.35">
      <c r="A2122" t="s">
        <v>4398</v>
      </c>
      <c r="B2122" s="1">
        <v>42792</v>
      </c>
      <c r="C2122" s="1">
        <v>42797</v>
      </c>
      <c r="D2122" t="s">
        <v>37</v>
      </c>
      <c r="E2122" t="s">
        <v>232</v>
      </c>
      <c r="F2122" t="s">
        <v>233</v>
      </c>
      <c r="G2122" t="s">
        <v>23</v>
      </c>
      <c r="H2122" t="s">
        <v>24</v>
      </c>
      <c r="I2122" t="s">
        <v>541</v>
      </c>
      <c r="J2122" t="s">
        <v>50</v>
      </c>
      <c r="K2122" t="s">
        <v>51</v>
      </c>
      <c r="L2122" t="s">
        <v>3279</v>
      </c>
      <c r="M2122" t="s">
        <v>29</v>
      </c>
      <c r="N2122" t="s">
        <v>53</v>
      </c>
      <c r="O2122" t="s">
        <v>3280</v>
      </c>
      <c r="P2122">
        <v>91.96</v>
      </c>
      <c r="Q2122">
        <v>2</v>
      </c>
      <c r="R2122">
        <v>15.6332</v>
      </c>
      <c r="S2122" t="s">
        <v>289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2E030-DABD-4F04-A6A7-A83D6E678C7A}">
  <dimension ref="X1"/>
  <sheetViews>
    <sheetView showGridLines="0" topLeftCell="B1" zoomScale="60" zoomScaleNormal="60" workbookViewId="0">
      <selection activeCell="B16" sqref="B16"/>
    </sheetView>
  </sheetViews>
  <sheetFormatPr defaultRowHeight="14.5" x14ac:dyDescent="0.35"/>
  <cols>
    <col min="1" max="29" width="8.7265625" style="7"/>
    <col min="30" max="31" width="8.7265625" style="7" customWidth="1"/>
    <col min="32" max="16384" width="8.7265625" style="7"/>
  </cols>
  <sheetData>
    <row r="1" spans="24:24" x14ac:dyDescent="0.35">
      <c r="X1"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6FED2C-1C84-4E9F-9330-93D087FC71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Furniture_data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481a4a23 Power BI</dc:creator>
  <cp:lastModifiedBy>481a4a23 Power BI</cp:lastModifiedBy>
  <dcterms:created xsi:type="dcterms:W3CDTF">2025-07-08T06:01:54Z</dcterms:created>
  <dcterms:modified xsi:type="dcterms:W3CDTF">2025-07-10T04:43:07Z</dcterms:modified>
</cp:coreProperties>
</file>